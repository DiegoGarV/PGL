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P023</t>
        </is>
      </c>
    </row>
    <row r="2" ht="17" customHeight="1"/>
    <row r="3" ht="17" customHeight="1">
      <c r="A3" s="6" t="inlineStr">
        <is>
          <t>Inicio: 2026-10-02 15:02:52     |     Fuente: Metrics_P023_2026-10-02_15-02-52.txt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121.0</v>
      </c>
      <c r="C6" s="0">
        <f>COUNTA('Interacciones'!$A$2:$A$122)</f>
        <v>121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68.0</v>
      </c>
      <c r="C7" s="6">
        <f>COUNTIF('Interacciones'!$F$2:$F$122,"Success")</f>
        <v>68</v>
      </c>
      <c r="E7" s="6" t="inlineStr">
        <is>
          <t>Estados del jugador</t>
        </is>
      </c>
      <c r="F7" s="6">
        <v>19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46.0</v>
      </c>
      <c r="C8" s="0">
        <f>COUNTIF('Interacciones'!$F$2:$F$122,"Failed")</f>
        <v>46</v>
      </c>
      <c r="E8" s="0" t="inlineStr">
        <is>
          <t>Eventos totales</t>
        </is>
      </c>
      <c r="F8" s="0">
        <v>143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7.0</v>
      </c>
      <c r="C9" s="6">
        <f>COUNTIF('Interacciones'!$F$2:$F$122,"Missed")</f>
        <v>7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0.562</v>
      </c>
      <c r="C10" s="0">
        <f>IFERROR(C7/C6,0)</f>
        <v>0.5619834710743802</v>
      </c>
    </row>
    <row r="11" ht="17" customHeight="1">
      <c r="A11" s="6" t="inlineStr">
        <is>
          <t>Error timing medio (s)</t>
        </is>
      </c>
      <c r="B11" s="6">
        <v>0.3389</v>
      </c>
      <c r="C11" s="6">
        <f>IFERROR(AVERAGE('Interacciones'!$K$2:$K$122),"")</f>
        <v>0.3388833333333333</v>
      </c>
    </row>
    <row r="12" ht="17" customHeight="1">
      <c r="A12" s="0" t="inlineStr">
        <is>
          <t>Reacción media (s)</t>
        </is>
      </c>
      <c r="B12" s="0">
        <v>0.483</v>
      </c>
      <c r="C12" s="0">
        <f>IFERROR(AVERAGE('Interacciones'!$L$2:$L$122),"")</f>
        <v>0.4830076923076923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IFERROR(AVERAGE('Interacciones'!$M$2:$M$122),"")</f>
        <v/>
      </c>
    </row>
    <row r="14" ht="17" customHeight="1">
      <c r="A14" s="0" t="inlineStr">
        <is>
          <t>Precisión dirección media</t>
        </is>
      </c>
      <c r="B14" s="0">
        <v>0.5313</v>
      </c>
      <c r="C14" s="0">
        <f>IFERROR(AVERAGE('Interacciones'!$N$2:$N$122),"")</f>
        <v>0.53125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COUNTIF('Interacciones'!$D$2:$D$122,$A5)</f>
        <v>45</v>
      </c>
      <c r="C5" s="6">
        <f>COUNTIFS('Interacciones'!$D$2:$D$122,$A5,'Interacciones'!$F$2:$F$122,"Success")</f>
        <v>30</v>
      </c>
      <c r="D5" s="6">
        <f>COUNTIFS('Interacciones'!$D$2:$D$122,$A5,'Interacciones'!$F$2:$F$122,"Failed")</f>
        <v>10</v>
      </c>
      <c r="E5" s="6">
        <f>COUNTIFS('Interacciones'!$D$2:$D$122,$A5,'Interacciones'!$F$2:$F$122,"Missed")</f>
        <v>5</v>
      </c>
      <c r="F5" s="3">
        <f>IFERROR(C5/B5,0)</f>
        <v>0.6666666666666666</v>
      </c>
      <c r="G5" s="4">
        <f>IFERROR(AVERAGEIF('Interacciones'!$D$2:$D$122,$A5,'Interacciones'!$K$2:$K$122),"")</f>
        <v>0.013003448275862068</v>
      </c>
      <c r="H5" s="4" t="str">
        <f>IFERROR(AVERAGEIF('Interacciones'!$D$2:$D$122,$A5,'Interacciones'!$L$2:$L$122),"")</f>
        <v/>
      </c>
      <c r="I5" s="6">
        <f>COUNTIF('Adaptaciones'!$C$2:$C$4,$A5)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COUNTIF('Interacciones'!$D$2:$D$122,$A6)</f>
        <v>21</v>
      </c>
      <c r="C6" s="0">
        <f>COUNTIFS('Interacciones'!$D$2:$D$122,$A6,'Interacciones'!$F$2:$F$122,"Success")</f>
        <v>11</v>
      </c>
      <c r="D6" s="0">
        <f>COUNTIFS('Interacciones'!$D$2:$D$122,$A6,'Interacciones'!$F$2:$F$122,"Failed")</f>
        <v>10</v>
      </c>
      <c r="E6" s="0">
        <f>COUNTIFS('Interacciones'!$D$2:$D$122,$A6,'Interacciones'!$F$2:$F$122,"Missed")</f>
        <v>0</v>
      </c>
      <c r="F6" s="3">
        <f>IFERROR(C6/B6,0)</f>
        <v>0.5238095238095238</v>
      </c>
      <c r="G6" s="4">
        <f>IFERROR(AVERAGEIF('Interacciones'!$D$2:$D$122,$A6,'Interacciones'!$K$2:$K$122),"")</f>
        <v>0.09899090909090909</v>
      </c>
      <c r="H6" s="4" t="str">
        <f>IFERROR(AVERAGEIF('Interacciones'!$D$2:$D$122,$A6,'Interacciones'!$L$2:$L$122),"")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COUNTIF('Interacciones'!$D$2:$D$122,$A7)</f>
        <v>8</v>
      </c>
      <c r="C7" s="6">
        <f>COUNTIFS('Interacciones'!$D$2:$D$122,$A7,'Interacciones'!$F$2:$F$122,"Success")</f>
        <v>5</v>
      </c>
      <c r="D7" s="6">
        <f>COUNTIFS('Interacciones'!$D$2:$D$122,$A7,'Interacciones'!$F$2:$F$122,"Failed")</f>
        <v>3</v>
      </c>
      <c r="E7" s="6">
        <f>COUNTIFS('Interacciones'!$D$2:$D$122,$A7,'Interacciones'!$F$2:$F$122,"Missed")</f>
        <v>0</v>
      </c>
      <c r="F7" s="3">
        <f>IFERROR(C7/B7,0)</f>
        <v>0.625</v>
      </c>
      <c r="G7" s="4">
        <f>IFERROR(AVERAGEIF('Interacciones'!$D$2:$D$122,$A7,'Interacciones'!$K$2:$K$122),"")</f>
        <v>0.10575</v>
      </c>
      <c r="H7" s="4" t="str">
        <f>IFERROR(AVERAGEIF('Interacciones'!$D$2:$D$122,$A7,'Interacciones'!$L$2:$L$122),"")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COUNTIF('Interacciones'!$D$2:$D$122,$A8)</f>
        <v>18</v>
      </c>
      <c r="C8" s="0">
        <f>COUNTIFS('Interacciones'!$D$2:$D$122,$A8,'Interacciones'!$F$2:$F$122,"Success")</f>
        <v>12</v>
      </c>
      <c r="D8" s="0">
        <f>COUNTIFS('Interacciones'!$D$2:$D$122,$A8,'Interacciones'!$F$2:$F$122,"Failed")</f>
        <v>6</v>
      </c>
      <c r="E8" s="0">
        <f>COUNTIFS('Interacciones'!$D$2:$D$122,$A8,'Interacciones'!$F$2:$F$122,"Missed")</f>
        <v>0</v>
      </c>
      <c r="F8" s="3">
        <f>IFERROR(C8/B8,0)</f>
        <v>0.6666666666666666</v>
      </c>
      <c r="G8" s="4">
        <f>IFERROR(AVERAGEIF('Interacciones'!$D$2:$D$122,$A8,'Interacciones'!$K$2:$K$122),"")</f>
        <v>0.09336666666666667</v>
      </c>
      <c r="H8" s="4" t="str">
        <f>IFERROR(AVERAGEIF('Interacciones'!$D$2:$D$122,$A8,'Interacciones'!$L$2:$L$122),"")</f>
        <v/>
      </c>
      <c r="I8" s="0">
        <f>COUNTIF('Adaptaciones'!$C$2:$C$4,$A8)</f>
        <v>0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COUNTIF('Interacciones'!$D$2:$D$122,$A9)</f>
        <v>13</v>
      </c>
      <c r="C9" s="6">
        <f>COUNTIFS('Interacciones'!$D$2:$D$122,$A9,'Interacciones'!$F$2:$F$122,"Success")</f>
        <v>5</v>
      </c>
      <c r="D9" s="6">
        <f>COUNTIFS('Interacciones'!$D$2:$D$122,$A9,'Interacciones'!$F$2:$F$122,"Failed")</f>
        <v>6</v>
      </c>
      <c r="E9" s="6">
        <f>COUNTIFS('Interacciones'!$D$2:$D$122,$A9,'Interacciones'!$F$2:$F$122,"Missed")</f>
        <v>2</v>
      </c>
      <c r="F9" s="3">
        <f>IFERROR(C9/B9,0)</f>
        <v>0.38461538461538464</v>
      </c>
      <c r="G9" s="4">
        <f>IFERROR(AVERAGEIF('Interacciones'!$D$2:$D$122,$A9,'Interacciones'!$K$2:$K$122),"")</f>
        <v>1.6738636363636363</v>
      </c>
      <c r="H9" s="4" t="str">
        <f>IFERROR(AVERAGEIF('Interacciones'!$D$2:$D$122,$A9,'Interacciones'!$L$2:$L$122),"")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COUNTIF('Interacciones'!$D$2:$D$122,$A10)</f>
        <v>16</v>
      </c>
      <c r="C10" s="0">
        <f>COUNTIFS('Interacciones'!$D$2:$D$122,$A10,'Interacciones'!$F$2:$F$122,"Success")</f>
        <v>5</v>
      </c>
      <c r="D10" s="0">
        <f>COUNTIFS('Interacciones'!$D$2:$D$122,$A10,'Interacciones'!$F$2:$F$122,"Failed")</f>
        <v>11</v>
      </c>
      <c r="E10" s="0">
        <f>COUNTIFS('Interacciones'!$D$2:$D$122,$A10,'Interacciones'!$F$2:$F$122,"Missed")</f>
        <v>0</v>
      </c>
      <c r="F10" s="3">
        <f>IFERROR(C10/B10,0)</f>
        <v>0.3125</v>
      </c>
      <c r="G10" s="4">
        <f>IFERROR(AVERAGEIF('Interacciones'!$D$2:$D$122,$A10,'Interacciones'!$K$2:$K$122),"")</f>
        <v>0.5093307692307693</v>
      </c>
      <c r="H10" s="4">
        <f>IFERROR(AVERAGEIF('Interacciones'!$D$2:$D$122,$A10,'Interacciones'!$L$2:$L$122),"")</f>
        <v>0.4830076923076923</v>
      </c>
      <c r="I10" s="0">
        <f>COUNTIF('Adaptaciones'!$C$2:$C$4,$A10)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COUNTIFS('Interacciones'!$D$2:$D$122,$A5,'Interacciones'!$E$2:$E$122,$B5)</f>
        <v>30</v>
      </c>
      <c r="D5" s="6">
        <f>COUNTIFS('Interacciones'!$D$2:$D$122,$A5,'Interacciones'!$E$2:$E$122,$B5,'Interacciones'!$F$2:$F$122,"Success")</f>
        <v>22</v>
      </c>
      <c r="E5" s="6">
        <f>COUNTIFS('Interacciones'!$D$2:$D$122,$A5,'Interacciones'!$E$2:$E$122,$B5,'Interacciones'!$F$2:$F$122,"Failed")</f>
        <v>8</v>
      </c>
      <c r="F5" s="6">
        <f>COUNTIFS('Interacciones'!$D$2:$D$122,$A5,'Interacciones'!$E$2:$E$122,$B5,'Interacciones'!$F$2:$F$122,"Missed")</f>
        <v>0</v>
      </c>
      <c r="G5" s="3">
        <f>IFERROR(D5/C5,0)</f>
        <v>0.7333333333333333</v>
      </c>
      <c r="H5" s="4">
        <f>IFERROR(AVERAGEIFS('Interacciones'!$K$2:$K$122,'Interacciones'!$D$2:$D$122,$A5,'Interacciones'!$E$2:$E$122,$B5),"")</f>
        <v>0.013003448275862068</v>
      </c>
      <c r="I5" s="4" t="str">
        <f>IFERROR(AVERAGEIFS('Interacciones'!$L$2:$L$122,'Interacciones'!$D$2:$D$122,$A5,'Interacciones'!$E$2:$E$122,$B5),"")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COUNTIFS('Interacciones'!$D$2:$D$122,$A6,'Interacciones'!$E$2:$E$122,$B6)</f>
        <v>15</v>
      </c>
      <c r="D6" s="0">
        <f>COUNTIFS('Interacciones'!$D$2:$D$122,$A6,'Interacciones'!$E$2:$E$122,$B6,'Interacciones'!$F$2:$F$122,"Success")</f>
        <v>8</v>
      </c>
      <c r="E6" s="0">
        <f>COUNTIFS('Interacciones'!$D$2:$D$122,$A6,'Interacciones'!$E$2:$E$122,$B6,'Interacciones'!$F$2:$F$122,"Failed")</f>
        <v>2</v>
      </c>
      <c r="F6" s="0">
        <f>COUNTIFS('Interacciones'!$D$2:$D$122,$A6,'Interacciones'!$E$2:$E$122,$B6,'Interacciones'!$F$2:$F$122,"Missed")</f>
        <v>5</v>
      </c>
      <c r="G6" s="3">
        <f>IFERROR(D6/C6,0)</f>
        <v>0.5333333333333333</v>
      </c>
      <c r="H6" s="4" t="str">
        <f>IFERROR(AVERAGEIFS('Interacciones'!$K$2:$K$122,'Interacciones'!$D$2:$D$122,$A6,'Interacciones'!$E$2:$E$122,$B6),"")</f>
        <v/>
      </c>
      <c r="I6" s="4" t="str">
        <f>IFERROR(AVERAGEIFS('Interacciones'!$L$2:$L$122,'Interacciones'!$D$2:$D$122,$A6,'Interacciones'!$E$2:$E$122,$B6),"")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COUNTIFS('Interacciones'!$D$2:$D$122,$A7,'Interacciones'!$E$2:$E$122,$B7)</f>
        <v>18</v>
      </c>
      <c r="D7" s="6">
        <f>COUNTIFS('Interacciones'!$D$2:$D$122,$A7,'Interacciones'!$E$2:$E$122,$B7,'Interacciones'!$F$2:$F$122,"Success")</f>
        <v>11</v>
      </c>
      <c r="E7" s="6">
        <f>COUNTIFS('Interacciones'!$D$2:$D$122,$A7,'Interacciones'!$E$2:$E$122,$B7,'Interacciones'!$F$2:$F$122,"Failed")</f>
        <v>7</v>
      </c>
      <c r="F7" s="6">
        <f>COUNTIFS('Interacciones'!$D$2:$D$122,$A7,'Interacciones'!$E$2:$E$122,$B7,'Interacciones'!$F$2:$F$122,"Missed")</f>
        <v>0</v>
      </c>
      <c r="G7" s="3">
        <f>IFERROR(D7/C7,0)</f>
        <v>0.6111111111111112</v>
      </c>
      <c r="H7" s="4">
        <f>IFERROR(AVERAGEIFS('Interacciones'!$K$2:$K$122,'Interacciones'!$D$2:$D$122,$A7,'Interacciones'!$E$2:$E$122,$B7),"")</f>
        <v>0.09899090909090909</v>
      </c>
      <c r="I7" s="4" t="str">
        <f>IFERROR(AVERAGEIFS('Interacciones'!$L$2:$L$122,'Interacciones'!$D$2:$D$122,$A7,'Interacciones'!$E$2:$E$122,$B7),"")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COUNTIFS('Interacciones'!$D$2:$D$122,$A8,'Interacciones'!$E$2:$E$122,$B8)</f>
        <v>3</v>
      </c>
      <c r="D8" s="0">
        <f>COUNTIFS('Interacciones'!$D$2:$D$122,$A8,'Interacciones'!$E$2:$E$122,$B8,'Interacciones'!$F$2:$F$122,"Success")</f>
        <v>0</v>
      </c>
      <c r="E8" s="0">
        <f>COUNTIFS('Interacciones'!$D$2:$D$122,$A8,'Interacciones'!$E$2:$E$122,$B8,'Interacciones'!$F$2:$F$122,"Failed")</f>
        <v>3</v>
      </c>
      <c r="F8" s="0">
        <f>COUNTIFS('Interacciones'!$D$2:$D$122,$A8,'Interacciones'!$E$2:$E$122,$B8,'Interacciones'!$F$2:$F$122,"Missed")</f>
        <v>0</v>
      </c>
      <c r="G8" s="3">
        <f>IFERROR(D8/C8,0)</f>
        <v>0.0</v>
      </c>
      <c r="H8" s="4" t="str">
        <f>IFERROR(AVERAGEIFS('Interacciones'!$K$2:$K$122,'Interacciones'!$D$2:$D$122,$A8,'Interacciones'!$E$2:$E$122,$B8),"")</f>
        <v/>
      </c>
      <c r="I8" s="4" t="str">
        <f>IFERROR(AVERAGEIFS('Interacciones'!$L$2:$L$122,'Interacciones'!$D$2:$D$122,$A8,'Interacciones'!$E$2:$E$122,$B8),"")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COUNTIFS('Interacciones'!$D$2:$D$122,$A9,'Interacciones'!$E$2:$E$122,$B9)</f>
        <v>8</v>
      </c>
      <c r="D9" s="6">
        <f>COUNTIFS('Interacciones'!$D$2:$D$122,$A9,'Interacciones'!$E$2:$E$122,$B9,'Interacciones'!$F$2:$F$122,"Success")</f>
        <v>5</v>
      </c>
      <c r="E9" s="6">
        <f>COUNTIFS('Interacciones'!$D$2:$D$122,$A9,'Interacciones'!$E$2:$E$122,$B9,'Interacciones'!$F$2:$F$122,"Failed")</f>
        <v>3</v>
      </c>
      <c r="F9" s="6">
        <f>COUNTIFS('Interacciones'!$D$2:$D$122,$A9,'Interacciones'!$E$2:$E$122,$B9,'Interacciones'!$F$2:$F$122,"Missed")</f>
        <v>0</v>
      </c>
      <c r="G9" s="3">
        <f>IFERROR(D9/C9,0)</f>
        <v>0.625</v>
      </c>
      <c r="H9" s="4">
        <f>IFERROR(AVERAGEIFS('Interacciones'!$K$2:$K$122,'Interacciones'!$D$2:$D$122,$A9,'Interacciones'!$E$2:$E$122,$B9),"")</f>
        <v>0.10575</v>
      </c>
      <c r="I9" s="4" t="str">
        <f>IFERROR(AVERAGEIFS('Interacciones'!$L$2:$L$122,'Interacciones'!$D$2:$D$122,$A9,'Interacciones'!$E$2:$E$122,$B9),"")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COUNTIFS('Interacciones'!$D$2:$D$122,$A10,'Interacciones'!$E$2:$E$122,$B10)</f>
        <v>12</v>
      </c>
      <c r="D10" s="0">
        <f>COUNTIFS('Interacciones'!$D$2:$D$122,$A10,'Interacciones'!$E$2:$E$122,$B10,'Interacciones'!$F$2:$F$122,"Success")</f>
        <v>12</v>
      </c>
      <c r="E10" s="0">
        <f>COUNTIFS('Interacciones'!$D$2:$D$122,$A10,'Interacciones'!$E$2:$E$122,$B10,'Interacciones'!$F$2:$F$122,"Failed")</f>
        <v>0</v>
      </c>
      <c r="F10" s="0">
        <f>COUNTIFS('Interacciones'!$D$2:$D$122,$A10,'Interacciones'!$E$2:$E$122,$B10,'Interacciones'!$F$2:$F$122,"Missed")</f>
        <v>0</v>
      </c>
      <c r="G10" s="3">
        <f>IFERROR(D10/C10,0)</f>
        <v>1.0</v>
      </c>
      <c r="H10" s="4">
        <f>IFERROR(AVERAGEIFS('Interacciones'!$K$2:$K$122,'Interacciones'!$D$2:$D$122,$A10,'Interacciones'!$E$2:$E$122,$B10),"")</f>
        <v>0.09336666666666667</v>
      </c>
      <c r="I10" s="4" t="str">
        <f>IFERROR(AVERAGEIFS('Interacciones'!$L$2:$L$122,'Interacciones'!$D$2:$D$122,$A10,'Interacciones'!$E$2:$E$122,$B10),"")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COUNTIFS('Interacciones'!$D$2:$D$122,$A11,'Interacciones'!$E$2:$E$122,$B11)</f>
        <v>6</v>
      </c>
      <c r="D11" s="6">
        <f>COUNTIFS('Interacciones'!$D$2:$D$122,$A11,'Interacciones'!$E$2:$E$122,$B11,'Interacciones'!$F$2:$F$122,"Success")</f>
        <v>0</v>
      </c>
      <c r="E11" s="6">
        <f>COUNTIFS('Interacciones'!$D$2:$D$122,$A11,'Interacciones'!$E$2:$E$122,$B11,'Interacciones'!$F$2:$F$122,"Failed")</f>
        <v>6</v>
      </c>
      <c r="F11" s="6">
        <f>COUNTIFS('Interacciones'!$D$2:$D$122,$A11,'Interacciones'!$E$2:$E$122,$B11,'Interacciones'!$F$2:$F$122,"Missed")</f>
        <v>0</v>
      </c>
      <c r="G11" s="3">
        <f>IFERROR(D11/C11,0)</f>
        <v>0.0</v>
      </c>
      <c r="H11" s="4" t="str">
        <f>IFERROR(AVERAGEIFS('Interacciones'!$K$2:$K$122,'Interacciones'!$D$2:$D$122,$A11,'Interacciones'!$E$2:$E$122,$B11),"")</f>
        <v/>
      </c>
      <c r="I11" s="4" t="str">
        <f>IFERROR(AVERAGEIFS('Interacciones'!$L$2:$L$122,'Interacciones'!$D$2:$D$122,$A11,'Interacciones'!$E$2:$E$122,$B11),"")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COUNTIFS('Interacciones'!$D$2:$D$122,$A12,'Interacciones'!$E$2:$E$122,$B12)</f>
        <v>13</v>
      </c>
      <c r="D12" s="0">
        <f>COUNTIFS('Interacciones'!$D$2:$D$122,$A12,'Interacciones'!$E$2:$E$122,$B12,'Interacciones'!$F$2:$F$122,"Success")</f>
        <v>5</v>
      </c>
      <c r="E12" s="0">
        <f>COUNTIFS('Interacciones'!$D$2:$D$122,$A12,'Interacciones'!$E$2:$E$122,$B12,'Interacciones'!$F$2:$F$122,"Failed")</f>
        <v>6</v>
      </c>
      <c r="F12" s="0">
        <f>COUNTIFS('Interacciones'!$D$2:$D$122,$A12,'Interacciones'!$E$2:$E$122,$B12,'Interacciones'!$F$2:$F$122,"Missed")</f>
        <v>2</v>
      </c>
      <c r="G12" s="3">
        <f>IFERROR(D12/C12,0)</f>
        <v>0.38461538461538464</v>
      </c>
      <c r="H12" s="4">
        <f>IFERROR(AVERAGEIFS('Interacciones'!$K$2:$K$122,'Interacciones'!$D$2:$D$122,$A12,'Interacciones'!$E$2:$E$122,$B12),"")</f>
        <v>1.6738636363636363</v>
      </c>
      <c r="I12" s="4" t="str">
        <f>IFERROR(AVERAGEIFS('Interacciones'!$L$2:$L$122,'Interacciones'!$D$2:$D$122,$A12,'Interacciones'!$E$2:$E$122,$B12),"")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COUNTIFS('Interacciones'!$D$2:$D$122,$A13,'Interacciones'!$E$2:$E$122,$B13)</f>
        <v>16</v>
      </c>
      <c r="D13" s="6">
        <f>COUNTIFS('Interacciones'!$D$2:$D$122,$A13,'Interacciones'!$E$2:$E$122,$B13,'Interacciones'!$F$2:$F$122,"Success")</f>
        <v>5</v>
      </c>
      <c r="E13" s="6">
        <f>COUNTIFS('Interacciones'!$D$2:$D$122,$A13,'Interacciones'!$E$2:$E$122,$B13,'Interacciones'!$F$2:$F$122,"Failed")</f>
        <v>11</v>
      </c>
      <c r="F13" s="6">
        <f>COUNTIFS('Interacciones'!$D$2:$D$122,$A13,'Interacciones'!$E$2:$E$122,$B13,'Interacciones'!$F$2:$F$122,"Missed")</f>
        <v>0</v>
      </c>
      <c r="G13" s="3">
        <f>IFERROR(D13/C13,0)</f>
        <v>0.3125</v>
      </c>
      <c r="H13" s="4">
        <f>IFERROR(AVERAGEIFS('Interacciones'!$K$2:$K$122,'Interacciones'!$D$2:$D$122,$A13,'Interacciones'!$E$2:$E$122,$B13),"")</f>
        <v>0.5093307692307693</v>
      </c>
      <c r="I13" s="4">
        <f>IFERROR(AVERAGEIFS('Interacciones'!$L$2:$L$122,'Interacciones'!$D$2:$D$122,$A13,'Interacciones'!$E$2:$E$122,$B13),"")</f>
        <v>0.4830076923076923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2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P023</t>
        </is>
      </c>
      <c r="C2" s="0" t="inlineStr">
        <is>
          <t>2026-10-02 15:02:55.013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I2" s="4">
        <v>0.9157</v>
      </c>
      <c r="J2" s="4">
        <v>0.0197</v>
      </c>
      <c r="K2" s="4">
        <v>0.0197</v>
      </c>
      <c r="P2" s="0">
        <v>7</v>
      </c>
    </row>
    <row r="3" ht="17" customHeight="1">
      <c r="A3" s="6">
        <v>4</v>
      </c>
      <c r="B3" s="6" t="inlineStr">
        <is>
          <t>P023</t>
        </is>
      </c>
      <c r="C3" s="6" t="inlineStr">
        <is>
          <t>2026-10-02 15:02:55.763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P3" s="6">
        <v>9</v>
      </c>
    </row>
    <row r="4" ht="17" customHeight="1">
      <c r="A4" s="0">
        <v>5</v>
      </c>
      <c r="B4" s="0" t="inlineStr">
        <is>
          <t>P023</t>
        </is>
      </c>
      <c r="C4" s="0" t="inlineStr">
        <is>
          <t>2026-10-02 15:02:55.804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P023</t>
        </is>
      </c>
      <c r="C5" s="6" t="inlineStr">
        <is>
          <t>2026-10-02 15:02:56.554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2.4573</v>
      </c>
      <c r="J5" s="4">
        <v>0.0253</v>
      </c>
      <c r="K5" s="4">
        <v>0.0253</v>
      </c>
      <c r="P5" s="6">
        <v>11</v>
      </c>
    </row>
    <row r="6" ht="17" customHeight="1">
      <c r="A6" s="0">
        <v>7</v>
      </c>
      <c r="B6" s="0" t="inlineStr">
        <is>
          <t>P023</t>
        </is>
      </c>
      <c r="C6" s="0" t="inlineStr">
        <is>
          <t>2026-10-02 15:02:57.623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P023</t>
        </is>
      </c>
      <c r="C7" s="6" t="inlineStr">
        <is>
          <t>2026-10-02 15:02:57.623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P023</t>
        </is>
      </c>
      <c r="C8" s="0" t="inlineStr">
        <is>
          <t>2026-10-02 15:02:58.040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I8" s="4">
        <v>3.957</v>
      </c>
      <c r="J8" s="4">
        <v>-0.011</v>
      </c>
      <c r="K8" s="4">
        <v>0.011</v>
      </c>
      <c r="P8" s="0">
        <v>14</v>
      </c>
    </row>
    <row r="9" ht="17" customHeight="1">
      <c r="A9" s="6">
        <v>10</v>
      </c>
      <c r="B9" s="6" t="inlineStr">
        <is>
          <t>P023</t>
        </is>
      </c>
      <c r="C9" s="6" t="inlineStr">
        <is>
          <t>2026-10-02 15:02:58.804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4.7211</v>
      </c>
      <c r="J9" s="4">
        <v>-0.0149</v>
      </c>
      <c r="K9" s="4">
        <v>0.0149</v>
      </c>
      <c r="P9" s="6">
        <v>15</v>
      </c>
    </row>
    <row r="10" ht="17" customHeight="1">
      <c r="A10" s="0">
        <v>11</v>
      </c>
      <c r="B10" s="0" t="inlineStr">
        <is>
          <t>P023</t>
        </is>
      </c>
      <c r="C10" s="0" t="inlineStr">
        <is>
          <t>2026-10-02 15:02:58.804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Normal</t>
        </is>
      </c>
      <c r="H10" s="4">
        <v>4.736</v>
      </c>
      <c r="I10" s="4">
        <v>4.7211</v>
      </c>
      <c r="J10" s="4">
        <v>-0.0149</v>
      </c>
      <c r="K10" s="4">
        <v>0.0149</v>
      </c>
      <c r="P10" s="0">
        <v>16</v>
      </c>
    </row>
    <row r="11" ht="17" customHeight="1">
      <c r="A11" s="6">
        <v>12</v>
      </c>
      <c r="B11" s="6" t="inlineStr">
        <is>
          <t>P023</t>
        </is>
      </c>
      <c r="C11" s="6" t="inlineStr">
        <is>
          <t>2026-10-02 15:02:59.596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5.504</v>
      </c>
      <c r="I11" s="4">
        <v>5.513</v>
      </c>
      <c r="J11" s="4">
        <v>0.009</v>
      </c>
      <c r="K11" s="4">
        <v>0.009</v>
      </c>
      <c r="P11" s="6">
        <v>17</v>
      </c>
    </row>
    <row r="12" ht="17" customHeight="1">
      <c r="A12" s="0">
        <v>13</v>
      </c>
      <c r="B12" s="0" t="inlineStr">
        <is>
          <t>P023</t>
        </is>
      </c>
      <c r="C12" s="0" t="inlineStr">
        <is>
          <t>2026-10-02 15:03:00.679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Normal</t>
        </is>
      </c>
      <c r="H12" s="4">
        <v>6.272</v>
      </c>
      <c r="P12" s="0">
        <v>18</v>
      </c>
    </row>
    <row r="13" ht="17" customHeight="1">
      <c r="A13" s="6">
        <v>14</v>
      </c>
      <c r="B13" s="6" t="inlineStr">
        <is>
          <t>P023</t>
        </is>
      </c>
      <c r="C13" s="6" t="inlineStr">
        <is>
          <t>2026-10-02 15:03:00.679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Normal</t>
        </is>
      </c>
      <c r="H13" s="4">
        <v>6.272</v>
      </c>
      <c r="P13" s="6">
        <v>19</v>
      </c>
    </row>
    <row r="14" ht="17" customHeight="1">
      <c r="A14" s="0">
        <v>18</v>
      </c>
      <c r="B14" s="0" t="inlineStr">
        <is>
          <t>P023</t>
        </is>
      </c>
      <c r="C14" s="0" t="inlineStr">
        <is>
          <t>2026-10-02 15:03:01.137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7.04</v>
      </c>
      <c r="I14" s="4">
        <v>7.0405</v>
      </c>
      <c r="J14" s="4">
        <v>0.0005</v>
      </c>
      <c r="K14" s="4">
        <v>0.0005</v>
      </c>
      <c r="P14" s="0">
        <v>23</v>
      </c>
    </row>
    <row r="15" ht="17" customHeight="1">
      <c r="A15" s="6">
        <v>19</v>
      </c>
      <c r="B15" s="6" t="inlineStr">
        <is>
          <t>P023</t>
        </is>
      </c>
      <c r="C15" s="6" t="inlineStr">
        <is>
          <t>2026-10-02 15:03:02.651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H15" s="4">
        <v>8.576</v>
      </c>
      <c r="I15" s="4">
        <v>8.5545</v>
      </c>
      <c r="J15" s="4">
        <v>-0.0215</v>
      </c>
      <c r="K15" s="4">
        <v>0.0215</v>
      </c>
      <c r="P15" s="6">
        <v>24</v>
      </c>
    </row>
    <row r="16" ht="17" customHeight="1">
      <c r="A16" s="0">
        <v>20</v>
      </c>
      <c r="B16" s="0" t="inlineStr">
        <is>
          <t>P023</t>
        </is>
      </c>
      <c r="C16" s="0" t="inlineStr">
        <is>
          <t>2026-10-02 15:03:02.652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Failed</t>
        </is>
      </c>
      <c r="G16" s="0" t="inlineStr">
        <is>
          <t>Easy</t>
        </is>
      </c>
      <c r="H16" s="4">
        <v>8.576</v>
      </c>
      <c r="I16" s="4">
        <v>8.5683</v>
      </c>
      <c r="J16" s="4">
        <v>-0.0077</v>
      </c>
      <c r="K16" s="4">
        <v>0.0077</v>
      </c>
      <c r="P16" s="0">
        <v>25</v>
      </c>
    </row>
    <row r="17" ht="17" customHeight="1">
      <c r="A17" s="6">
        <v>21</v>
      </c>
      <c r="B17" s="6" t="inlineStr">
        <is>
          <t>P023</t>
        </is>
      </c>
      <c r="C17" s="6" t="inlineStr">
        <is>
          <t>2026-10-02 15:03:04.166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H17" s="4">
        <v>10.112</v>
      </c>
      <c r="I17" s="4">
        <v>10.0825</v>
      </c>
      <c r="J17" s="4">
        <v>-0.0295</v>
      </c>
      <c r="K17" s="4">
        <v>0.0295</v>
      </c>
      <c r="P17" s="6">
        <v>26</v>
      </c>
    </row>
    <row r="18" ht="17" customHeight="1">
      <c r="A18" s="0">
        <v>22</v>
      </c>
      <c r="B18" s="0" t="inlineStr">
        <is>
          <t>P023</t>
        </is>
      </c>
      <c r="C18" s="0" t="inlineStr">
        <is>
          <t>2026-10-02 15:03:04.318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Easy</t>
        </is>
      </c>
      <c r="H18" s="4">
        <v>10.112</v>
      </c>
      <c r="P18" s="0">
        <v>27</v>
      </c>
    </row>
    <row r="19" ht="17" customHeight="1">
      <c r="A19" s="6">
        <v>23</v>
      </c>
      <c r="B19" s="6" t="inlineStr">
        <is>
          <t>P023</t>
        </is>
      </c>
      <c r="C19" s="6" t="inlineStr">
        <is>
          <t>2026-10-02 15:03:05.721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Easy</t>
        </is>
      </c>
      <c r="H19" s="4">
        <v>11.648</v>
      </c>
      <c r="P19" s="6">
        <v>28</v>
      </c>
    </row>
    <row r="20" ht="17" customHeight="1">
      <c r="A20" s="0">
        <v>24</v>
      </c>
      <c r="B20" s="0" t="inlineStr">
        <is>
          <t>P023</t>
        </is>
      </c>
      <c r="C20" s="0" t="inlineStr">
        <is>
          <t>2026-10-02 15:03:05.722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H20" s="4">
        <v>11.648</v>
      </c>
      <c r="I20" s="4">
        <v>11.6381</v>
      </c>
      <c r="J20" s="4">
        <v>-0.0099</v>
      </c>
      <c r="K20" s="4">
        <v>0.0099</v>
      </c>
      <c r="P20" s="0">
        <v>29</v>
      </c>
    </row>
    <row r="21" ht="17" customHeight="1">
      <c r="A21" s="6">
        <v>25</v>
      </c>
      <c r="B21" s="6" t="inlineStr">
        <is>
          <t>P023</t>
        </is>
      </c>
      <c r="C21" s="6" t="inlineStr">
        <is>
          <t>2026-10-02 15:03:07.235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H21" s="4">
        <v>13.184</v>
      </c>
      <c r="I21" s="4">
        <v>13.1521</v>
      </c>
      <c r="J21" s="4">
        <v>-0.0319</v>
      </c>
      <c r="K21" s="4">
        <v>0.0319</v>
      </c>
      <c r="P21" s="6">
        <v>30</v>
      </c>
    </row>
    <row r="22" ht="17" customHeight="1">
      <c r="A22" s="0">
        <v>26</v>
      </c>
      <c r="B22" s="0" t="inlineStr">
        <is>
          <t>P023</t>
        </is>
      </c>
      <c r="C22" s="0" t="inlineStr">
        <is>
          <t>2026-10-02 15:03:07.263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Easy</t>
        </is>
      </c>
      <c r="H22" s="4">
        <v>13.184</v>
      </c>
      <c r="P22" s="0">
        <v>31</v>
      </c>
    </row>
    <row r="23" ht="17" customHeight="1">
      <c r="A23" s="6">
        <v>27</v>
      </c>
      <c r="B23" s="6" t="inlineStr">
        <is>
          <t>P023</t>
        </is>
      </c>
      <c r="C23" s="6" t="inlineStr">
        <is>
          <t>2026-10-02 15:03:08.776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Easy</t>
        </is>
      </c>
      <c r="H23" s="4">
        <v>14.72</v>
      </c>
      <c r="I23" s="4">
        <v>14.6938</v>
      </c>
      <c r="J23" s="4">
        <v>-0.0262</v>
      </c>
      <c r="K23" s="4">
        <v>0.0262</v>
      </c>
      <c r="P23" s="6">
        <v>32</v>
      </c>
    </row>
    <row r="24" ht="17" customHeight="1">
      <c r="A24" s="0">
        <v>28</v>
      </c>
      <c r="B24" s="0" t="inlineStr">
        <is>
          <t>P023</t>
        </is>
      </c>
      <c r="C24" s="0" t="inlineStr">
        <is>
          <t>2026-10-02 15:03:08.803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Failed</t>
        </is>
      </c>
      <c r="G24" s="0" t="inlineStr">
        <is>
          <t>Easy</t>
        </is>
      </c>
      <c r="H24" s="4">
        <v>14.72</v>
      </c>
      <c r="P24" s="0">
        <v>33</v>
      </c>
    </row>
    <row r="25" ht="17" customHeight="1">
      <c r="A25" s="6">
        <v>29</v>
      </c>
      <c r="B25" s="6" t="inlineStr">
        <is>
          <t>P023</t>
        </is>
      </c>
      <c r="C25" s="6" t="inlineStr">
        <is>
          <t>2026-10-02 15:03:10.333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16.256</v>
      </c>
      <c r="I25" s="4">
        <v>16.2489</v>
      </c>
      <c r="J25" s="4">
        <v>-0.0071</v>
      </c>
      <c r="K25" s="4">
        <v>0.0071</v>
      </c>
      <c r="P25" s="6">
        <v>34</v>
      </c>
    </row>
    <row r="26" ht="17" customHeight="1">
      <c r="A26" s="0">
        <v>30</v>
      </c>
      <c r="B26" s="0" t="inlineStr">
        <is>
          <t>P023</t>
        </is>
      </c>
      <c r="C26" s="0" t="inlineStr">
        <is>
          <t>2026-10-02 15:03:11.859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Failed</t>
        </is>
      </c>
      <c r="G26" s="0" t="inlineStr">
        <is>
          <t>Easy</t>
        </is>
      </c>
      <c r="H26" s="4">
        <v>17.792</v>
      </c>
      <c r="P26" s="0">
        <v>35</v>
      </c>
    </row>
    <row r="27" ht="17" customHeight="1">
      <c r="A27" s="6">
        <v>32</v>
      </c>
      <c r="B27" s="6" t="inlineStr">
        <is>
          <t>P023</t>
        </is>
      </c>
      <c r="C27" s="6" t="inlineStr">
        <is>
          <t>2026-10-02 15:03:11.861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Easy</t>
        </is>
      </c>
      <c r="H27" s="4">
        <v>17.792</v>
      </c>
      <c r="P27" s="6">
        <v>37</v>
      </c>
    </row>
    <row r="28" ht="17" customHeight="1">
      <c r="A28" s="0">
        <v>33</v>
      </c>
      <c r="B28" s="0" t="inlineStr">
        <is>
          <t>P023</t>
        </is>
      </c>
      <c r="C28" s="0" t="inlineStr">
        <is>
          <t>2026-10-02 15:03:13.401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H28" s="4">
        <v>19.328</v>
      </c>
      <c r="I28" s="4">
        <v>19.3182</v>
      </c>
      <c r="J28" s="4">
        <v>-0.0098</v>
      </c>
      <c r="K28" s="4">
        <v>0.0098</v>
      </c>
      <c r="P28" s="0">
        <v>38</v>
      </c>
    </row>
    <row r="29" ht="17" customHeight="1">
      <c r="A29" s="6">
        <v>34</v>
      </c>
      <c r="B29" s="6" t="inlineStr">
        <is>
          <t>P023</t>
        </is>
      </c>
      <c r="C29" s="6" t="inlineStr">
        <is>
          <t>2026-10-02 15:03:14.943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H29" s="4">
        <v>20.864</v>
      </c>
      <c r="I29" s="4">
        <v>20.86</v>
      </c>
      <c r="J29" s="4">
        <v>-0.004</v>
      </c>
      <c r="K29" s="4">
        <v>0.004</v>
      </c>
      <c r="P29" s="6">
        <v>39</v>
      </c>
    </row>
    <row r="30" ht="17" customHeight="1">
      <c r="A30" s="0">
        <v>35</v>
      </c>
      <c r="B30" s="0" t="inlineStr">
        <is>
          <t>P023</t>
        </is>
      </c>
      <c r="C30" s="0" t="inlineStr">
        <is>
          <t>2026-10-02 15:03:14.943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20.864</v>
      </c>
      <c r="I30" s="4">
        <v>20.86</v>
      </c>
      <c r="J30" s="4">
        <v>-0.004</v>
      </c>
      <c r="K30" s="4">
        <v>0.004</v>
      </c>
      <c r="P30" s="0">
        <v>40</v>
      </c>
    </row>
    <row r="31" ht="17" customHeight="1">
      <c r="A31" s="6">
        <v>36</v>
      </c>
      <c r="B31" s="6" t="inlineStr">
        <is>
          <t>P023</t>
        </is>
      </c>
      <c r="C31" s="6" t="inlineStr">
        <is>
          <t>2026-10-02 15:03:16.457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22.4</v>
      </c>
      <c r="I31" s="4">
        <v>22.3736</v>
      </c>
      <c r="J31" s="4">
        <v>-0.0264</v>
      </c>
      <c r="K31" s="4">
        <v>0.0264</v>
      </c>
      <c r="P31" s="6">
        <v>41</v>
      </c>
    </row>
    <row r="32" ht="17" customHeight="1">
      <c r="A32" s="0">
        <v>37</v>
      </c>
      <c r="B32" s="0" t="inlineStr">
        <is>
          <t>P023</t>
        </is>
      </c>
      <c r="C32" s="0" t="inlineStr">
        <is>
          <t>2026-10-02 15:03:17.998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H32" s="4">
        <v>23.936</v>
      </c>
      <c r="I32" s="4">
        <v>23.9145</v>
      </c>
      <c r="J32" s="4">
        <v>-0.0215</v>
      </c>
      <c r="K32" s="4">
        <v>0.0215</v>
      </c>
      <c r="P32" s="0">
        <v>42</v>
      </c>
    </row>
    <row r="33" ht="17" customHeight="1">
      <c r="A33" s="6">
        <v>38</v>
      </c>
      <c r="B33" s="6" t="inlineStr">
        <is>
          <t>P023</t>
        </is>
      </c>
      <c r="C33" s="6" t="inlineStr">
        <is>
          <t>2026-10-02 15:03:18.012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23.936</v>
      </c>
      <c r="I33" s="4">
        <v>23.9285</v>
      </c>
      <c r="J33" s="4">
        <v>-0.0075</v>
      </c>
      <c r="K33" s="4">
        <v>0.0075</v>
      </c>
      <c r="P33" s="6">
        <v>43</v>
      </c>
    </row>
    <row r="34" ht="17" customHeight="1">
      <c r="A34" s="0">
        <v>40</v>
      </c>
      <c r="B34" s="0" t="inlineStr">
        <is>
          <t>P023</t>
        </is>
      </c>
      <c r="C34" s="0" t="inlineStr">
        <is>
          <t>2026-10-02 15:03:19.539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25.472</v>
      </c>
      <c r="I34" s="4">
        <v>25.4568</v>
      </c>
      <c r="J34" s="4">
        <v>-0.0152</v>
      </c>
      <c r="K34" s="4">
        <v>0.0152</v>
      </c>
      <c r="P34" s="0">
        <v>45</v>
      </c>
    </row>
    <row r="35" ht="17" customHeight="1">
      <c r="A35" s="6">
        <v>42</v>
      </c>
      <c r="B35" s="6" t="inlineStr">
        <is>
          <t>P023</t>
        </is>
      </c>
      <c r="C35" s="6" t="inlineStr">
        <is>
          <t>2026-10-02 15:03:20.318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Normal</t>
        </is>
      </c>
      <c r="H35" s="4">
        <v>26.24</v>
      </c>
      <c r="P35" s="6">
        <v>47</v>
      </c>
    </row>
    <row r="36" ht="17" customHeight="1">
      <c r="A36" s="0">
        <v>43</v>
      </c>
      <c r="B36" s="0" t="inlineStr">
        <is>
          <t>P023</t>
        </is>
      </c>
      <c r="C36" s="0" t="inlineStr">
        <is>
          <t>2026-10-02 15:03:20.332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Normal</t>
        </is>
      </c>
      <c r="H36" s="4">
        <v>26.24</v>
      </c>
      <c r="I36" s="4">
        <v>26.2482</v>
      </c>
      <c r="J36" s="4">
        <v>0.0082</v>
      </c>
      <c r="K36" s="4">
        <v>0.0082</v>
      </c>
      <c r="P36" s="0">
        <v>48</v>
      </c>
    </row>
    <row r="37" ht="17" customHeight="1">
      <c r="A37" s="6">
        <v>44</v>
      </c>
      <c r="B37" s="6" t="inlineStr">
        <is>
          <t>P023</t>
        </is>
      </c>
      <c r="C37" s="6" t="inlineStr">
        <is>
          <t>2026-10-02 15:03:21.123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Normal</t>
        </is>
      </c>
      <c r="H37" s="4">
        <v>27.008</v>
      </c>
      <c r="I37" s="4">
        <v>27.0267</v>
      </c>
      <c r="J37" s="4">
        <v>0.0187</v>
      </c>
      <c r="K37" s="4">
        <v>0.0187</v>
      </c>
      <c r="P37" s="6">
        <v>49</v>
      </c>
    </row>
    <row r="38" ht="17" customHeight="1">
      <c r="A38" s="0">
        <v>45</v>
      </c>
      <c r="B38" s="0" t="inlineStr">
        <is>
          <t>P023</t>
        </is>
      </c>
      <c r="C38" s="0" t="inlineStr">
        <is>
          <t>2026-10-02 15:03:21.124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Normal</t>
        </is>
      </c>
      <c r="H38" s="4">
        <v>27.008</v>
      </c>
      <c r="P38" s="0">
        <v>50</v>
      </c>
    </row>
    <row r="39" ht="17" customHeight="1">
      <c r="A39" s="6">
        <v>46</v>
      </c>
      <c r="B39" s="6" t="inlineStr">
        <is>
          <t>P023</t>
        </is>
      </c>
      <c r="C39" s="6" t="inlineStr">
        <is>
          <t>2026-10-02 15:03:21.860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Normal</t>
        </is>
      </c>
      <c r="H39" s="4">
        <v>27.776</v>
      </c>
      <c r="I39" s="4">
        <v>27.777</v>
      </c>
      <c r="J39" s="4">
        <v>0.001</v>
      </c>
      <c r="K39" s="4">
        <v>0.001</v>
      </c>
      <c r="P39" s="6">
        <v>51</v>
      </c>
    </row>
    <row r="40" ht="17" customHeight="1">
      <c r="A40" s="0">
        <v>47</v>
      </c>
      <c r="B40" s="0" t="inlineStr">
        <is>
          <t>P023</t>
        </is>
      </c>
      <c r="C40" s="0" t="inlineStr">
        <is>
          <t>2026-10-02 15:03:22.179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Missed</t>
        </is>
      </c>
      <c r="G40" s="0" t="inlineStr">
        <is>
          <t>Normal</t>
        </is>
      </c>
      <c r="H40" s="4">
        <v>27.776</v>
      </c>
      <c r="P40" s="0">
        <v>52</v>
      </c>
    </row>
    <row r="41" ht="17" customHeight="1">
      <c r="A41" s="6">
        <v>48</v>
      </c>
      <c r="B41" s="6" t="inlineStr">
        <is>
          <t>P023</t>
        </is>
      </c>
      <c r="C41" s="6" t="inlineStr">
        <is>
          <t>2026-10-02 15:03:22.624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Normal</t>
        </is>
      </c>
      <c r="H41" s="4">
        <v>28.544</v>
      </c>
      <c r="I41" s="4">
        <v>28.5407</v>
      </c>
      <c r="J41" s="4">
        <v>-0.0033</v>
      </c>
      <c r="K41" s="4">
        <v>0.0033</v>
      </c>
      <c r="P41" s="6">
        <v>53</v>
      </c>
    </row>
    <row r="42" ht="17" customHeight="1">
      <c r="A42" s="0">
        <v>49</v>
      </c>
      <c r="B42" s="0" t="inlineStr">
        <is>
          <t>P023</t>
        </is>
      </c>
      <c r="C42" s="0" t="inlineStr">
        <is>
          <t>2026-10-02 15:03:23.402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Normal</t>
        </is>
      </c>
      <c r="H42" s="4">
        <v>29.312</v>
      </c>
      <c r="I42" s="4">
        <v>29.3046</v>
      </c>
      <c r="J42" s="4">
        <v>-0.0074</v>
      </c>
      <c r="K42" s="4">
        <v>0.0074</v>
      </c>
      <c r="P42" s="0">
        <v>54</v>
      </c>
    </row>
    <row r="43" ht="17" customHeight="1">
      <c r="A43" s="6">
        <v>50</v>
      </c>
      <c r="B43" s="6" t="inlineStr">
        <is>
          <t>P023</t>
        </is>
      </c>
      <c r="C43" s="6" t="inlineStr">
        <is>
          <t>2026-10-02 15:03:23.403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Normal</t>
        </is>
      </c>
      <c r="H43" s="4">
        <v>29.312</v>
      </c>
      <c r="I43" s="4">
        <v>29.3186</v>
      </c>
      <c r="J43" s="4">
        <v>0.0066</v>
      </c>
      <c r="K43" s="4">
        <v>0.0066</v>
      </c>
      <c r="P43" s="6">
        <v>55</v>
      </c>
    </row>
    <row r="44" ht="17" customHeight="1">
      <c r="A44" s="0">
        <v>51</v>
      </c>
      <c r="B44" s="0" t="inlineStr">
        <is>
          <t>P023</t>
        </is>
      </c>
      <c r="C44" s="0" t="inlineStr">
        <is>
          <t>2026-10-02 15:03:24.179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Normal</t>
        </is>
      </c>
      <c r="H44" s="4">
        <v>30.08</v>
      </c>
      <c r="I44" s="4">
        <v>30.0822</v>
      </c>
      <c r="J44" s="4">
        <v>0.0022</v>
      </c>
      <c r="K44" s="4">
        <v>0.0022</v>
      </c>
      <c r="P44" s="0">
        <v>56</v>
      </c>
    </row>
    <row r="45" ht="17" customHeight="1">
      <c r="A45" s="6">
        <v>52</v>
      </c>
      <c r="B45" s="6" t="inlineStr">
        <is>
          <t>P023</t>
        </is>
      </c>
      <c r="C45" s="6" t="inlineStr">
        <is>
          <t>2026-10-02 15:03:24.943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Success</t>
        </is>
      </c>
      <c r="G45" s="6" t="inlineStr">
        <is>
          <t>Normal</t>
        </is>
      </c>
      <c r="H45" s="4">
        <v>30.848</v>
      </c>
      <c r="P45" s="6">
        <v>57</v>
      </c>
    </row>
    <row r="46" ht="17" customHeight="1">
      <c r="A46" s="0">
        <v>53</v>
      </c>
      <c r="B46" s="0" t="inlineStr">
        <is>
          <t>P023</t>
        </is>
      </c>
      <c r="C46" s="0" t="inlineStr">
        <is>
          <t>2026-10-02 15:03:24.944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Normal</t>
        </is>
      </c>
      <c r="H46" s="4">
        <v>30.848</v>
      </c>
      <c r="I46" s="4">
        <v>30.8602</v>
      </c>
      <c r="J46" s="4">
        <v>0.0122</v>
      </c>
      <c r="K46" s="4">
        <v>0.0122</v>
      </c>
      <c r="P46" s="0">
        <v>58</v>
      </c>
    </row>
    <row r="47" ht="17" customHeight="1">
      <c r="A47" s="6">
        <v>54</v>
      </c>
      <c r="B47" s="6" t="inlineStr">
        <is>
          <t>P023</t>
        </is>
      </c>
      <c r="C47" s="6" t="inlineStr">
        <is>
          <t>2026-10-02 15:03:27.940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Normal</t>
        </is>
      </c>
      <c r="H47" s="4">
        <v>33.92</v>
      </c>
      <c r="I47" s="4">
        <v>33.8445</v>
      </c>
      <c r="J47" s="4">
        <v>-0.0755</v>
      </c>
      <c r="K47" s="4">
        <v>0.0755</v>
      </c>
      <c r="P47" s="6">
        <v>59</v>
      </c>
    </row>
    <row r="48" ht="17" customHeight="1">
      <c r="A48" s="0">
        <v>55</v>
      </c>
      <c r="B48" s="0" t="inlineStr">
        <is>
          <t>P023</t>
        </is>
      </c>
      <c r="C48" s="0" t="inlineStr">
        <is>
          <t>2026-10-02 15:03:30.261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36.224</v>
      </c>
      <c r="I48" s="4">
        <v>36.1642</v>
      </c>
      <c r="J48" s="4">
        <v>-0.0598</v>
      </c>
      <c r="K48" s="4">
        <v>0.0598</v>
      </c>
      <c r="P48" s="0">
        <v>60</v>
      </c>
    </row>
    <row r="49" ht="17" customHeight="1">
      <c r="A49" s="6">
        <v>56</v>
      </c>
      <c r="B49" s="6" t="inlineStr">
        <is>
          <t>P023</t>
        </is>
      </c>
      <c r="C49" s="6" t="inlineStr">
        <is>
          <t>2026-10-02 15:03:32.997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Normal</t>
        </is>
      </c>
      <c r="H49" s="4">
        <v>38.912</v>
      </c>
      <c r="I49" s="4">
        <v>38.9003</v>
      </c>
      <c r="J49" s="4">
        <v>-0.0117</v>
      </c>
      <c r="K49" s="4">
        <v>0.0117</v>
      </c>
      <c r="P49" s="6">
        <v>61</v>
      </c>
    </row>
    <row r="50" ht="17" customHeight="1">
      <c r="A50" s="0">
        <v>57</v>
      </c>
      <c r="B50" s="0" t="inlineStr">
        <is>
          <t>P023</t>
        </is>
      </c>
      <c r="C50" s="0" t="inlineStr">
        <is>
          <t>2026-10-02 15:03:35.997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Normal</t>
        </is>
      </c>
      <c r="H50" s="4">
        <v>41.984</v>
      </c>
      <c r="I50" s="4">
        <v>41.8999</v>
      </c>
      <c r="J50" s="4">
        <v>-0.0841</v>
      </c>
      <c r="K50" s="4">
        <v>0.0841</v>
      </c>
      <c r="P50" s="0">
        <v>62</v>
      </c>
    </row>
    <row r="51" ht="17" customHeight="1">
      <c r="A51" s="6">
        <v>58</v>
      </c>
      <c r="B51" s="6" t="inlineStr">
        <is>
          <t>P023</t>
        </is>
      </c>
      <c r="C51" s="6" t="inlineStr">
        <is>
          <t>2026-10-02 15:03:36.205</t>
        </is>
      </c>
      <c r="D51" s="6" t="inlineStr">
        <is>
          <t>Joaquin</t>
        </is>
      </c>
      <c r="E51" s="6" t="inlineStr">
        <is>
          <t>PlayerHit</t>
        </is>
      </c>
      <c r="F51" s="6" t="inlineStr">
        <is>
          <t>Failed</t>
        </is>
      </c>
      <c r="G51" s="6" t="inlineStr">
        <is>
          <t>Normal</t>
        </is>
      </c>
      <c r="H51" s="4">
        <v>42.1082</v>
      </c>
      <c r="P51" s="6">
        <v>63</v>
      </c>
    </row>
    <row r="52" ht="17" customHeight="1">
      <c r="A52" s="0">
        <v>59</v>
      </c>
      <c r="B52" s="0" t="inlineStr">
        <is>
          <t>P023</t>
        </is>
      </c>
      <c r="C52" s="0" t="inlineStr">
        <is>
          <t>2026-10-02 15:03:38.582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Normal</t>
        </is>
      </c>
      <c r="H52" s="4">
        <v>44.672</v>
      </c>
      <c r="I52" s="4">
        <v>44.4846</v>
      </c>
      <c r="J52" s="4">
        <v>-0.1874</v>
      </c>
      <c r="K52" s="4">
        <v>0.1874</v>
      </c>
      <c r="P52" s="0">
        <v>64</v>
      </c>
    </row>
    <row r="53" ht="17" customHeight="1">
      <c r="A53" s="6">
        <v>60</v>
      </c>
      <c r="B53" s="6" t="inlineStr">
        <is>
          <t>P023</t>
        </is>
      </c>
      <c r="C53" s="6" t="inlineStr">
        <is>
          <t>2026-10-02 15:03:40.707</t>
        </is>
      </c>
      <c r="D53" s="6" t="inlineStr">
        <is>
          <t>Joaquin</t>
        </is>
      </c>
      <c r="E53" s="6" t="inlineStr">
        <is>
          <t>PlayerHit</t>
        </is>
      </c>
      <c r="F53" s="6" t="inlineStr">
        <is>
          <t>Failed</t>
        </is>
      </c>
      <c r="G53" s="6" t="inlineStr">
        <is>
          <t>Normal</t>
        </is>
      </c>
      <c r="H53" s="4">
        <v>46.61</v>
      </c>
      <c r="P53" s="6">
        <v>65</v>
      </c>
    </row>
    <row r="54" ht="17" customHeight="1">
      <c r="A54" s="0">
        <v>61</v>
      </c>
      <c r="B54" s="0" t="inlineStr">
        <is>
          <t>P023</t>
        </is>
      </c>
      <c r="C54" s="0" t="inlineStr">
        <is>
          <t>2026-10-02 15:03:41.680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Normal</t>
        </is>
      </c>
      <c r="H54" s="4">
        <v>47.744</v>
      </c>
      <c r="I54" s="4">
        <v>47.5821</v>
      </c>
      <c r="J54" s="4">
        <v>-0.1619</v>
      </c>
      <c r="K54" s="4">
        <v>0.1619</v>
      </c>
      <c r="P54" s="0">
        <v>66</v>
      </c>
    </row>
    <row r="55" ht="17" customHeight="1">
      <c r="A55" s="6">
        <v>62</v>
      </c>
      <c r="B55" s="6" t="inlineStr">
        <is>
          <t>P023</t>
        </is>
      </c>
      <c r="C55" s="6" t="inlineStr">
        <is>
          <t>2026-10-02 15:03:44.054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H55" s="4">
        <v>50.048</v>
      </c>
      <c r="I55" s="4">
        <v>49.9568</v>
      </c>
      <c r="J55" s="4">
        <v>-0.0912</v>
      </c>
      <c r="K55" s="4">
        <v>0.0912</v>
      </c>
      <c r="P55" s="6">
        <v>67</v>
      </c>
    </row>
    <row r="56" ht="17" customHeight="1">
      <c r="A56" s="0">
        <v>63</v>
      </c>
      <c r="B56" s="0" t="inlineStr">
        <is>
          <t>P023</t>
        </is>
      </c>
      <c r="C56" s="0" t="inlineStr">
        <is>
          <t>2026-10-02 15:03:45.247</t>
        </is>
      </c>
      <c r="D56" s="0" t="inlineStr">
        <is>
          <t>Joaquin</t>
        </is>
      </c>
      <c r="E56" s="0" t="inlineStr">
        <is>
          <t>PlayerHit</t>
        </is>
      </c>
      <c r="F56" s="0" t="inlineStr">
        <is>
          <t>Failed</t>
        </is>
      </c>
      <c r="G56" s="0" t="inlineStr">
        <is>
          <t>Normal</t>
        </is>
      </c>
      <c r="H56" s="4">
        <v>51.1506</v>
      </c>
      <c r="P56" s="0">
        <v>68</v>
      </c>
    </row>
    <row r="57" ht="17" customHeight="1">
      <c r="A57" s="6">
        <v>64</v>
      </c>
      <c r="B57" s="6" t="inlineStr">
        <is>
          <t>P023</t>
        </is>
      </c>
      <c r="C57" s="6" t="inlineStr">
        <is>
          <t>2026-10-02 15:03:46.551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H57" s="4">
        <v>52.352</v>
      </c>
      <c r="I57" s="4">
        <v>52.4555</v>
      </c>
      <c r="J57" s="4">
        <v>0.1035</v>
      </c>
      <c r="K57" s="4">
        <v>0.1035</v>
      </c>
      <c r="P57" s="6">
        <v>69</v>
      </c>
    </row>
    <row r="58" ht="17" customHeight="1">
      <c r="A58" s="0">
        <v>65</v>
      </c>
      <c r="B58" s="0" t="inlineStr">
        <is>
          <t>P023</t>
        </is>
      </c>
      <c r="C58" s="0" t="inlineStr">
        <is>
          <t>2026-10-02 15:03:48.678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H58" s="4">
        <v>54.656</v>
      </c>
      <c r="I58" s="4">
        <v>54.5803</v>
      </c>
      <c r="J58" s="4">
        <v>-0.0757</v>
      </c>
      <c r="K58" s="4">
        <v>0.0757</v>
      </c>
      <c r="P58" s="0">
        <v>70</v>
      </c>
    </row>
    <row r="59" ht="17" customHeight="1">
      <c r="A59" s="6">
        <v>66</v>
      </c>
      <c r="B59" s="6" t="inlineStr">
        <is>
          <t>P023</t>
        </is>
      </c>
      <c r="C59" s="6" t="inlineStr">
        <is>
          <t>2026-10-02 15:03:49.773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Normal</t>
        </is>
      </c>
      <c r="H59" s="4">
        <v>55.6771</v>
      </c>
      <c r="P59" s="6">
        <v>71</v>
      </c>
    </row>
    <row r="60" ht="17" customHeight="1">
      <c r="A60" s="0">
        <v>67</v>
      </c>
      <c r="B60" s="0" t="inlineStr">
        <is>
          <t>P023</t>
        </is>
      </c>
      <c r="C60" s="0" t="inlineStr">
        <is>
          <t>2026-10-02 15:03:50.954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Normal</t>
        </is>
      </c>
      <c r="H60" s="4">
        <v>56.96</v>
      </c>
      <c r="I60" s="4">
        <v>56.8577</v>
      </c>
      <c r="J60" s="4">
        <v>-0.1023</v>
      </c>
      <c r="K60" s="4">
        <v>0.1023</v>
      </c>
      <c r="P60" s="0">
        <v>72</v>
      </c>
    </row>
    <row r="61" ht="17" customHeight="1">
      <c r="A61" s="6">
        <v>68</v>
      </c>
      <c r="B61" s="6" t="inlineStr">
        <is>
          <t>P023</t>
        </is>
      </c>
      <c r="C61" s="6" t="inlineStr">
        <is>
          <t>2026-10-02 15:03:53.260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Normal</t>
        </is>
      </c>
      <c r="H61" s="4">
        <v>59.264</v>
      </c>
      <c r="I61" s="4">
        <v>59.1633</v>
      </c>
      <c r="J61" s="4">
        <v>-0.1007</v>
      </c>
      <c r="K61" s="4">
        <v>0.1007</v>
      </c>
      <c r="P61" s="6">
        <v>73</v>
      </c>
    </row>
    <row r="62" ht="17" customHeight="1">
      <c r="A62" s="0">
        <v>69</v>
      </c>
      <c r="B62" s="0" t="inlineStr">
        <is>
          <t>P023</t>
        </is>
      </c>
      <c r="C62" s="0" t="inlineStr">
        <is>
          <t>2026-10-02 15:03:54.301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Normal</t>
        </is>
      </c>
      <c r="H62" s="4">
        <v>60.2042</v>
      </c>
      <c r="P62" s="0">
        <v>74</v>
      </c>
    </row>
    <row r="63" ht="17" customHeight="1">
      <c r="A63" s="6">
        <v>70</v>
      </c>
      <c r="B63" s="6" t="inlineStr">
        <is>
          <t>P023</t>
        </is>
      </c>
      <c r="C63" s="6" t="inlineStr">
        <is>
          <t>2026-10-02 15:03:55.219</t>
        </is>
      </c>
      <c r="D63" s="6" t="inlineStr">
        <is>
          <t>Joaquin</t>
        </is>
      </c>
      <c r="E63" s="6" t="inlineStr">
        <is>
          <t>PlayerHit</t>
        </is>
      </c>
      <c r="F63" s="6" t="inlineStr">
        <is>
          <t>Failed</t>
        </is>
      </c>
      <c r="G63" s="6" t="inlineStr">
        <is>
          <t>Normal</t>
        </is>
      </c>
      <c r="H63" s="4">
        <v>61.1214</v>
      </c>
      <c r="P63" s="6">
        <v>75</v>
      </c>
    </row>
    <row r="64" ht="17" customHeight="1">
      <c r="A64" s="0">
        <v>71</v>
      </c>
      <c r="B64" s="0" t="inlineStr">
        <is>
          <t>P023</t>
        </is>
      </c>
      <c r="C64" s="0" t="inlineStr">
        <is>
          <t>2026-10-02 15:03:55.982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Normal</t>
        </is>
      </c>
      <c r="H64" s="4">
        <v>61.952</v>
      </c>
      <c r="I64" s="4">
        <v>61.8854</v>
      </c>
      <c r="J64" s="4">
        <v>-0.0666</v>
      </c>
      <c r="K64" s="4">
        <v>0.0666</v>
      </c>
      <c r="P64" s="0">
        <v>76</v>
      </c>
    </row>
    <row r="65" ht="17" customHeight="1">
      <c r="A65" s="6">
        <v>72</v>
      </c>
      <c r="B65" s="6" t="inlineStr">
        <is>
          <t>P023</t>
        </is>
      </c>
      <c r="C65" s="6" t="inlineStr">
        <is>
          <t>2026-10-02 15:04:00.359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Failed</t>
        </is>
      </c>
      <c r="G65" s="6" t="inlineStr">
        <is>
          <t>Normal</t>
        </is>
      </c>
      <c r="H65" s="4">
        <v>66.2528</v>
      </c>
      <c r="I65" s="4">
        <v>66.2614</v>
      </c>
      <c r="J65" s="4">
        <v>0.0086</v>
      </c>
      <c r="K65" s="4">
        <v>0.0086</v>
      </c>
      <c r="L65" s="4">
        <v>0.8534</v>
      </c>
      <c r="N65" s="4">
        <v>0.0</v>
      </c>
      <c r="P65" s="6">
        <v>77</v>
      </c>
    </row>
    <row r="66" ht="17" customHeight="1">
      <c r="A66" s="0">
        <v>73</v>
      </c>
      <c r="B66" s="0" t="inlineStr">
        <is>
          <t>P023</t>
        </is>
      </c>
      <c r="C66" s="0" t="inlineStr">
        <is>
          <t>2026-10-02 15:04:01.081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Normal</t>
        </is>
      </c>
      <c r="H66" s="4">
        <v>67.7888</v>
      </c>
      <c r="I66" s="4">
        <v>66.9837</v>
      </c>
      <c r="J66" s="4">
        <v>-0.8051</v>
      </c>
      <c r="K66" s="4">
        <v>0.8051</v>
      </c>
      <c r="L66" s="4">
        <v>0.0397</v>
      </c>
      <c r="N66" s="4">
        <v>0.0</v>
      </c>
      <c r="P66" s="0">
        <v>78</v>
      </c>
    </row>
    <row r="67" ht="17" customHeight="1">
      <c r="A67" s="6">
        <v>74</v>
      </c>
      <c r="B67" s="6" t="inlineStr">
        <is>
          <t>P023</t>
        </is>
      </c>
      <c r="C67" s="6" t="inlineStr">
        <is>
          <t>2026-10-02 15:04:02.595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Normal</t>
        </is>
      </c>
      <c r="H67" s="4">
        <v>69.3248</v>
      </c>
      <c r="I67" s="4">
        <v>68.4981</v>
      </c>
      <c r="J67" s="4">
        <v>-0.8267</v>
      </c>
      <c r="K67" s="4">
        <v>0.8267</v>
      </c>
      <c r="L67" s="4">
        <v>0.0181</v>
      </c>
      <c r="N67" s="4">
        <v>0.0</v>
      </c>
      <c r="P67" s="6">
        <v>79</v>
      </c>
    </row>
    <row r="68" ht="17" customHeight="1">
      <c r="A68" s="0">
        <v>75</v>
      </c>
      <c r="B68" s="0" t="inlineStr">
        <is>
          <t>P023</t>
        </is>
      </c>
      <c r="C68" s="0" t="inlineStr">
        <is>
          <t>2026-10-02 15:04:04.136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Failed</t>
        </is>
      </c>
      <c r="G68" s="0" t="inlineStr">
        <is>
          <t>Normal</t>
        </is>
      </c>
      <c r="H68" s="4">
        <v>70.8608</v>
      </c>
      <c r="P68" s="0">
        <v>80</v>
      </c>
    </row>
    <row r="69" ht="17" customHeight="1">
      <c r="A69" s="6">
        <v>76</v>
      </c>
      <c r="B69" s="6" t="inlineStr">
        <is>
          <t>P023</t>
        </is>
      </c>
      <c r="C69" s="6" t="inlineStr">
        <is>
          <t>2026-10-02 15:04:05.664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Failed</t>
        </is>
      </c>
      <c r="G69" s="6" t="inlineStr">
        <is>
          <t>Normal</t>
        </is>
      </c>
      <c r="H69" s="4">
        <v>72.3968</v>
      </c>
      <c r="I69" s="4">
        <v>71.5669</v>
      </c>
      <c r="J69" s="4">
        <v>-0.8299</v>
      </c>
      <c r="K69" s="4">
        <v>0.8299</v>
      </c>
      <c r="L69" s="4">
        <v>0.0149</v>
      </c>
      <c r="N69" s="4">
        <v>0.0</v>
      </c>
      <c r="P69" s="6">
        <v>81</v>
      </c>
    </row>
    <row r="70" ht="17" customHeight="1">
      <c r="A70" s="0">
        <v>80</v>
      </c>
      <c r="B70" s="0" t="inlineStr">
        <is>
          <t>P023</t>
        </is>
      </c>
      <c r="C70" s="0" t="inlineStr">
        <is>
          <t>2026-10-02 15:04:08.442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Failed</t>
        </is>
      </c>
      <c r="G70" s="0" t="inlineStr">
        <is>
          <t>Normal</t>
        </is>
      </c>
      <c r="H70" s="4">
        <v>74.528</v>
      </c>
      <c r="P70" s="0">
        <v>85</v>
      </c>
    </row>
    <row r="71" ht="17" customHeight="1">
      <c r="A71" s="6">
        <v>81</v>
      </c>
      <c r="B71" s="6" t="inlineStr">
        <is>
          <t>P023</t>
        </is>
      </c>
      <c r="C71" s="6" t="inlineStr">
        <is>
          <t>2026-10-02 15:04:10.053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Failed</t>
        </is>
      </c>
      <c r="G71" s="6" t="inlineStr">
        <is>
          <t>Normal</t>
        </is>
      </c>
      <c r="H71" s="4">
        <v>76.448</v>
      </c>
      <c r="I71" s="4">
        <v>75.9558</v>
      </c>
      <c r="J71" s="4">
        <v>-0.4922</v>
      </c>
      <c r="K71" s="4">
        <v>0.4922</v>
      </c>
      <c r="L71" s="4">
        <v>0.5638</v>
      </c>
      <c r="N71" s="4">
        <v>0.0</v>
      </c>
      <c r="P71" s="6">
        <v>86</v>
      </c>
    </row>
    <row r="72" ht="17" customHeight="1">
      <c r="A72" s="0">
        <v>83</v>
      </c>
      <c r="B72" s="0" t="inlineStr">
        <is>
          <t>P023</t>
        </is>
      </c>
      <c r="C72" s="0" t="inlineStr">
        <is>
          <t>2026-10-02 15:04:11.442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Easy</t>
        </is>
      </c>
      <c r="H72" s="4">
        <v>78.368</v>
      </c>
      <c r="I72" s="4">
        <v>77.3449</v>
      </c>
      <c r="J72" s="4">
        <v>-1.0231</v>
      </c>
      <c r="K72" s="4">
        <v>1.0231</v>
      </c>
      <c r="L72" s="4">
        <v>0.0329</v>
      </c>
      <c r="N72" s="4">
        <v>0.0</v>
      </c>
      <c r="P72" s="0">
        <v>88</v>
      </c>
    </row>
    <row r="73" ht="17" customHeight="1">
      <c r="A73" s="6">
        <v>85</v>
      </c>
      <c r="B73" s="6" t="inlineStr">
        <is>
          <t>P023</t>
        </is>
      </c>
      <c r="C73" s="6" t="inlineStr">
        <is>
          <t>2026-10-02 15:04:14.164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Easy</t>
        </is>
      </c>
      <c r="H73" s="4">
        <v>80.288</v>
      </c>
      <c r="I73" s="4">
        <v>80.0666</v>
      </c>
      <c r="J73" s="4">
        <v>-0.2214</v>
      </c>
      <c r="K73" s="4">
        <v>0.2214</v>
      </c>
      <c r="L73" s="4">
        <v>0.8346</v>
      </c>
      <c r="N73" s="4">
        <v>0.0</v>
      </c>
      <c r="P73" s="6">
        <v>90</v>
      </c>
    </row>
    <row r="74" ht="17" customHeight="1">
      <c r="A74" s="0">
        <v>86</v>
      </c>
      <c r="B74" s="0" t="inlineStr">
        <is>
          <t>P023</t>
        </is>
      </c>
      <c r="C74" s="0" t="inlineStr">
        <is>
          <t>2026-10-02 15:04:15.482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Easy</t>
        </is>
      </c>
      <c r="H74" s="4">
        <v>82.208</v>
      </c>
      <c r="I74" s="4">
        <v>81.3859</v>
      </c>
      <c r="J74" s="4">
        <v>-0.8221</v>
      </c>
      <c r="K74" s="4">
        <v>0.8221</v>
      </c>
      <c r="L74" s="4">
        <v>0.2339</v>
      </c>
      <c r="N74" s="4">
        <v>0.0</v>
      </c>
      <c r="P74" s="0">
        <v>91</v>
      </c>
    </row>
    <row r="75" ht="17" customHeight="1">
      <c r="A75" s="6">
        <v>87</v>
      </c>
      <c r="B75" s="6" t="inlineStr">
        <is>
          <t>P023</t>
        </is>
      </c>
      <c r="C75" s="6" t="inlineStr">
        <is>
          <t>2026-10-02 15:04:17.996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Success</t>
        </is>
      </c>
      <c r="G75" s="6" t="inlineStr">
        <is>
          <t>Easy</t>
        </is>
      </c>
      <c r="H75" s="4">
        <v>84.128</v>
      </c>
      <c r="I75" s="4">
        <v>83.8995</v>
      </c>
      <c r="J75" s="4">
        <v>-0.2285</v>
      </c>
      <c r="K75" s="4">
        <v>0.2285</v>
      </c>
      <c r="L75" s="4">
        <v>0.8275</v>
      </c>
      <c r="N75" s="4">
        <v>1.0</v>
      </c>
      <c r="P75" s="6">
        <v>92</v>
      </c>
    </row>
    <row r="76" ht="17" customHeight="1">
      <c r="A76" s="0">
        <v>88</v>
      </c>
      <c r="B76" s="0" t="inlineStr">
        <is>
          <t>P023</t>
        </is>
      </c>
      <c r="C76" s="0" t="inlineStr">
        <is>
          <t>2026-10-02 15:04:19.801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H76" s="4">
        <v>86.048</v>
      </c>
      <c r="I76" s="4">
        <v>85.705</v>
      </c>
      <c r="J76" s="4">
        <v>-0.343</v>
      </c>
      <c r="K76" s="4">
        <v>0.343</v>
      </c>
      <c r="L76" s="4">
        <v>0.713</v>
      </c>
      <c r="N76" s="4">
        <v>1.0</v>
      </c>
      <c r="P76" s="0">
        <v>93</v>
      </c>
    </row>
    <row r="77" ht="17" customHeight="1">
      <c r="A77" s="6">
        <v>90</v>
      </c>
      <c r="B77" s="6" t="inlineStr">
        <is>
          <t>P023</t>
        </is>
      </c>
      <c r="C77" s="6" t="inlineStr">
        <is>
          <t>2026-10-02 15:04:21.760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Easy</t>
        </is>
      </c>
      <c r="H77" s="4">
        <v>87.968</v>
      </c>
      <c r="I77" s="4">
        <v>87.6637</v>
      </c>
      <c r="J77" s="4">
        <v>-0.3043</v>
      </c>
      <c r="K77" s="4">
        <v>0.3043</v>
      </c>
      <c r="L77" s="4">
        <v>0.7517</v>
      </c>
      <c r="N77" s="4">
        <v>1.0</v>
      </c>
      <c r="P77" s="6">
        <v>95</v>
      </c>
    </row>
    <row r="78" ht="17" customHeight="1">
      <c r="A78" s="0">
        <v>91</v>
      </c>
      <c r="B78" s="0" t="inlineStr">
        <is>
          <t>P023</t>
        </is>
      </c>
      <c r="C78" s="0" t="inlineStr">
        <is>
          <t>2026-10-02 15:04:23.621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Success</t>
        </is>
      </c>
      <c r="G78" s="0" t="inlineStr">
        <is>
          <t>Easy</t>
        </is>
      </c>
      <c r="H78" s="4">
        <v>89.888</v>
      </c>
      <c r="I78" s="4">
        <v>89.5248</v>
      </c>
      <c r="J78" s="4">
        <v>-0.3632</v>
      </c>
      <c r="K78" s="4">
        <v>0.3632</v>
      </c>
      <c r="L78" s="4">
        <v>0.6928</v>
      </c>
      <c r="N78" s="4">
        <v>1.0</v>
      </c>
      <c r="P78" s="0">
        <v>96</v>
      </c>
    </row>
    <row r="79" ht="17" customHeight="1">
      <c r="A79" s="6">
        <v>92</v>
      </c>
      <c r="B79" s="6" t="inlineStr">
        <is>
          <t>P023</t>
        </is>
      </c>
      <c r="C79" s="6" t="inlineStr">
        <is>
          <t>2026-10-02 15:04:25.551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Success</t>
        </is>
      </c>
      <c r="G79" s="6" t="inlineStr">
        <is>
          <t>Easy</t>
        </is>
      </c>
      <c r="H79" s="4">
        <v>91.808</v>
      </c>
      <c r="I79" s="4">
        <v>91.4548</v>
      </c>
      <c r="J79" s="4">
        <v>-0.3532</v>
      </c>
      <c r="K79" s="4">
        <v>0.3532</v>
      </c>
      <c r="L79" s="4">
        <v>0.7028</v>
      </c>
      <c r="N79" s="4">
        <v>1.0</v>
      </c>
      <c r="P79" s="6">
        <v>97</v>
      </c>
    </row>
    <row r="80" ht="17" customHeight="1">
      <c r="A80" s="0">
        <v>93</v>
      </c>
      <c r="B80" s="0" t="inlineStr">
        <is>
          <t>P023</t>
        </is>
      </c>
      <c r="C80" s="0" t="inlineStr">
        <is>
          <t>2026-10-02 15:04:27.578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Failed</t>
        </is>
      </c>
      <c r="G80" s="0" t="inlineStr">
        <is>
          <t>Easy</t>
        </is>
      </c>
      <c r="H80" s="4">
        <v>93.728</v>
      </c>
      <c r="P80" s="0">
        <v>98</v>
      </c>
    </row>
    <row r="81" ht="17" customHeight="1">
      <c r="A81" s="6">
        <v>94</v>
      </c>
      <c r="B81" s="6" t="inlineStr">
        <is>
          <t>P023</t>
        </is>
      </c>
      <c r="C81" s="6" t="inlineStr">
        <is>
          <t>2026-10-02 15:04:32.078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Failed</t>
        </is>
      </c>
      <c r="G81" s="6" t="inlineStr">
        <is>
          <t>Easy</t>
        </is>
      </c>
      <c r="H81" s="4">
        <v>96.128</v>
      </c>
      <c r="I81" s="4">
        <v>97.1072</v>
      </c>
      <c r="J81" s="4">
        <v>0.9792</v>
      </c>
      <c r="K81" s="4">
        <v>0.9792</v>
      </c>
      <c r="N81" s="4">
        <v>1.0</v>
      </c>
      <c r="O81" s="6" t="b">
        <v>0</v>
      </c>
      <c r="P81" s="6">
        <v>99</v>
      </c>
    </row>
    <row r="82" ht="17" customHeight="1">
      <c r="A82" s="0">
        <v>96</v>
      </c>
      <c r="B82" s="0" t="inlineStr">
        <is>
          <t>P023</t>
        </is>
      </c>
      <c r="C82" s="0" t="inlineStr">
        <is>
          <t>2026-10-02 15:04:35.079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Missed</t>
        </is>
      </c>
      <c r="G82" s="0" t="inlineStr">
        <is>
          <t>Easy</t>
        </is>
      </c>
      <c r="H82" s="4">
        <v>94.976</v>
      </c>
      <c r="P82" s="0">
        <v>101</v>
      </c>
    </row>
    <row r="83" ht="17" customHeight="1">
      <c r="A83" s="6">
        <v>97</v>
      </c>
      <c r="B83" s="6" t="inlineStr">
        <is>
          <t>P023</t>
        </is>
      </c>
      <c r="C83" s="6" t="inlineStr">
        <is>
          <t>2026-10-02 15:04:35.301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Success</t>
        </is>
      </c>
      <c r="G83" s="6" t="inlineStr">
        <is>
          <t>Easy</t>
        </is>
      </c>
      <c r="H83" s="4">
        <v>101.12</v>
      </c>
      <c r="I83" s="4">
        <v>101.0791</v>
      </c>
      <c r="J83" s="4">
        <v>-0.0409</v>
      </c>
      <c r="K83" s="4">
        <v>0.0409</v>
      </c>
      <c r="N83" s="4">
        <v>1.0</v>
      </c>
      <c r="O83" s="6" t="b">
        <v>1</v>
      </c>
      <c r="P83" s="6">
        <v>102</v>
      </c>
    </row>
    <row r="84" ht="17" customHeight="1">
      <c r="A84" s="0">
        <v>98</v>
      </c>
      <c r="B84" s="0" t="inlineStr">
        <is>
          <t>P023</t>
        </is>
      </c>
      <c r="C84" s="0" t="inlineStr">
        <is>
          <t>2026-10-02 15:04:38.413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102.656</v>
      </c>
      <c r="I84" s="4">
        <v>104.08</v>
      </c>
      <c r="J84" s="4">
        <v>1.424</v>
      </c>
      <c r="K84" s="4">
        <v>1.424</v>
      </c>
      <c r="N84" s="4">
        <v>0.0</v>
      </c>
      <c r="O84" s="0" t="b">
        <v>1</v>
      </c>
      <c r="P84" s="0">
        <v>103</v>
      </c>
    </row>
    <row r="85" ht="17" customHeight="1">
      <c r="A85" s="6">
        <v>99</v>
      </c>
      <c r="B85" s="6" t="inlineStr">
        <is>
          <t>P023</t>
        </is>
      </c>
      <c r="C85" s="6" t="inlineStr">
        <is>
          <t>2026-10-02 15:04:39.441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Failed</t>
        </is>
      </c>
      <c r="G85" s="6" t="inlineStr">
        <is>
          <t>Easy</t>
        </is>
      </c>
      <c r="H85" s="4">
        <v>104.96</v>
      </c>
      <c r="I85" s="4">
        <v>104.4967</v>
      </c>
      <c r="J85" s="4">
        <v>-0.4633</v>
      </c>
      <c r="K85" s="4">
        <v>0.4633</v>
      </c>
      <c r="N85" s="4">
        <v>1.0</v>
      </c>
      <c r="O85" s="6" t="b">
        <v>0</v>
      </c>
      <c r="P85" s="6">
        <v>104</v>
      </c>
    </row>
    <row r="86" ht="17" customHeight="1">
      <c r="A86" s="0">
        <v>101</v>
      </c>
      <c r="B86" s="0" t="inlineStr">
        <is>
          <t>P023</t>
        </is>
      </c>
      <c r="C86" s="0" t="inlineStr">
        <is>
          <t>2026-10-02 15:04:43.343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Success</t>
        </is>
      </c>
      <c r="G86" s="0" t="inlineStr">
        <is>
          <t>Easy</t>
        </is>
      </c>
      <c r="H86" s="4">
        <v>104.192</v>
      </c>
      <c r="I86" s="4">
        <v>108.983</v>
      </c>
      <c r="J86" s="4">
        <v>4.791</v>
      </c>
      <c r="K86" s="4">
        <v>4.791</v>
      </c>
      <c r="N86" s="4">
        <v>1.0</v>
      </c>
      <c r="O86" s="0" t="b">
        <v>1</v>
      </c>
      <c r="P86" s="0">
        <v>106</v>
      </c>
    </row>
    <row r="87" ht="17" customHeight="1">
      <c r="A87" s="6">
        <v>102</v>
      </c>
      <c r="B87" s="6" t="inlineStr">
        <is>
          <t>P023</t>
        </is>
      </c>
      <c r="C87" s="6" t="inlineStr">
        <is>
          <t>2026-10-02 15:04:46.981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Missed</t>
        </is>
      </c>
      <c r="G87" s="6" t="inlineStr">
        <is>
          <t>Easy</t>
        </is>
      </c>
      <c r="H87" s="4">
        <v>106.88</v>
      </c>
      <c r="P87" s="6">
        <v>107</v>
      </c>
    </row>
    <row r="88" ht="17" customHeight="1">
      <c r="A88" s="0">
        <v>103</v>
      </c>
      <c r="B88" s="0" t="inlineStr">
        <is>
          <t>P023</t>
        </is>
      </c>
      <c r="C88" s="0" t="inlineStr">
        <is>
          <t>2026-10-02 15:04:48.218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Easy</t>
        </is>
      </c>
      <c r="H88" s="4">
        <v>111.104</v>
      </c>
      <c r="I88" s="4">
        <v>114.066</v>
      </c>
      <c r="J88" s="4">
        <v>2.962</v>
      </c>
      <c r="K88" s="4">
        <v>2.962</v>
      </c>
      <c r="N88" s="4">
        <v>0.0</v>
      </c>
      <c r="O88" s="0" t="b">
        <v>1</v>
      </c>
      <c r="P88" s="0">
        <v>108</v>
      </c>
    </row>
    <row r="89" ht="17" customHeight="1">
      <c r="A89" s="6">
        <v>104</v>
      </c>
      <c r="B89" s="6" t="inlineStr">
        <is>
          <t>P023</t>
        </is>
      </c>
      <c r="C89" s="6" t="inlineStr">
        <is>
          <t>2026-10-02 15:04:50.203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Success</t>
        </is>
      </c>
      <c r="G89" s="6" t="inlineStr">
        <is>
          <t>Easy</t>
        </is>
      </c>
      <c r="H89" s="4">
        <v>113.792</v>
      </c>
      <c r="I89" s="4">
        <v>115.8988</v>
      </c>
      <c r="J89" s="4">
        <v>2.1068</v>
      </c>
      <c r="K89" s="4">
        <v>2.1068</v>
      </c>
      <c r="N89" s="4">
        <v>1.0</v>
      </c>
      <c r="O89" s="6" t="b">
        <v>1</v>
      </c>
      <c r="P89" s="6">
        <v>109</v>
      </c>
    </row>
    <row r="90" ht="17" customHeight="1">
      <c r="A90" s="0">
        <v>105</v>
      </c>
      <c r="B90" s="0" t="inlineStr">
        <is>
          <t>P023</t>
        </is>
      </c>
      <c r="C90" s="0" t="inlineStr">
        <is>
          <t>2026-10-02 15:04:51.176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Success</t>
        </is>
      </c>
      <c r="G90" s="0" t="inlineStr">
        <is>
          <t>Easy</t>
        </is>
      </c>
      <c r="H90" s="4">
        <v>117.248</v>
      </c>
      <c r="I90" s="4">
        <v>116.8153</v>
      </c>
      <c r="J90" s="4">
        <v>-0.4327</v>
      </c>
      <c r="K90" s="4">
        <v>0.4327</v>
      </c>
      <c r="N90" s="4">
        <v>1.0</v>
      </c>
      <c r="O90" s="0" t="b">
        <v>1</v>
      </c>
      <c r="P90" s="0">
        <v>110</v>
      </c>
    </row>
    <row r="91" ht="17" customHeight="1">
      <c r="A91" s="6">
        <v>106</v>
      </c>
      <c r="B91" s="6" t="inlineStr">
        <is>
          <t>P023</t>
        </is>
      </c>
      <c r="C91" s="6" t="inlineStr">
        <is>
          <t>2026-10-02 15:04:51.593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Failed</t>
        </is>
      </c>
      <c r="G91" s="6" t="inlineStr">
        <is>
          <t>Easy</t>
        </is>
      </c>
      <c r="H91" s="4">
        <v>116.096</v>
      </c>
      <c r="I91" s="4">
        <v>117.2597</v>
      </c>
      <c r="J91" s="4">
        <v>1.1637</v>
      </c>
      <c r="K91" s="4">
        <v>1.1637</v>
      </c>
      <c r="N91" s="4">
        <v>0.0</v>
      </c>
      <c r="O91" s="6" t="b">
        <v>1</v>
      </c>
      <c r="P91" s="6">
        <v>111</v>
      </c>
    </row>
    <row r="92" ht="17" customHeight="1">
      <c r="A92" s="0">
        <v>107</v>
      </c>
      <c r="B92" s="0" t="inlineStr">
        <is>
          <t>P023</t>
        </is>
      </c>
      <c r="C92" s="0" t="inlineStr">
        <is>
          <t>2026-10-02 15:04:53.758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Easy</t>
        </is>
      </c>
      <c r="H92" s="4">
        <v>118.4</v>
      </c>
      <c r="I92" s="4">
        <v>119.3847</v>
      </c>
      <c r="J92" s="4">
        <v>0.9847</v>
      </c>
      <c r="K92" s="4">
        <v>0.9847</v>
      </c>
      <c r="N92" s="4">
        <v>0.0</v>
      </c>
      <c r="O92" s="0" t="b">
        <v>1</v>
      </c>
      <c r="P92" s="0">
        <v>112</v>
      </c>
    </row>
    <row r="93" ht="17" customHeight="1">
      <c r="A93" s="6">
        <v>108</v>
      </c>
      <c r="B93" s="6" t="inlineStr">
        <is>
          <t>P023</t>
        </is>
      </c>
      <c r="C93" s="6" t="inlineStr">
        <is>
          <t>2026-10-02 15:04:58.744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Success</t>
        </is>
      </c>
      <c r="G93" s="6" t="inlineStr">
        <is>
          <t>Easy</t>
        </is>
      </c>
      <c r="H93" s="4">
        <v>121.472</v>
      </c>
      <c r="I93" s="4">
        <v>124.5362</v>
      </c>
      <c r="J93" s="4">
        <v>3.0642</v>
      </c>
      <c r="K93" s="4">
        <v>3.0642</v>
      </c>
      <c r="N93" s="4">
        <v>1.0</v>
      </c>
      <c r="O93" s="6" t="b">
        <v>1</v>
      </c>
      <c r="P93" s="6">
        <v>113</v>
      </c>
    </row>
    <row r="94" ht="17" customHeight="1">
      <c r="A94" s="0">
        <v>109</v>
      </c>
      <c r="B94" s="0" t="inlineStr">
        <is>
          <t>P023</t>
        </is>
      </c>
      <c r="C94" s="0" t="inlineStr">
        <is>
          <t>2026-10-02 15:05:01.840</t>
        </is>
      </c>
      <c r="D94" s="0" t="inlineStr">
        <is>
          <t>Danniel</t>
        </is>
      </c>
      <c r="E94" s="0" t="inlineStr">
        <is>
          <t>PlayerHit</t>
        </is>
      </c>
      <c r="F94" s="0" t="inlineStr">
        <is>
          <t>Failed</t>
        </is>
      </c>
      <c r="G94" s="0" t="inlineStr">
        <is>
          <t>Easy</t>
        </is>
      </c>
      <c r="H94" s="4">
        <v>127.7427</v>
      </c>
      <c r="P94" s="0">
        <v>114</v>
      </c>
    </row>
    <row r="95" ht="17" customHeight="1">
      <c r="A95" s="6">
        <v>111</v>
      </c>
      <c r="B95" s="6" t="inlineStr">
        <is>
          <t>P023</t>
        </is>
      </c>
      <c r="C95" s="6" t="inlineStr">
        <is>
          <t>2026-10-02 15:05:02.897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128.768</v>
      </c>
      <c r="I95" s="4">
        <v>128.6472</v>
      </c>
      <c r="J95" s="4">
        <v>-0.1208</v>
      </c>
      <c r="K95" s="4">
        <v>0.1208</v>
      </c>
      <c r="P95" s="6">
        <v>116</v>
      </c>
    </row>
    <row r="96" ht="17" customHeight="1">
      <c r="A96" s="0">
        <v>113</v>
      </c>
      <c r="B96" s="0" t="inlineStr">
        <is>
          <t>P023</t>
        </is>
      </c>
      <c r="C96" s="0" t="inlineStr">
        <is>
          <t>2026-10-02 15:05:03.743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Success</t>
        </is>
      </c>
      <c r="G96" s="0" t="inlineStr">
        <is>
          <t>Easy</t>
        </is>
      </c>
      <c r="H96" s="4">
        <v>129.152</v>
      </c>
      <c r="I96" s="4">
        <v>129.2573</v>
      </c>
      <c r="J96" s="4">
        <v>0.1053</v>
      </c>
      <c r="K96" s="4">
        <v>0.1053</v>
      </c>
      <c r="P96" s="0">
        <v>118</v>
      </c>
    </row>
    <row r="97" ht="17" customHeight="1">
      <c r="A97" s="6">
        <v>114</v>
      </c>
      <c r="B97" s="6" t="inlineStr">
        <is>
          <t>P023</t>
        </is>
      </c>
      <c r="C97" s="6" t="inlineStr">
        <is>
          <t>2026-10-02 15:05:05.424</t>
        </is>
      </c>
      <c r="D97" s="6" t="inlineStr">
        <is>
          <t>Danniel</t>
        </is>
      </c>
      <c r="E97" s="6" t="inlineStr">
        <is>
          <t>PlayerHit</t>
        </is>
      </c>
      <c r="F97" s="6" t="inlineStr">
        <is>
          <t>Failed</t>
        </is>
      </c>
      <c r="G97" s="6" t="inlineStr">
        <is>
          <t>Easy</t>
        </is>
      </c>
      <c r="H97" s="4">
        <v>131.3277</v>
      </c>
      <c r="P97" s="6">
        <v>119</v>
      </c>
    </row>
    <row r="98" ht="17" customHeight="1">
      <c r="A98" s="0">
        <v>115</v>
      </c>
      <c r="B98" s="0" t="inlineStr">
        <is>
          <t>P023</t>
        </is>
      </c>
      <c r="C98" s="0" t="inlineStr">
        <is>
          <t>2026-10-02 15:05:06.314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Success</t>
        </is>
      </c>
      <c r="G98" s="0" t="inlineStr">
        <is>
          <t>Easy</t>
        </is>
      </c>
      <c r="H98" s="4">
        <v>131.84</v>
      </c>
      <c r="I98" s="4">
        <v>131.7307</v>
      </c>
      <c r="J98" s="4">
        <v>-0.1093</v>
      </c>
      <c r="K98" s="4">
        <v>0.1093</v>
      </c>
      <c r="P98" s="0">
        <v>120</v>
      </c>
    </row>
    <row r="99" ht="17" customHeight="1">
      <c r="A99" s="6">
        <v>116</v>
      </c>
      <c r="B99" s="6" t="inlineStr">
        <is>
          <t>P023</t>
        </is>
      </c>
      <c r="C99" s="6" t="inlineStr">
        <is>
          <t>2026-10-02 15:05:08.022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Success</t>
        </is>
      </c>
      <c r="G99" s="6" t="inlineStr">
        <is>
          <t>Easy</t>
        </is>
      </c>
      <c r="H99" s="4">
        <v>133.376</v>
      </c>
      <c r="I99" s="4">
        <v>133.5227</v>
      </c>
      <c r="J99" s="4">
        <v>0.1467</v>
      </c>
      <c r="K99" s="4">
        <v>0.1467</v>
      </c>
      <c r="P99" s="6">
        <v>121</v>
      </c>
    </row>
    <row r="100" ht="17" customHeight="1">
      <c r="A100" s="0">
        <v>117</v>
      </c>
      <c r="B100" s="0" t="inlineStr">
        <is>
          <t>P023</t>
        </is>
      </c>
      <c r="C100" s="0" t="inlineStr">
        <is>
          <t>2026-10-02 15:05:10.760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Success</t>
        </is>
      </c>
      <c r="G100" s="0" t="inlineStr">
        <is>
          <t>Easy</t>
        </is>
      </c>
      <c r="H100" s="4">
        <v>136.064</v>
      </c>
      <c r="I100" s="4">
        <v>136.0653</v>
      </c>
      <c r="J100" s="4">
        <v>0.0013</v>
      </c>
      <c r="K100" s="4">
        <v>0.0013</v>
      </c>
      <c r="P100" s="0">
        <v>122</v>
      </c>
    </row>
    <row r="101" ht="17" customHeight="1">
      <c r="A101" s="6">
        <v>118</v>
      </c>
      <c r="B101" s="6" t="inlineStr">
        <is>
          <t>P023</t>
        </is>
      </c>
      <c r="C101" s="6" t="inlineStr">
        <is>
          <t>2026-10-02 15:05:11.899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Failed</t>
        </is>
      </c>
      <c r="G101" s="6" t="inlineStr">
        <is>
          <t>Easy</t>
        </is>
      </c>
      <c r="H101" s="4">
        <v>137.8017</v>
      </c>
      <c r="P101" s="6">
        <v>123</v>
      </c>
    </row>
    <row r="102" ht="17" customHeight="1">
      <c r="A102" s="0">
        <v>119</v>
      </c>
      <c r="B102" s="0" t="inlineStr">
        <is>
          <t>P023</t>
        </is>
      </c>
      <c r="C102" s="0" t="inlineStr">
        <is>
          <t>2026-10-02 15:05:11.996</t>
        </is>
      </c>
      <c r="D102" s="0" t="inlineStr">
        <is>
          <t>Danniel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Easy</t>
        </is>
      </c>
      <c r="H102" s="4">
        <v>137.899</v>
      </c>
      <c r="P102" s="0">
        <v>124</v>
      </c>
    </row>
    <row r="103" ht="17" customHeight="1">
      <c r="A103" s="6">
        <v>120</v>
      </c>
      <c r="B103" s="6" t="inlineStr">
        <is>
          <t>P023</t>
        </is>
      </c>
      <c r="C103" s="6" t="inlineStr">
        <is>
          <t>2026-10-02 15:05:12.301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Success</t>
        </is>
      </c>
      <c r="G103" s="6" t="inlineStr">
        <is>
          <t>Easy</t>
        </is>
      </c>
      <c r="H103" s="4">
        <v>137.6</v>
      </c>
      <c r="I103" s="4">
        <v>137.5237</v>
      </c>
      <c r="J103" s="4">
        <v>-0.0763</v>
      </c>
      <c r="K103" s="4">
        <v>0.0763</v>
      </c>
      <c r="P103" s="6">
        <v>125</v>
      </c>
    </row>
    <row r="104" ht="17" customHeight="1">
      <c r="A104" s="0">
        <v>121</v>
      </c>
      <c r="B104" s="0" t="inlineStr">
        <is>
          <t>P023</t>
        </is>
      </c>
      <c r="C104" s="0" t="inlineStr">
        <is>
          <t>2026-10-02 15:05:13.051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Failed</t>
        </is>
      </c>
      <c r="G104" s="0" t="inlineStr">
        <is>
          <t>Easy</t>
        </is>
      </c>
      <c r="H104" s="4">
        <v>138.9548</v>
      </c>
      <c r="P104" s="0">
        <v>126</v>
      </c>
    </row>
    <row r="105" ht="17" customHeight="1">
      <c r="A105" s="6">
        <v>122</v>
      </c>
      <c r="B105" s="6" t="inlineStr">
        <is>
          <t>P023</t>
        </is>
      </c>
      <c r="C105" s="6" t="inlineStr">
        <is>
          <t>2026-10-02 15:05:14.399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Easy</t>
        </is>
      </c>
      <c r="H105" s="4">
        <v>139.52</v>
      </c>
      <c r="I105" s="4">
        <v>139.6769</v>
      </c>
      <c r="J105" s="4">
        <v>0.1569</v>
      </c>
      <c r="K105" s="4">
        <v>0.1569</v>
      </c>
      <c r="P105" s="6">
        <v>127</v>
      </c>
    </row>
    <row r="106" ht="17" customHeight="1">
      <c r="A106" s="0">
        <v>123</v>
      </c>
      <c r="B106" s="0" t="inlineStr">
        <is>
          <t>P023</t>
        </is>
      </c>
      <c r="C106" s="0" t="inlineStr">
        <is>
          <t>2026-10-02 15:05:14.703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Failed</t>
        </is>
      </c>
      <c r="G106" s="0" t="inlineStr">
        <is>
          <t>Easy</t>
        </is>
      </c>
      <c r="H106" s="4">
        <v>140.6075</v>
      </c>
      <c r="P106" s="0">
        <v>128</v>
      </c>
    </row>
    <row r="107" ht="17" customHeight="1">
      <c r="A107" s="6">
        <v>124</v>
      </c>
      <c r="B107" s="6" t="inlineStr">
        <is>
          <t>P023</t>
        </is>
      </c>
      <c r="C107" s="6" t="inlineStr">
        <is>
          <t>2026-10-02 15:05:16.079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Success</t>
        </is>
      </c>
      <c r="G107" s="6" t="inlineStr">
        <is>
          <t>Easy</t>
        </is>
      </c>
      <c r="H107" s="4">
        <v>141.056</v>
      </c>
      <c r="I107" s="4">
        <v>141.1074</v>
      </c>
      <c r="J107" s="4">
        <v>0.0514</v>
      </c>
      <c r="K107" s="4">
        <v>0.0514</v>
      </c>
      <c r="P107" s="6">
        <v>129</v>
      </c>
    </row>
    <row r="108" ht="17" customHeight="1">
      <c r="A108" s="0">
        <v>125</v>
      </c>
      <c r="B108" s="0" t="inlineStr">
        <is>
          <t>P023</t>
        </is>
      </c>
      <c r="C108" s="0" t="inlineStr">
        <is>
          <t>2026-10-02 15:05:16.176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Failed</t>
        </is>
      </c>
      <c r="G108" s="0" t="inlineStr">
        <is>
          <t>Easy</t>
        </is>
      </c>
      <c r="H108" s="4">
        <v>142.0798</v>
      </c>
      <c r="P108" s="0">
        <v>130</v>
      </c>
    </row>
    <row r="109" ht="17" customHeight="1">
      <c r="A109" s="6">
        <v>127</v>
      </c>
      <c r="B109" s="6" t="inlineStr">
        <is>
          <t>P023</t>
        </is>
      </c>
      <c r="C109" s="6" t="inlineStr">
        <is>
          <t>2026-10-02 15:05:18.135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Failed</t>
        </is>
      </c>
      <c r="G109" s="6" t="inlineStr">
        <is>
          <t>Easy</t>
        </is>
      </c>
      <c r="H109" s="4">
        <v>144.0385</v>
      </c>
      <c r="P109" s="6">
        <v>132</v>
      </c>
    </row>
    <row r="110" ht="17" customHeight="1">
      <c r="A110" s="0">
        <v>128</v>
      </c>
      <c r="B110" s="0" t="inlineStr">
        <is>
          <t>P023</t>
        </is>
      </c>
      <c r="C110" s="0" t="inlineStr">
        <is>
          <t>2026-10-02 15:05:18.302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H110" s="4">
        <v>143.36</v>
      </c>
      <c r="I110" s="4">
        <v>143.1775</v>
      </c>
      <c r="J110" s="4">
        <v>-0.1825</v>
      </c>
      <c r="K110" s="4">
        <v>0.1825</v>
      </c>
      <c r="P110" s="0">
        <v>133</v>
      </c>
    </row>
    <row r="111" ht="17" customHeight="1">
      <c r="A111" s="6">
        <v>129</v>
      </c>
      <c r="B111" s="6" t="inlineStr">
        <is>
          <t>P023</t>
        </is>
      </c>
      <c r="C111" s="6" t="inlineStr">
        <is>
          <t>2026-10-02 15:05:21.220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Failed</t>
        </is>
      </c>
      <c r="G111" s="6" t="inlineStr">
        <is>
          <t>Easy</t>
        </is>
      </c>
      <c r="H111" s="4">
        <v>147.1229</v>
      </c>
      <c r="P111" s="6">
        <v>134</v>
      </c>
    </row>
    <row r="112" ht="17" customHeight="1">
      <c r="A112" s="0">
        <v>130</v>
      </c>
      <c r="B112" s="0" t="inlineStr">
        <is>
          <t>P023</t>
        </is>
      </c>
      <c r="C112" s="0" t="inlineStr">
        <is>
          <t>2026-10-02 15:05:23.691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H112" s="4">
        <v>148.736</v>
      </c>
      <c r="I112" s="4">
        <v>148.8587</v>
      </c>
      <c r="J112" s="4">
        <v>0.1227</v>
      </c>
      <c r="K112" s="4">
        <v>0.1227</v>
      </c>
      <c r="P112" s="0">
        <v>135</v>
      </c>
    </row>
    <row r="113" ht="17" customHeight="1">
      <c r="A113" s="6">
        <v>131</v>
      </c>
      <c r="B113" s="6" t="inlineStr">
        <is>
          <t>P023</t>
        </is>
      </c>
      <c r="C113" s="6" t="inlineStr">
        <is>
          <t>2026-10-02 15:05:24.691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Success</t>
        </is>
      </c>
      <c r="G113" s="6" t="inlineStr">
        <is>
          <t>Easy</t>
        </is>
      </c>
      <c r="H113" s="4">
        <v>149.888</v>
      </c>
      <c r="I113" s="4">
        <v>149.8723</v>
      </c>
      <c r="J113" s="4">
        <v>-0.0157</v>
      </c>
      <c r="K113" s="4">
        <v>0.0157</v>
      </c>
      <c r="P113" s="6">
        <v>136</v>
      </c>
    </row>
    <row r="114" ht="17" customHeight="1">
      <c r="A114" s="0">
        <v>132</v>
      </c>
      <c r="B114" s="0" t="inlineStr">
        <is>
          <t>P023</t>
        </is>
      </c>
      <c r="C114" s="0" t="inlineStr">
        <is>
          <t>2026-10-02 15:05:25.482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Failed</t>
        </is>
      </c>
      <c r="G114" s="0" t="inlineStr">
        <is>
          <t>Easy</t>
        </is>
      </c>
      <c r="H114" s="4">
        <v>151.3862</v>
      </c>
      <c r="P114" s="0">
        <v>137</v>
      </c>
    </row>
    <row r="115" ht="17" customHeight="1">
      <c r="A115" s="6">
        <v>134</v>
      </c>
      <c r="B115" s="6" t="inlineStr">
        <is>
          <t>P023</t>
        </is>
      </c>
      <c r="C115" s="6" t="inlineStr">
        <is>
          <t>2026-10-02 15:05:39.525</t>
        </is>
      </c>
      <c r="D115" s="6" t="inlineStr">
        <is>
          <t>Jeremy</t>
        </is>
      </c>
      <c r="E115" s="6" t="inlineStr">
        <is>
          <t>SwordCut</t>
        </is>
      </c>
      <c r="F115" s="6" t="inlineStr">
        <is>
          <t>Success</t>
        </is>
      </c>
      <c r="G115" s="6" t="inlineStr">
        <is>
          <t>Easy</t>
        </is>
      </c>
      <c r="H115" s="4">
        <v>165.4073</v>
      </c>
      <c r="I115" s="4">
        <v>165.4276</v>
      </c>
      <c r="J115" s="4">
        <v>0.0202</v>
      </c>
      <c r="K115" s="4">
        <v>0.0202</v>
      </c>
      <c r="N115" s="4">
        <v>1.0</v>
      </c>
      <c r="O115" s="6" t="b">
        <v>1</v>
      </c>
      <c r="P115" s="6">
        <v>139</v>
      </c>
    </row>
    <row r="116" ht="17" customHeight="1">
      <c r="A116" s="0">
        <v>136</v>
      </c>
      <c r="B116" s="0" t="inlineStr">
        <is>
          <t>P023</t>
        </is>
      </c>
      <c r="C116" s="0" t="inlineStr">
        <is>
          <t>2026-10-02 15:05:41.858</t>
        </is>
      </c>
      <c r="D116" s="0" t="inlineStr">
        <is>
          <t>Jeremy</t>
        </is>
      </c>
      <c r="E116" s="0" t="inlineStr">
        <is>
          <t>SwordCut</t>
        </is>
      </c>
      <c r="F116" s="0" t="inlineStr">
        <is>
          <t>Failed</t>
        </is>
      </c>
      <c r="G116" s="0" t="inlineStr">
        <is>
          <t>Easy</t>
        </is>
      </c>
      <c r="H116" s="4">
        <v>167.7061</v>
      </c>
      <c r="I116" s="4">
        <v>167.761</v>
      </c>
      <c r="J116" s="4">
        <v>0.0548</v>
      </c>
      <c r="K116" s="4">
        <v>0.0548</v>
      </c>
      <c r="N116" s="4">
        <v>0.0</v>
      </c>
      <c r="O116" s="0" t="b">
        <v>1</v>
      </c>
      <c r="P116" s="0">
        <v>141</v>
      </c>
    </row>
    <row r="117" ht="17" customHeight="1">
      <c r="A117" s="6">
        <v>137</v>
      </c>
      <c r="B117" s="6" t="inlineStr">
        <is>
          <t>P023</t>
        </is>
      </c>
      <c r="C117" s="6" t="inlineStr">
        <is>
          <t>2026-10-02 15:05:44.343</t>
        </is>
      </c>
      <c r="D117" s="6" t="inlineStr">
        <is>
          <t>Jeremy</t>
        </is>
      </c>
      <c r="E117" s="6" t="inlineStr">
        <is>
          <t>SwordCut</t>
        </is>
      </c>
      <c r="F117" s="6" t="inlineStr">
        <is>
          <t>Failed</t>
        </is>
      </c>
      <c r="G117" s="6" t="inlineStr">
        <is>
          <t>Easy</t>
        </is>
      </c>
      <c r="H117" s="4">
        <v>170.0049</v>
      </c>
      <c r="I117" s="4">
        <v>170.2463</v>
      </c>
      <c r="J117" s="4">
        <v>0.2414</v>
      </c>
      <c r="K117" s="4">
        <v>0.2414</v>
      </c>
      <c r="N117" s="4">
        <v>0.0</v>
      </c>
      <c r="O117" s="6" t="b">
        <v>1</v>
      </c>
      <c r="P117" s="6">
        <v>142</v>
      </c>
    </row>
    <row r="118" ht="17" customHeight="1">
      <c r="A118" s="0">
        <v>138</v>
      </c>
      <c r="B118" s="0" t="inlineStr">
        <is>
          <t>P023</t>
        </is>
      </c>
      <c r="C118" s="0" t="inlineStr">
        <is>
          <t>2026-10-02 15:05:46.204</t>
        </is>
      </c>
      <c r="D118" s="0" t="inlineStr">
        <is>
          <t>Jeremy</t>
        </is>
      </c>
      <c r="E118" s="0" t="inlineStr">
        <is>
          <t>SwordCut</t>
        </is>
      </c>
      <c r="F118" s="0" t="inlineStr">
        <is>
          <t>Success</t>
        </is>
      </c>
      <c r="G118" s="0" t="inlineStr">
        <is>
          <t>Easy</t>
        </is>
      </c>
      <c r="H118" s="4">
        <v>172.3037</v>
      </c>
      <c r="I118" s="4">
        <v>172.1073</v>
      </c>
      <c r="J118" s="4">
        <v>-0.1963</v>
      </c>
      <c r="K118" s="4">
        <v>0.1963</v>
      </c>
      <c r="N118" s="4">
        <v>1.0</v>
      </c>
      <c r="O118" s="0" t="b">
        <v>1</v>
      </c>
      <c r="P118" s="0">
        <v>143</v>
      </c>
    </row>
    <row r="119" ht="17" customHeight="1">
      <c r="A119" s="6">
        <v>139</v>
      </c>
      <c r="B119" s="6" t="inlineStr">
        <is>
          <t>P023</t>
        </is>
      </c>
      <c r="C119" s="6" t="inlineStr">
        <is>
          <t>2026-10-02 15:05:48.564</t>
        </is>
      </c>
      <c r="D119" s="6" t="inlineStr">
        <is>
          <t>Jeremy</t>
        </is>
      </c>
      <c r="E119" s="6" t="inlineStr">
        <is>
          <t>SwordCut</t>
        </is>
      </c>
      <c r="F119" s="6" t="inlineStr">
        <is>
          <t>Success</t>
        </is>
      </c>
      <c r="G119" s="6" t="inlineStr">
        <is>
          <t>Easy</t>
        </is>
      </c>
      <c r="H119" s="4">
        <v>174.6024</v>
      </c>
      <c r="I119" s="4">
        <v>174.4679</v>
      </c>
      <c r="J119" s="4">
        <v>-0.1346</v>
      </c>
      <c r="K119" s="4">
        <v>0.1346</v>
      </c>
      <c r="N119" s="4">
        <v>1.0</v>
      </c>
      <c r="O119" s="6" t="b">
        <v>1</v>
      </c>
      <c r="P119" s="6">
        <v>144</v>
      </c>
    </row>
    <row r="120" ht="17" customHeight="1">
      <c r="A120" s="0">
        <v>140</v>
      </c>
      <c r="B120" s="0" t="inlineStr">
        <is>
          <t>P023</t>
        </is>
      </c>
      <c r="C120" s="0" t="inlineStr">
        <is>
          <t>2026-10-02 15:05:51.065</t>
        </is>
      </c>
      <c r="D120" s="0" t="inlineStr">
        <is>
          <t>Jeremy</t>
        </is>
      </c>
      <c r="E120" s="0" t="inlineStr">
        <is>
          <t>SwordCut</t>
        </is>
      </c>
      <c r="F120" s="0" t="inlineStr">
        <is>
          <t>Failed</t>
        </is>
      </c>
      <c r="G120" s="0" t="inlineStr">
        <is>
          <t>Easy</t>
        </is>
      </c>
      <c r="H120" s="4">
        <v>176.9012</v>
      </c>
      <c r="I120" s="4">
        <v>176.9676</v>
      </c>
      <c r="J120" s="4">
        <v>0.0663</v>
      </c>
      <c r="K120" s="4">
        <v>0.0663</v>
      </c>
      <c r="N120" s="4">
        <v>0.0</v>
      </c>
      <c r="O120" s="0" t="b">
        <v>1</v>
      </c>
      <c r="P120" s="0">
        <v>145</v>
      </c>
    </row>
    <row r="121" ht="17" customHeight="1">
      <c r="A121" s="6">
        <v>141</v>
      </c>
      <c r="B121" s="6" t="inlineStr">
        <is>
          <t>P023</t>
        </is>
      </c>
      <c r="C121" s="6" t="inlineStr">
        <is>
          <t>2026-10-02 15:05:53.203</t>
        </is>
      </c>
      <c r="D121" s="6" t="inlineStr">
        <is>
          <t>Jeremy</t>
        </is>
      </c>
      <c r="E121" s="6" t="inlineStr">
        <is>
          <t>SwordCut</t>
        </is>
      </c>
      <c r="F121" s="6" t="inlineStr">
        <is>
          <t>Success</t>
        </is>
      </c>
      <c r="G121" s="6" t="inlineStr">
        <is>
          <t>Easy</t>
        </is>
      </c>
      <c r="H121" s="4">
        <v>179.2</v>
      </c>
      <c r="I121" s="4">
        <v>179.106</v>
      </c>
      <c r="J121" s="4">
        <v>-0.094</v>
      </c>
      <c r="K121" s="4">
        <v>0.094</v>
      </c>
      <c r="N121" s="4">
        <v>1.0</v>
      </c>
      <c r="O121" s="6" t="b">
        <v>1</v>
      </c>
      <c r="P121" s="6">
        <v>146</v>
      </c>
    </row>
    <row r="122" ht="17" customHeight="1">
      <c r="A122" s="0">
        <v>142</v>
      </c>
      <c r="B122" s="0" t="inlineStr">
        <is>
          <t>P023</t>
        </is>
      </c>
      <c r="C122" s="0" t="inlineStr">
        <is>
          <t>2026-10-02 15:05:55.634</t>
        </is>
      </c>
      <c r="D122" s="0" t="inlineStr">
        <is>
          <t>Jeremy</t>
        </is>
      </c>
      <c r="E122" s="0" t="inlineStr">
        <is>
          <t>SwordCut</t>
        </is>
      </c>
      <c r="F122" s="0" t="inlineStr">
        <is>
          <t>Success</t>
        </is>
      </c>
      <c r="G122" s="0" t="inlineStr">
        <is>
          <t>Easy</t>
        </is>
      </c>
      <c r="H122" s="4">
        <v>181.4988</v>
      </c>
      <c r="I122" s="4">
        <v>181.5371</v>
      </c>
      <c r="J122" s="4">
        <v>0.0384</v>
      </c>
      <c r="K122" s="4">
        <v>0.0384</v>
      </c>
      <c r="N122" s="4">
        <v>1.0</v>
      </c>
      <c r="O122" s="0" t="b">
        <v>1</v>
      </c>
      <c r="P122" s="0">
        <v>147</v>
      </c>
    </row>
  </sheetData>
  <autoFilter ref="A1:P122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16</v>
      </c>
      <c r="B2" s="0" t="inlineStr">
        <is>
          <t>2026-10-02 15:03:00.680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21</v>
      </c>
    </row>
    <row r="3" ht="17" customHeight="1">
      <c r="A3" s="6">
        <v>41</v>
      </c>
      <c r="B3" s="6" t="inlineStr">
        <is>
          <t>2026-10-02 15:03:19.541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46</v>
      </c>
    </row>
    <row r="4" ht="17" customHeight="1">
      <c r="A4" s="0">
        <v>78</v>
      </c>
      <c r="B4" s="0" t="inlineStr">
        <is>
          <t>2026-10-02 15:04:05.664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0.0</v>
      </c>
      <c r="I4" s="0">
        <v>83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15:02:54.098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15:02:55.013</t>
        </is>
      </c>
      <c r="C3" s="6" t="inlineStr">
        <is>
          <t>Engaged</t>
        </is>
      </c>
      <c r="D3" s="6">
        <v>8</v>
      </c>
    </row>
    <row r="4" ht="17" customHeight="1">
      <c r="A4" s="0">
        <v>15</v>
      </c>
      <c r="B4" s="0" t="inlineStr">
        <is>
          <t>2026-10-02 15:03:00.679</t>
        </is>
      </c>
      <c r="C4" s="0" t="inlineStr">
        <is>
          <t>Overloaded</t>
        </is>
      </c>
      <c r="D4" s="0">
        <v>20</v>
      </c>
    </row>
    <row r="5" ht="17" customHeight="1">
      <c r="A5" s="6">
        <v>17</v>
      </c>
      <c r="B5" s="6" t="inlineStr">
        <is>
          <t>2026-10-02 15:03:00.680</t>
        </is>
      </c>
      <c r="C5" s="6" t="inlineStr">
        <is>
          <t>Engaged</t>
        </is>
      </c>
      <c r="D5" s="6">
        <v>22</v>
      </c>
    </row>
    <row r="6" ht="17" customHeight="1">
      <c r="A6" s="0">
        <v>31</v>
      </c>
      <c r="B6" s="0" t="inlineStr">
        <is>
          <t>2026-10-02 15:03:11.859</t>
        </is>
      </c>
      <c r="C6" s="0" t="inlineStr">
        <is>
          <t>Overloaded</t>
        </is>
      </c>
      <c r="D6" s="0">
        <v>36</v>
      </c>
    </row>
    <row r="7" ht="17" customHeight="1">
      <c r="A7" s="6">
        <v>39</v>
      </c>
      <c r="B7" s="6" t="inlineStr">
        <is>
          <t>2026-10-02 15:03:18.012</t>
        </is>
      </c>
      <c r="C7" s="6" t="inlineStr">
        <is>
          <t>Engaged</t>
        </is>
      </c>
      <c r="D7" s="6">
        <v>44</v>
      </c>
    </row>
    <row r="8" ht="17" customHeight="1">
      <c r="A8" s="0">
        <v>77</v>
      </c>
      <c r="B8" s="0" t="inlineStr">
        <is>
          <t>2026-10-02 15:04:05.664</t>
        </is>
      </c>
      <c r="C8" s="0" t="inlineStr">
        <is>
          <t>Overloaded</t>
        </is>
      </c>
      <c r="D8" s="0">
        <v>82</v>
      </c>
    </row>
    <row r="9" ht="17" customHeight="1">
      <c r="A9" s="6">
        <v>79</v>
      </c>
      <c r="B9" s="6" t="inlineStr">
        <is>
          <t>2026-10-02 15:04:05.665</t>
        </is>
      </c>
      <c r="C9" s="6" t="inlineStr">
        <is>
          <t>Engaged</t>
        </is>
      </c>
      <c r="D9" s="6">
        <v>84</v>
      </c>
    </row>
    <row r="10" ht="17" customHeight="1">
      <c r="A10" s="0">
        <v>82</v>
      </c>
      <c r="B10" s="0" t="inlineStr">
        <is>
          <t>2026-10-02 15:04:10.664</t>
        </is>
      </c>
      <c r="C10" s="0" t="inlineStr">
        <is>
          <t>Idle</t>
        </is>
      </c>
      <c r="D10" s="0">
        <v>87</v>
      </c>
    </row>
    <row r="11" ht="17" customHeight="1">
      <c r="A11" s="6">
        <v>84</v>
      </c>
      <c r="B11" s="6" t="inlineStr">
        <is>
          <t>2026-10-02 15:04:11.443</t>
        </is>
      </c>
      <c r="C11" s="6" t="inlineStr">
        <is>
          <t>Engaged</t>
        </is>
      </c>
      <c r="D11" s="6">
        <v>89</v>
      </c>
    </row>
    <row r="12" ht="17" customHeight="1">
      <c r="A12" s="0">
        <v>89</v>
      </c>
      <c r="B12" s="0" t="inlineStr">
        <is>
          <t>2026-10-02 15:04:19.801</t>
        </is>
      </c>
      <c r="C12" s="0" t="inlineStr">
        <is>
          <t>Overloaded</t>
        </is>
      </c>
      <c r="D12" s="0">
        <v>94</v>
      </c>
    </row>
    <row r="13" ht="17" customHeight="1">
      <c r="A13" s="6">
        <v>95</v>
      </c>
      <c r="B13" s="6" t="inlineStr">
        <is>
          <t>2026-10-02 15:04:32.078</t>
        </is>
      </c>
      <c r="C13" s="6" t="inlineStr">
        <is>
          <t>Engaged</t>
        </is>
      </c>
      <c r="D13" s="6">
        <v>100</v>
      </c>
    </row>
    <row r="14" ht="17" customHeight="1">
      <c r="A14" s="0">
        <v>100</v>
      </c>
      <c r="B14" s="0" t="inlineStr">
        <is>
          <t>2026-10-02 15:04:39.441</t>
        </is>
      </c>
      <c r="C14" s="0" t="inlineStr">
        <is>
          <t>Overloaded</t>
        </is>
      </c>
      <c r="D14" s="0">
        <v>105</v>
      </c>
    </row>
    <row r="15" ht="17" customHeight="1">
      <c r="A15" s="6">
        <v>110</v>
      </c>
      <c r="B15" s="6" t="inlineStr">
        <is>
          <t>2026-10-02 15:05:01.840</t>
        </is>
      </c>
      <c r="C15" s="6" t="inlineStr">
        <is>
          <t>Idle</t>
        </is>
      </c>
      <c r="D15" s="6">
        <v>115</v>
      </c>
    </row>
    <row r="16" ht="17" customHeight="1">
      <c r="A16" s="0">
        <v>112</v>
      </c>
      <c r="B16" s="0" t="inlineStr">
        <is>
          <t>2026-10-02 15:05:02.898</t>
        </is>
      </c>
      <c r="C16" s="0" t="inlineStr">
        <is>
          <t>Engaged</t>
        </is>
      </c>
      <c r="D16" s="0">
        <v>117</v>
      </c>
    </row>
    <row r="17" ht="17" customHeight="1">
      <c r="A17" s="6">
        <v>126</v>
      </c>
      <c r="B17" s="6" t="inlineStr">
        <is>
          <t>2026-10-02 15:05:16.176</t>
        </is>
      </c>
      <c r="C17" s="6" t="inlineStr">
        <is>
          <t>Overloaded</t>
        </is>
      </c>
      <c r="D17" s="6">
        <v>131</v>
      </c>
    </row>
    <row r="18" ht="17" customHeight="1">
      <c r="A18" s="0">
        <v>133</v>
      </c>
      <c r="B18" s="0" t="inlineStr">
        <is>
          <t>2026-10-02 15:05:30.483</t>
        </is>
      </c>
      <c r="C18" s="0" t="inlineStr">
        <is>
          <t>Idle</t>
        </is>
      </c>
      <c r="D18" s="0">
        <v>138</v>
      </c>
    </row>
    <row r="19" ht="17" customHeight="1">
      <c r="A19" s="6">
        <v>135</v>
      </c>
      <c r="B19" s="6" t="inlineStr">
        <is>
          <t>2026-10-02 15:05:39.525</t>
        </is>
      </c>
      <c r="C19" s="6" t="inlineStr">
        <is>
          <t>Engaged</t>
        </is>
      </c>
      <c r="D19" s="6">
        <v>140</v>
      </c>
    </row>
    <row r="20" ht="17" customHeight="1">
      <c r="A20" s="0">
        <v>143</v>
      </c>
      <c r="B20" s="0" t="inlineStr">
        <is>
          <t>2026-10-02 15:06:00.635</t>
        </is>
      </c>
      <c r="C20" s="0" t="inlineStr">
        <is>
          <t>Idle</t>
        </is>
      </c>
      <c r="D20" s="0">
        <v>148</v>
      </c>
    </row>
  </sheetData>
  <autoFilter ref="A1:D20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44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15:02:54.098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15:02:54.098 | PlayerState: Idle</t>
        </is>
      </c>
    </row>
    <row r="3" ht="17" customHeight="1">
      <c r="A3" s="6">
        <v>2</v>
      </c>
      <c r="B3" s="6" t="inlineStr">
        <is>
          <t>2026-10-02 15:02:55.013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K3" s="4">
        <v>0.0197</v>
      </c>
      <c r="M3" s="6">
        <v>7</v>
      </c>
      <c r="N3" s="6" t="inlineStr">
        <is>
          <t>2026-10-02 15:02:55.013 | Minigame: Alex | Type: HammerHit | Outcome: Success | Difficulty: Normal | ExpectedTime: 0.8960 | ActualTime: 0.9157 | TimingOffset: 0.0197 | TimingError: 0.0197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15:02:55.013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15:02:55.013 | PlayerState: Engaged</t>
        </is>
      </c>
    </row>
    <row r="5" ht="17" customHeight="1">
      <c r="A5" s="6">
        <v>4</v>
      </c>
      <c r="B5" s="6" t="inlineStr">
        <is>
          <t>2026-10-02 15:02:55.763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15:02:55.763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15:02:55.804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15:02:55.804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15:02:56.554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0.0253</v>
      </c>
      <c r="M7" s="6">
        <v>11</v>
      </c>
      <c r="N7" s="6" t="inlineStr">
        <is>
          <t>2026-10-02 15:02:56.554 | Minigame: Alex | Type: HammerHit | Outcome: Success | Difficulty: Normal | ExpectedTime: 2.4320 | ActualTime: 2.4573 | TimingOffset: 0.0253 | TimingError: 0.0253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15:02:57.623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15:02:57.623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15:02:57.623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15:02:57.623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15:02:58.040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0.011</v>
      </c>
      <c r="M10" s="0">
        <v>14</v>
      </c>
      <c r="N10" s="0" t="inlineStr">
        <is>
          <t>2026-10-02 15:02:58.040 | Minigame: Alex | Type: HammerHit | Outcome: Success | Difficulty: Normal | ExpectedTime: 3.9680 | ActualTime: 3.9570 | TimingOffset: -0.0110 | TimingError: 0.0110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15:02:58.804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0.0149</v>
      </c>
      <c r="M11" s="6">
        <v>15</v>
      </c>
      <c r="N11" s="6" t="inlineStr">
        <is>
          <t>2026-10-02 15:02:58.804 | Minigame: Alex | Type: HammerHit | Outcome: Success | Difficulty: Normal | ExpectedTime: 4.7360 | ActualTime: 4.7211 | TimingOffset: -0.0149 | TimingError: 0.0149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15:02:58.804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K12" s="4">
        <v>0.0149</v>
      </c>
      <c r="M12" s="0">
        <v>16</v>
      </c>
      <c r="N12" s="0" t="inlineStr">
        <is>
          <t>2026-10-02 15:02:58.804 | Minigame: Alex | Type: HammerHit | Outcome: Failed | Difficulty: Normal | ExpectedTime: 4.7360 | ActualTime: 4.7211 | TimingOffset: -0.0149 | TimingError: 0.0149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15:02:59.596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0.009</v>
      </c>
      <c r="M13" s="6">
        <v>17</v>
      </c>
      <c r="N13" s="6" t="inlineStr">
        <is>
          <t>2026-10-02 15:02:59.596 | Minigame: Alex | Type: HammerHit | Outcome: Success | Difficulty: Normal | ExpectedTime: 5.5040 | ActualTime: 5.5130 | TimingOffset: 0.0090 | TimingError: 0.0090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15:03:00.679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Missed</t>
        </is>
      </c>
      <c r="G14" s="0" t="inlineStr">
        <is>
          <t>Normal</t>
        </is>
      </c>
      <c r="M14" s="0">
        <v>18</v>
      </c>
      <c r="N14" s="0" t="inlineStr">
        <is>
          <t>2026-10-02 15:03:00.679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15:03:00.679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M15" s="6">
        <v>19</v>
      </c>
      <c r="N15" s="6" t="inlineStr">
        <is>
          <t>2026-10-02 15:03:00.679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15:03:00.679</t>
        </is>
      </c>
      <c r="C16" s="0" t="inlineStr">
        <is>
          <t>PlayerState</t>
        </is>
      </c>
      <c r="H16" s="0" t="inlineStr">
        <is>
          <t>Overloaded</t>
        </is>
      </c>
      <c r="M16" s="0">
        <v>20</v>
      </c>
      <c r="N16" s="0" t="inlineStr">
        <is>
          <t>2026-10-02 15:03:00.679 | PlayerState: Overloaded</t>
        </is>
      </c>
    </row>
    <row r="17" ht="17" customHeight="1">
      <c r="A17" s="6">
        <v>16</v>
      </c>
      <c r="B17" s="6" t="inlineStr">
        <is>
          <t>2026-10-02 15:03:00.680</t>
        </is>
      </c>
      <c r="C17" s="6" t="inlineStr">
        <is>
          <t>DifficultyChanged</t>
        </is>
      </c>
      <c r="D17" s="6" t="inlineStr">
        <is>
          <t>Alex</t>
        </is>
      </c>
      <c r="I17" s="6" t="inlineStr">
        <is>
          <t>Normal -&gt; Easy</t>
        </is>
      </c>
      <c r="J17" s="6" t="inlineStr">
        <is>
          <t>PlayerState: Overloaded</t>
        </is>
      </c>
      <c r="M17" s="6">
        <v>21</v>
      </c>
      <c r="N17" s="6" t="inlineStr">
        <is>
          <t>2026-10-02 15:03:00.680 | DifficultyChanged: Normal -&gt; Easy | Reason: PlayerState: Overloaded | Minigame: Alex | RecentSuccessRate: 0.50</t>
        </is>
      </c>
    </row>
    <row r="18" ht="17" customHeight="1">
      <c r="A18" s="0">
        <v>17</v>
      </c>
      <c r="B18" s="0" t="inlineStr">
        <is>
          <t>2026-10-02 15:03:00.680</t>
        </is>
      </c>
      <c r="C18" s="0" t="inlineStr">
        <is>
          <t>PlayerState</t>
        </is>
      </c>
      <c r="H18" s="0" t="inlineStr">
        <is>
          <t>Engaged</t>
        </is>
      </c>
      <c r="M18" s="0">
        <v>22</v>
      </c>
      <c r="N18" s="0" t="inlineStr">
        <is>
          <t>2026-10-02 15:03:00.680 | PlayerState: Engaged</t>
        </is>
      </c>
    </row>
    <row r="19" ht="17" customHeight="1">
      <c r="A19" s="6">
        <v>18</v>
      </c>
      <c r="B19" s="6" t="inlineStr">
        <is>
          <t>2026-10-02 15:03:01.137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0.0005</v>
      </c>
      <c r="M19" s="6">
        <v>23</v>
      </c>
      <c r="N19" s="6" t="inlineStr">
        <is>
          <t>2026-10-02 15:03:01.137 | Minigame: Alex | Type: HammerHit | Outcome: Success | Difficulty: Easy | ExpectedTime: 7.0400 | ActualTime: 7.0405 | TimingOffset: 0.0005 | TimingError: 0.0005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15:03:02.651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K20" s="4">
        <v>0.0215</v>
      </c>
      <c r="M20" s="0">
        <v>24</v>
      </c>
      <c r="N20" s="0" t="inlineStr">
        <is>
          <t>2026-10-02 15:03:02.651 | Minigame: Alex | Type: HammerHit | Outcome: Success | Difficulty: Easy | ExpectedTime: 8.5760 | ActualTime: 8.5545 | TimingOffset: -0.0215 | TimingError: 0.0215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15:03:02.652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Easy</t>
        </is>
      </c>
      <c r="K21" s="4">
        <v>0.0077</v>
      </c>
      <c r="M21" s="6">
        <v>25</v>
      </c>
      <c r="N21" s="6" t="inlineStr">
        <is>
          <t>2026-10-02 15:03:02.652 | Minigame: Alex | Type: HammerHit | Outcome: Failed | Difficulty: Easy | ExpectedTime: 8.5760 | ActualTime: 8.5683 | TimingOffset: -0.0077 | TimingError: 0.0077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15:03:04.166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Easy</t>
        </is>
      </c>
      <c r="K22" s="4">
        <v>0.0295</v>
      </c>
      <c r="M22" s="0">
        <v>26</v>
      </c>
      <c r="N22" s="0" t="inlineStr">
        <is>
          <t>2026-10-02 15:03:04.166 | Minigame: Alex | Type: HammerHit | Outcome: Success | Difficulty: Easy | ExpectedTime: 10.1120 | ActualTime: 10.0825 | TimingOffset: -0.0295 | TimingError: 0.0295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15:03:04.318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Easy</t>
        </is>
      </c>
      <c r="M23" s="6">
        <v>27</v>
      </c>
      <c r="N23" s="6" t="inlineStr">
        <is>
          <t>2026-10-02 15:03:04.318 | Minigame: Alex | Type: HammerTouch | Outcome: Success | Difficulty: Easy | ExpectedTime: 10.1120 | ActualTime: N/A | TimingOffset: N/A | TimingError: N/A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15:03:05.721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Easy</t>
        </is>
      </c>
      <c r="M24" s="0">
        <v>28</v>
      </c>
      <c r="N24" s="0" t="inlineStr">
        <is>
          <t>2026-10-02 15:03:05.721 | Minigame: Alex | Type: HammerTouch | Outcome: Success | Difficulty: Easy | ExpectedTime: 11.6480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15:03:05.722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K25" s="4">
        <v>0.0099</v>
      </c>
      <c r="M25" s="6">
        <v>29</v>
      </c>
      <c r="N25" s="6" t="inlineStr">
        <is>
          <t>2026-10-02 15:03:05.722 | Minigame: Alex | Type: HammerHit | Outcome: Success | Difficulty: Easy | ExpectedTime: 11.6480 | ActualTime: 11.6381 | TimingOffset: -0.0099 | TimingError: 0.0099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15:03:07.235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K26" s="4">
        <v>0.0319</v>
      </c>
      <c r="M26" s="0">
        <v>30</v>
      </c>
      <c r="N26" s="0" t="inlineStr">
        <is>
          <t>2026-10-02 15:03:07.235 | Minigame: Alex | Type: HammerHit | Outcome: Failed | Difficulty: Easy | ExpectedTime: 13.1840 | ActualTime: 13.1521 | TimingOffset: -0.0319 | TimingError: 0.0319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15:03:07.263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M27" s="6">
        <v>31</v>
      </c>
      <c r="N27" s="6" t="inlineStr">
        <is>
          <t>2026-10-02 15:03:07.263 | Minigame: Alex | Type: HammerHit | Outcome: Success | Difficulty: Easy | ExpectedTime: 13.1840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15:03:08.776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K28" s="4">
        <v>0.0262</v>
      </c>
      <c r="M28" s="0">
        <v>32</v>
      </c>
      <c r="N28" s="0" t="inlineStr">
        <is>
          <t>2026-10-02 15:03:08.776 | Minigame: Alex | Type: HammerHit | Outcome: Success | Difficulty: Easy | ExpectedTime: 14.7200 | ActualTime: 14.6938 | TimingOffset: -0.0262 | TimingError: 0.0262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15:03:08.803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Failed</t>
        </is>
      </c>
      <c r="G29" s="6" t="inlineStr">
        <is>
          <t>Easy</t>
        </is>
      </c>
      <c r="M29" s="6">
        <v>33</v>
      </c>
      <c r="N29" s="6" t="inlineStr">
        <is>
          <t>2026-10-02 15:03:08.803 | Minigame: Alex | Type: HammerTouch | Outcome: Failed | Difficulty: Easy | ExpectedTime: 14.7200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15:03:10.333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0.0071</v>
      </c>
      <c r="M30" s="0">
        <v>34</v>
      </c>
      <c r="N30" s="0" t="inlineStr">
        <is>
          <t>2026-10-02 15:03:10.333 | Minigame: Alex | Type: HammerHit | Outcome: Failed | Difficulty: Easy | ExpectedTime: 16.2560 | ActualTime: 16.2489 | TimingOffset: -0.0071 | TimingError: 0.0071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15:03:11.859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Failed</t>
        </is>
      </c>
      <c r="G31" s="6" t="inlineStr">
        <is>
          <t>Easy</t>
        </is>
      </c>
      <c r="M31" s="6">
        <v>35</v>
      </c>
      <c r="N31" s="6" t="inlineStr">
        <is>
          <t>2026-10-02 15:03:11.859 | Minigame: Alex | Type: HammerTouch | Outcome: Failed | Difficulty: Easy | ExpectedTime: 17.7920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15:03:11.859</t>
        </is>
      </c>
      <c r="C32" s="0" t="inlineStr">
        <is>
          <t>PlayerState</t>
        </is>
      </c>
      <c r="H32" s="0" t="inlineStr">
        <is>
          <t>Overloaded</t>
        </is>
      </c>
      <c r="M32" s="0">
        <v>36</v>
      </c>
      <c r="N32" s="0" t="inlineStr">
        <is>
          <t>2026-10-02 15:03:11.859 | PlayerState: Overloaded</t>
        </is>
      </c>
    </row>
    <row r="33" ht="17" customHeight="1">
      <c r="A33" s="6">
        <v>32</v>
      </c>
      <c r="B33" s="6" t="inlineStr">
        <is>
          <t>2026-10-02 15:03:11.861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Easy</t>
        </is>
      </c>
      <c r="M33" s="6">
        <v>37</v>
      </c>
      <c r="N33" s="6" t="inlineStr">
        <is>
          <t>2026-10-02 15:03:11.861 | Minigame: Alex | Type: HammerTouch | Outcome: Success | Difficulty: Easy | ExpectedTime: 17.7920 | ActualTime: N/A | TimingOffset: N/A | TimingError: N/A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15:03:13.401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K34" s="4">
        <v>0.0098</v>
      </c>
      <c r="M34" s="0">
        <v>38</v>
      </c>
      <c r="N34" s="0" t="inlineStr">
        <is>
          <t>2026-10-02 15:03:13.401 | Minigame: Alex | Type: HammerHit | Outcome: Success | Difficulty: Easy | ExpectedTime: 19.3280 | ActualTime: 19.3182 | TimingOffset: -0.0098 | TimingError: 0.0098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15:03:14.943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K35" s="4">
        <v>0.004</v>
      </c>
      <c r="M35" s="6">
        <v>39</v>
      </c>
      <c r="N35" s="6" t="inlineStr">
        <is>
          <t>2026-10-02 15:03:14.943 | Minigame: Alex | Type: HammerHit | Outcome: Failed | Difficulty: Easy | ExpectedTime: 20.8640 | ActualTime: 20.8600 | TimingOffset: -0.0040 | TimingError: 0.0040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15:03:14.943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K36" s="4">
        <v>0.004</v>
      </c>
      <c r="M36" s="0">
        <v>40</v>
      </c>
      <c r="N36" s="0" t="inlineStr">
        <is>
          <t>2026-10-02 15:03:14.943 | Minigame: Alex | Type: HammerHit | Outcome: Success | Difficulty: Easy | ExpectedTime: 20.8640 | ActualTime: 20.8600 | TimingOffset: -0.0040 | TimingError: 0.0040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15:03:16.457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0.0264</v>
      </c>
      <c r="M37" s="6">
        <v>41</v>
      </c>
      <c r="N37" s="6" t="inlineStr">
        <is>
          <t>2026-10-02 15:03:16.457 | Minigame: Alex | Type: HammerHit | Outcome: Success | Difficulty: Easy | ExpectedTime: 22.4000 | ActualTime: 22.3736 | TimingOffset: -0.0264 | TimingError: 0.0264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15:03:17.998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K38" s="4">
        <v>0.0215</v>
      </c>
      <c r="M38" s="0">
        <v>42</v>
      </c>
      <c r="N38" s="0" t="inlineStr">
        <is>
          <t>2026-10-02 15:03:17.998 | Minigame: Alex | Type: HammerHit | Outcome: Success | Difficulty: Easy | ExpectedTime: 23.9360 | ActualTime: 23.9145 | TimingOffset: -0.0215 | TimingError: 0.0215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15:03:18.012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0.0075</v>
      </c>
      <c r="M39" s="6">
        <v>43</v>
      </c>
      <c r="N39" s="6" t="inlineStr">
        <is>
          <t>2026-10-02 15:03:18.012 | Minigame: Alex | Type: HammerHit | Outcome: Success | Difficulty: Easy | ExpectedTime: 23.9360 | ActualTime: 23.9285 | TimingOffset: -0.0075 | TimingError: 0.0075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15:03:18.012</t>
        </is>
      </c>
      <c r="C40" s="0" t="inlineStr">
        <is>
          <t>PlayerState</t>
        </is>
      </c>
      <c r="H40" s="0" t="inlineStr">
        <is>
          <t>Engaged</t>
        </is>
      </c>
      <c r="M40" s="0">
        <v>44</v>
      </c>
      <c r="N40" s="0" t="inlineStr">
        <is>
          <t>2026-10-02 15:03:18.012 | PlayerState: Engaged</t>
        </is>
      </c>
    </row>
    <row r="41" ht="17" customHeight="1">
      <c r="A41" s="6">
        <v>40</v>
      </c>
      <c r="B41" s="6" t="inlineStr">
        <is>
          <t>2026-10-02 15:03:19.539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K41" s="4">
        <v>0.0152</v>
      </c>
      <c r="M41" s="6">
        <v>45</v>
      </c>
      <c r="N41" s="6" t="inlineStr">
        <is>
          <t>2026-10-02 15:03:19.539 | Minigame: Alex | Type: HammerHit | Outcome: Success | Difficulty: Easy | ExpectedTime: 25.4720 | ActualTime: 25.4568 | TimingOffset: -0.0152 | TimingError: 0.0152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15:03:19.541</t>
        </is>
      </c>
      <c r="C42" s="0" t="inlineStr">
        <is>
          <t>DifficultyChanged</t>
        </is>
      </c>
      <c r="D42" s="0" t="inlineStr">
        <is>
          <t>Alex</t>
        </is>
      </c>
      <c r="I42" s="0" t="inlineStr">
        <is>
          <t>Easy -&gt; Normal</t>
        </is>
      </c>
      <c r="J42" s="0" t="inlineStr">
        <is>
          <t>High recent performance</t>
        </is>
      </c>
      <c r="M42" s="0">
        <v>46</v>
      </c>
      <c r="N42" s="0" t="inlineStr">
        <is>
          <t>2026-10-02 15:03:19.541 | DifficultyChanged: Easy -&gt; Normal | Reason: High recent performance | Minigame: Alex | SuccessRate: 0.88</t>
        </is>
      </c>
    </row>
    <row r="43" ht="17" customHeight="1">
      <c r="A43" s="6">
        <v>42</v>
      </c>
      <c r="B43" s="6" t="inlineStr">
        <is>
          <t>2026-10-02 15:03:20.318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Normal</t>
        </is>
      </c>
      <c r="M43" s="6">
        <v>47</v>
      </c>
      <c r="N43" s="6" t="inlineStr">
        <is>
          <t>2026-10-02 15:03:20.318 | Minigame: Alex | Type: HammerTouch | Outcome: Success | Difficulty: Normal | ExpectedTime: 26.2400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15:03:20.332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Normal</t>
        </is>
      </c>
      <c r="K44" s="4">
        <v>0.0082</v>
      </c>
      <c r="M44" s="0">
        <v>48</v>
      </c>
      <c r="N44" s="0" t="inlineStr">
        <is>
          <t>2026-10-02 15:03:20.332 | Minigame: Alex | Type: HammerHit | Outcome: Failed | Difficulty: Normal | ExpectedTime: 26.2400 | ActualTime: 26.2482 | TimingOffset: 0.0082 | TimingError: 0.0082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15:03:21.123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Normal</t>
        </is>
      </c>
      <c r="K45" s="4">
        <v>0.0187</v>
      </c>
      <c r="M45" s="6">
        <v>49</v>
      </c>
      <c r="N45" s="6" t="inlineStr">
        <is>
          <t>2026-10-02 15:03:21.123 | Minigame: Alex | Type: HammerHit | Outcome: Success | Difficulty: Normal | ExpectedTime: 27.0080 | ActualTime: 27.0267 | TimingOffset: 0.0187 | TimingError: 0.0187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15:03:21.124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Success</t>
        </is>
      </c>
      <c r="G46" s="0" t="inlineStr">
        <is>
          <t>Normal</t>
        </is>
      </c>
      <c r="M46" s="0">
        <v>50</v>
      </c>
      <c r="N46" s="0" t="inlineStr">
        <is>
          <t>2026-10-02 15:03:21.124 | Minigame: Alex | Type: HammerTouch | Outcome: Success | Difficulty: Normal | ExpectedTime: 27.0080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15:03:21.860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Normal</t>
        </is>
      </c>
      <c r="K47" s="4">
        <v>0.001</v>
      </c>
      <c r="M47" s="6">
        <v>51</v>
      </c>
      <c r="N47" s="6" t="inlineStr">
        <is>
          <t>2026-10-02 15:03:21.860 | Minigame: Alex | Type: HammerHit | Outcome: Failed | Difficulty: Normal | ExpectedTime: 27.7760 | ActualTime: 27.7770 | TimingOffset: 0.0010 | TimingError: 0.0010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15:03:22.179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Normal</t>
        </is>
      </c>
      <c r="M48" s="0">
        <v>52</v>
      </c>
      <c r="N48" s="0" t="inlineStr">
        <is>
          <t>2026-10-02 15:03:22.179 | Minigame: Alex | Type: HammerTouch | Outcome: Missed | Difficulty: Normal | ExpectedTime: 27.7760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15:03:22.624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Normal</t>
        </is>
      </c>
      <c r="K49" s="4">
        <v>0.0033</v>
      </c>
      <c r="M49" s="6">
        <v>53</v>
      </c>
      <c r="N49" s="6" t="inlineStr">
        <is>
          <t>2026-10-02 15:03:22.624 | Minigame: Alex | Type: HammerHit | Outcome: Success | Difficulty: Normal | ExpectedTime: 28.5440 | ActualTime: 28.5407 | TimingOffset: -0.0033 | TimingError: 0.0033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15:03:23.402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Normal</t>
        </is>
      </c>
      <c r="K50" s="4">
        <v>0.0074</v>
      </c>
      <c r="M50" s="0">
        <v>54</v>
      </c>
      <c r="N50" s="0" t="inlineStr">
        <is>
          <t>2026-10-02 15:03:23.402 | Minigame: Alex | Type: HammerHit | Outcome: Success | Difficulty: Normal | ExpectedTime: 29.3120 | ActualTime: 29.3046 | TimingOffset: -0.0074 | TimingError: 0.0074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15:03:23.403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Failed</t>
        </is>
      </c>
      <c r="G51" s="6" t="inlineStr">
        <is>
          <t>Normal</t>
        </is>
      </c>
      <c r="K51" s="4">
        <v>0.0066</v>
      </c>
      <c r="M51" s="6">
        <v>55</v>
      </c>
      <c r="N51" s="6" t="inlineStr">
        <is>
          <t>2026-10-02 15:03:23.403 | Minigame: Alex | Type: HammerHit | Outcome: Failed | Difficulty: Normal | ExpectedTime: 29.3120 | ActualTime: 29.3186 | TimingOffset: 0.0066 | TimingError: 0.0066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15:03:24.179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Normal</t>
        </is>
      </c>
      <c r="K52" s="4">
        <v>0.0022</v>
      </c>
      <c r="M52" s="0">
        <v>56</v>
      </c>
      <c r="N52" s="0" t="inlineStr">
        <is>
          <t>2026-10-02 15:03:24.179 | Minigame: Alex | Type: HammerHit | Outcome: Success | Difficulty: Normal | ExpectedTime: 30.0800 | ActualTime: 30.0822 | TimingOffset: 0.0022 | TimingError: 0.0022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15:03:24.943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HammerTouch</t>
        </is>
      </c>
      <c r="F53" s="6" t="inlineStr">
        <is>
          <t>Success</t>
        </is>
      </c>
      <c r="G53" s="6" t="inlineStr">
        <is>
          <t>Normal</t>
        </is>
      </c>
      <c r="M53" s="6">
        <v>57</v>
      </c>
      <c r="N53" s="6" t="inlineStr">
        <is>
          <t>2026-10-02 15:03:24.943 | Minigame: Alex | Type: HammerTouch | Outcome: Success | Difficulty: Normal | ExpectedTime: 30.8480 | ActualTime: N/A | TimingOffset: N/A | TimingError: N/A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15:03:24.944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HammerHit</t>
        </is>
      </c>
      <c r="F54" s="0" t="inlineStr">
        <is>
          <t>Success</t>
        </is>
      </c>
      <c r="G54" s="0" t="inlineStr">
        <is>
          <t>Normal</t>
        </is>
      </c>
      <c r="K54" s="4">
        <v>0.0122</v>
      </c>
      <c r="M54" s="0">
        <v>58</v>
      </c>
      <c r="N54" s="0" t="inlineStr">
        <is>
          <t>2026-10-02 15:03:24.944 | Minigame: Alex | Type: HammerHit | Outcome: Success | Difficulty: Normal | ExpectedTime: 30.8480 | ActualTime: 30.8602 | TimingOffset: 0.0122 | TimingError: 0.0122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15:03:27.940</t>
        </is>
      </c>
      <c r="C55" s="6" t="inlineStr">
        <is>
          <t>Interaction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K55" s="4">
        <v>0.0755</v>
      </c>
      <c r="M55" s="6">
        <v>59</v>
      </c>
      <c r="N55" s="6" t="inlineStr">
        <is>
          <t>2026-10-02 15:03:27.940 | Minigame: Joaquin | Type: GuitarHit | Outcome: Success | Difficulty: Normal | ExpectedTime: 33.9200 | ActualTime: 33.8445 | TimingOffset: -0.0755 | TimingError: 0.0755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15:03:30.261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0.0598</v>
      </c>
      <c r="M56" s="0">
        <v>60</v>
      </c>
      <c r="N56" s="0" t="inlineStr">
        <is>
          <t>2026-10-02 15:03:30.261 | Minigame: Joaquin | Type: GuitarHit | Outcome: Success | Difficulty: Normal | ExpectedTime: 36.2240 | ActualTime: 36.1642 | TimingOffset: -0.0598 | TimingError: 0.0598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15:03:32.997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K57" s="4">
        <v>0.0117</v>
      </c>
      <c r="M57" s="6">
        <v>61</v>
      </c>
      <c r="N57" s="6" t="inlineStr">
        <is>
          <t>2026-10-02 15:03:32.997 | Minigame: Joaquin | Type: GuitarHit | Outcome: Success | Difficulty: Normal | ExpectedTime: 38.9120 | ActualTime: 38.9003 | TimingOffset: -0.0117 | TimingError: 0.0117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15:03:35.997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0.0841</v>
      </c>
      <c r="M58" s="0">
        <v>62</v>
      </c>
      <c r="N58" s="0" t="inlineStr">
        <is>
          <t>2026-10-02 15:03:35.997 | Minigame: Joaquin | Type: GuitarHit | Outcome: Success | Difficulty: Normal | ExpectedTime: 41.9840 | ActualTime: 41.8999 | TimingOffset: -0.0841 | TimingError: 0.0841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15:03:36.205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Normal</t>
        </is>
      </c>
      <c r="M59" s="6">
        <v>63</v>
      </c>
      <c r="N59" s="6" t="inlineStr">
        <is>
          <t>2026-10-02 15:03:36.205 | Minigame: Joaquin | Type: PlayerHit | Outcome: Failed | Difficulty: Normal | ExpectedTime: 42.1082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15:03:38.582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Normal</t>
        </is>
      </c>
      <c r="K60" s="4">
        <v>0.1874</v>
      </c>
      <c r="M60" s="0">
        <v>64</v>
      </c>
      <c r="N60" s="0" t="inlineStr">
        <is>
          <t>2026-10-02 15:03:38.582 | Minigame: Joaquin | Type: GuitarHit | Outcome: Success | Difficulty: Normal | ExpectedTime: 44.6720 | ActualTime: 44.4846 | TimingOffset: -0.1874 | TimingError: 0.1874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15:03:40.707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M61" s="6">
        <v>65</v>
      </c>
      <c r="N61" s="6" t="inlineStr">
        <is>
          <t>2026-10-02 15:03:40.707 | Minigame: Joaquin | Type: PlayerHit | Outcome: Failed | Difficulty: Normal | ExpectedTime: 46.6100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15:03:41.680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Normal</t>
        </is>
      </c>
      <c r="K62" s="4">
        <v>0.1619</v>
      </c>
      <c r="M62" s="0">
        <v>66</v>
      </c>
      <c r="N62" s="0" t="inlineStr">
        <is>
          <t>2026-10-02 15:03:41.680 | Minigame: Joaquin | Type: GuitarHit | Outcome: Success | Difficulty: Normal | ExpectedTime: 47.7440 | ActualTime: 47.5821 | TimingOffset: -0.1619 | TimingError: 0.1619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15:03:44.054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Normal</t>
        </is>
      </c>
      <c r="K63" s="4">
        <v>0.0912</v>
      </c>
      <c r="M63" s="6">
        <v>67</v>
      </c>
      <c r="N63" s="6" t="inlineStr">
        <is>
          <t>2026-10-02 15:03:44.054 | Minigame: Joaquin | Type: GuitarHit | Outcome: Success | Difficulty: Normal | ExpectedTime: 50.0480 | ActualTime: 49.9568 | TimingOffset: -0.0912 | TimingError: 0.0912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15:03:45.247</t>
        </is>
      </c>
      <c r="C64" s="0" t="inlineStr">
        <is>
          <t>Interaction</t>
        </is>
      </c>
      <c r="D64" s="0" t="inlineStr">
        <is>
          <t>Joaquin</t>
        </is>
      </c>
      <c r="E64" s="0" t="inlineStr">
        <is>
          <t>PlayerHit</t>
        </is>
      </c>
      <c r="F64" s="0" t="inlineStr">
        <is>
          <t>Failed</t>
        </is>
      </c>
      <c r="G64" s="0" t="inlineStr">
        <is>
          <t>Normal</t>
        </is>
      </c>
      <c r="M64" s="0">
        <v>68</v>
      </c>
      <c r="N64" s="0" t="inlineStr">
        <is>
          <t>2026-10-02 15:03:45.247 | Minigame: Joaquin | Type: PlayerHit | Outcome: Failed | Difficulty: Normal | ExpectedTime: 51.1506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15:03:46.551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Normal</t>
        </is>
      </c>
      <c r="K65" s="4">
        <v>0.1035</v>
      </c>
      <c r="M65" s="6">
        <v>69</v>
      </c>
      <c r="N65" s="6" t="inlineStr">
        <is>
          <t>2026-10-02 15:03:46.551 | Minigame: Joaquin | Type: GuitarHit | Outcome: Success | Difficulty: Normal | ExpectedTime: 52.3520 | ActualTime: 52.4555 | TimingOffset: 0.1035 | TimingError: 0.1035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15:03:48.678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Normal</t>
        </is>
      </c>
      <c r="K66" s="4">
        <v>0.0757</v>
      </c>
      <c r="M66" s="0">
        <v>70</v>
      </c>
      <c r="N66" s="0" t="inlineStr">
        <is>
          <t>2026-10-02 15:03:48.678 | Minigame: Joaquin | Type: GuitarHit | Outcome: Success | Difficulty: Normal | ExpectedTime: 54.6560 | ActualTime: 54.5803 | TimingOffset: -0.0757 | TimingError: 0.0757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15:03:49.773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PlayerHit</t>
        </is>
      </c>
      <c r="F67" s="6" t="inlineStr">
        <is>
          <t>Failed</t>
        </is>
      </c>
      <c r="G67" s="6" t="inlineStr">
        <is>
          <t>Normal</t>
        </is>
      </c>
      <c r="M67" s="6">
        <v>71</v>
      </c>
      <c r="N67" s="6" t="inlineStr">
        <is>
          <t>2026-10-02 15:03:49.773 | Minigame: Joaquin | Type: PlayerHit | Outcome: Failed | Difficulty: Normal | ExpectedTime: 55.6771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15:03:50.954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Normal</t>
        </is>
      </c>
      <c r="K68" s="4">
        <v>0.1023</v>
      </c>
      <c r="M68" s="0">
        <v>72</v>
      </c>
      <c r="N68" s="0" t="inlineStr">
        <is>
          <t>2026-10-02 15:03:50.954 | Minigame: Joaquin | Type: GuitarHit | Outcome: Success | Difficulty: Normal | ExpectedTime: 56.9600 | ActualTime: 56.8577 | TimingOffset: -0.1023 | TimingError: 0.1023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15:03:53.260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Normal</t>
        </is>
      </c>
      <c r="K69" s="4">
        <v>0.1007</v>
      </c>
      <c r="M69" s="6">
        <v>73</v>
      </c>
      <c r="N69" s="6" t="inlineStr">
        <is>
          <t>2026-10-02 15:03:53.260 | Minigame: Joaquin | Type: GuitarHit | Outcome: Success | Difficulty: Normal | ExpectedTime: 59.2640 | ActualTime: 59.1633 | TimingOffset: -0.1007 | TimingError: 0.1007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15:03:54.301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PlayerHit</t>
        </is>
      </c>
      <c r="F70" s="0" t="inlineStr">
        <is>
          <t>Failed</t>
        </is>
      </c>
      <c r="G70" s="0" t="inlineStr">
        <is>
          <t>Normal</t>
        </is>
      </c>
      <c r="M70" s="0">
        <v>74</v>
      </c>
      <c r="N70" s="0" t="inlineStr">
        <is>
          <t>2026-10-02 15:03:54.301 | Minigame: Joaquin | Type: PlayerHit | Outcome: Failed | Difficulty: Normal | ExpectedTime: 60.2042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15:03:55.219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PlayerHit</t>
        </is>
      </c>
      <c r="F71" s="6" t="inlineStr">
        <is>
          <t>Failed</t>
        </is>
      </c>
      <c r="G71" s="6" t="inlineStr">
        <is>
          <t>Normal</t>
        </is>
      </c>
      <c r="M71" s="6">
        <v>75</v>
      </c>
      <c r="N71" s="6" t="inlineStr">
        <is>
          <t>2026-10-02 15:03:55.219 | Minigame: Joaquin | Type: PlayerHit | Outcome: Failed | Difficulty: Normal | ExpectedTime: 61.1214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15:03:55.982</t>
        </is>
      </c>
      <c r="C72" s="0" t="inlineStr">
        <is>
          <t>Interaction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Normal</t>
        </is>
      </c>
      <c r="K72" s="4">
        <v>0.0666</v>
      </c>
      <c r="M72" s="0">
        <v>76</v>
      </c>
      <c r="N72" s="0" t="inlineStr">
        <is>
          <t>2026-10-02 15:03:55.982 | Minigame: Joaquin | Type: GuitarHit | Outcome: Success | Difficulty: Normal | ExpectedTime: 61.9520 | ActualTime: 61.8854 | TimingOffset: -0.0666 | TimingError: 0.0666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15:04:00.359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Normal</t>
        </is>
      </c>
      <c r="K73" s="4">
        <v>0.0086</v>
      </c>
      <c r="L73" s="4">
        <v>0.8534</v>
      </c>
      <c r="M73" s="6">
        <v>77</v>
      </c>
      <c r="N73" s="6" t="inlineStr">
        <is>
          <t>2026-10-02 15:04:00.359 | Minigame: Shipi | Type: FoodCut | Outcome: Failed | Difficulty: Normal | ExpectedTime: 66.2528 | ActualTime: 66.2614 | TimingOffset: 0.0086 | TimingError: 0.0086 | ReactionTime: 0.8534 | SpatialAccuracy: N/A | DirectionAccuracy: 0.0000 | CorrectHand: N/A</t>
        </is>
      </c>
    </row>
    <row r="74" ht="17" customHeight="1">
      <c r="A74" s="0">
        <v>73</v>
      </c>
      <c r="B74" s="0" t="inlineStr">
        <is>
          <t>2026-10-02 15:04:01.081</t>
        </is>
      </c>
      <c r="C74" s="0" t="inlineStr">
        <is>
          <t>Interaction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Failed</t>
        </is>
      </c>
      <c r="G74" s="0" t="inlineStr">
        <is>
          <t>Normal</t>
        </is>
      </c>
      <c r="K74" s="4">
        <v>0.8051</v>
      </c>
      <c r="L74" s="4">
        <v>0.0397</v>
      </c>
      <c r="M74" s="0">
        <v>78</v>
      </c>
      <c r="N74" s="0" t="inlineStr">
        <is>
          <t>2026-10-02 15:04:01.081 | Minigame: Shipi | Type: FoodCut | Outcome: Failed | Difficulty: Normal | ExpectedTime: 67.7888 | ActualTime: 66.9837 | TimingOffset: -0.8051 | TimingError: 0.8051 | ReactionTime: 0.0397 | SpatialAccuracy: N/A | DirectionAccuracy: 0.0000 | CorrectHand: N/A</t>
        </is>
      </c>
    </row>
    <row r="75" ht="17" customHeight="1">
      <c r="A75" s="6">
        <v>74</v>
      </c>
      <c r="B75" s="6" t="inlineStr">
        <is>
          <t>2026-10-02 15:04:02.595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Normal</t>
        </is>
      </c>
      <c r="K75" s="4">
        <v>0.8267</v>
      </c>
      <c r="L75" s="4">
        <v>0.0181</v>
      </c>
      <c r="M75" s="6">
        <v>79</v>
      </c>
      <c r="N75" s="6" t="inlineStr">
        <is>
          <t>2026-10-02 15:04:02.595 | Minigame: Shipi | Type: FoodCut | Outcome: Failed | Difficulty: Normal | ExpectedTime: 69.3248 | ActualTime: 68.4981 | TimingOffset: -0.8267 | TimingError: 0.8267 | ReactionTime: 0.0181 | SpatialAccuracy: N/A | DirectionAccuracy: 0.0000 | CorrectHand: N/A</t>
        </is>
      </c>
    </row>
    <row r="76" ht="17" customHeight="1">
      <c r="A76" s="0">
        <v>75</v>
      </c>
      <c r="B76" s="0" t="inlineStr">
        <is>
          <t>2026-10-02 15:04:04.136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Normal</t>
        </is>
      </c>
      <c r="M76" s="0">
        <v>80</v>
      </c>
      <c r="N76" s="0" t="inlineStr">
        <is>
          <t>2026-10-02 15:04:04.136 | Minigame: Shipi | Type: FoodCut | Outcome: Failed | Difficulty: Normal | ExpectedTime: 70.8608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15:04:05.664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Failed</t>
        </is>
      </c>
      <c r="G77" s="6" t="inlineStr">
        <is>
          <t>Normal</t>
        </is>
      </c>
      <c r="K77" s="4">
        <v>0.8299</v>
      </c>
      <c r="L77" s="4">
        <v>0.0149</v>
      </c>
      <c r="M77" s="6">
        <v>81</v>
      </c>
      <c r="N77" s="6" t="inlineStr">
        <is>
          <t>2026-10-02 15:04:05.664 | Minigame: Shipi | Type: FoodCut | Outcome: Failed | Difficulty: Normal | ExpectedTime: 72.3968 | ActualTime: 71.5669 | TimingOffset: -0.8299 | TimingError: 0.8299 | ReactionTime: 0.0149 | SpatialAccuracy: N/A | DirectionAccuracy: 0.0000 | CorrectHand: N/A</t>
        </is>
      </c>
    </row>
    <row r="78" ht="17" customHeight="1">
      <c r="A78" s="0">
        <v>77</v>
      </c>
      <c r="B78" s="0" t="inlineStr">
        <is>
          <t>2026-10-02 15:04:05.664</t>
        </is>
      </c>
      <c r="C78" s="0" t="inlineStr">
        <is>
          <t>PlayerState</t>
        </is>
      </c>
      <c r="H78" s="0" t="inlineStr">
        <is>
          <t>Overloaded</t>
        </is>
      </c>
      <c r="M78" s="0">
        <v>82</v>
      </c>
      <c r="N78" s="0" t="inlineStr">
        <is>
          <t>2026-10-02 15:04:05.664 | PlayerState: Overloaded</t>
        </is>
      </c>
    </row>
    <row r="79" ht="17" customHeight="1">
      <c r="A79" s="6">
        <v>78</v>
      </c>
      <c r="B79" s="6" t="inlineStr">
        <is>
          <t>2026-10-02 15:04:05.664</t>
        </is>
      </c>
      <c r="C79" s="6" t="inlineStr">
        <is>
          <t>DifficultyChanged</t>
        </is>
      </c>
      <c r="D79" s="6" t="inlineStr">
        <is>
          <t>Shipi</t>
        </is>
      </c>
      <c r="I79" s="6" t="inlineStr">
        <is>
          <t>Normal -&gt; Easy</t>
        </is>
      </c>
      <c r="J79" s="6" t="inlineStr">
        <is>
          <t>PlayerState: Overloaded</t>
        </is>
      </c>
      <c r="M79" s="6">
        <v>83</v>
      </c>
      <c r="N79" s="6" t="inlineStr">
        <is>
          <t>2026-10-02 15:04:05.664 | DifficultyChanged: Normal -&gt; Easy | Reason: PlayerState: Overloaded | Minigame: Shipi | RecentSuccessRate: 0.00</t>
        </is>
      </c>
    </row>
    <row r="80" ht="17" customHeight="1">
      <c r="A80" s="0">
        <v>79</v>
      </c>
      <c r="B80" s="0" t="inlineStr">
        <is>
          <t>2026-10-02 15:04:05.665</t>
        </is>
      </c>
      <c r="C80" s="0" t="inlineStr">
        <is>
          <t>PlayerState</t>
        </is>
      </c>
      <c r="H80" s="0" t="inlineStr">
        <is>
          <t>Engaged</t>
        </is>
      </c>
      <c r="M80" s="0">
        <v>84</v>
      </c>
      <c r="N80" s="0" t="inlineStr">
        <is>
          <t>2026-10-02 15:04:05.665 | PlayerState: Engaged</t>
        </is>
      </c>
    </row>
    <row r="81" ht="17" customHeight="1">
      <c r="A81" s="6">
        <v>80</v>
      </c>
      <c r="B81" s="6" t="inlineStr">
        <is>
          <t>2026-10-02 15:04:08.442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Normal</t>
        </is>
      </c>
      <c r="M81" s="6">
        <v>85</v>
      </c>
      <c r="N81" s="6" t="inlineStr">
        <is>
          <t>2026-10-02 15:04:08.442 | Minigame: Shipi | Type: FoodCut | Outcome: Failed | Difficulty: Normal | ExpectedTime: 74.5280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15:04:10.053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Failed</t>
        </is>
      </c>
      <c r="G82" s="0" t="inlineStr">
        <is>
          <t>Normal</t>
        </is>
      </c>
      <c r="K82" s="4">
        <v>0.4922</v>
      </c>
      <c r="L82" s="4">
        <v>0.5638</v>
      </c>
      <c r="M82" s="0">
        <v>86</v>
      </c>
      <c r="N82" s="0" t="inlineStr">
        <is>
          <t>2026-10-02 15:04:10.053 | Minigame: Shipi | Type: FoodCut | Outcome: Failed | Difficulty: Normal | ExpectedTime: 76.4480 | ActualTime: 75.9558 | TimingOffset: -0.4922 | TimingError: 0.4922 | ReactionTime: 0.5638 | SpatialAccuracy: N/A | DirectionAccuracy: 0.0000 | CorrectHand: N/A</t>
        </is>
      </c>
    </row>
    <row r="83" ht="17" customHeight="1">
      <c r="A83" s="6">
        <v>82</v>
      </c>
      <c r="B83" s="6" t="inlineStr">
        <is>
          <t>2026-10-02 15:04:10.664</t>
        </is>
      </c>
      <c r="C83" s="6" t="inlineStr">
        <is>
          <t>PlayerState</t>
        </is>
      </c>
      <c r="H83" s="6" t="inlineStr">
        <is>
          <t>Idle</t>
        </is>
      </c>
      <c r="M83" s="6">
        <v>87</v>
      </c>
      <c r="N83" s="6" t="inlineStr">
        <is>
          <t>2026-10-02 15:04:10.664 | PlayerState: Idle</t>
        </is>
      </c>
    </row>
    <row r="84" ht="17" customHeight="1">
      <c r="A84" s="0">
        <v>83</v>
      </c>
      <c r="B84" s="0" t="inlineStr">
        <is>
          <t>2026-10-02 15:04:11.442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Failed</t>
        </is>
      </c>
      <c r="G84" s="0" t="inlineStr">
        <is>
          <t>Easy</t>
        </is>
      </c>
      <c r="K84" s="4">
        <v>1.0231</v>
      </c>
      <c r="L84" s="4">
        <v>0.0329</v>
      </c>
      <c r="M84" s="0">
        <v>88</v>
      </c>
      <c r="N84" s="0" t="inlineStr">
        <is>
          <t>2026-10-02 15:04:11.442 | Minigame: Shipi | Type: FoodCut | Outcome: Failed | Difficulty: Easy | ExpectedTime: 78.3680 | ActualTime: 77.3449 | TimingOffset: -1.0231 | TimingError: 1.0231 | ReactionTime: 0.0329 | SpatialAccuracy: N/A | DirectionAccuracy: 0.0000 | CorrectHand: N/A</t>
        </is>
      </c>
    </row>
    <row r="85" ht="17" customHeight="1">
      <c r="A85" s="6">
        <v>84</v>
      </c>
      <c r="B85" s="6" t="inlineStr">
        <is>
          <t>2026-10-02 15:04:11.443</t>
        </is>
      </c>
      <c r="C85" s="6" t="inlineStr">
        <is>
          <t>PlayerState</t>
        </is>
      </c>
      <c r="H85" s="6" t="inlineStr">
        <is>
          <t>Engaged</t>
        </is>
      </c>
      <c r="M85" s="6">
        <v>89</v>
      </c>
      <c r="N85" s="6" t="inlineStr">
        <is>
          <t>2026-10-02 15:04:11.443 | PlayerState: Engaged</t>
        </is>
      </c>
    </row>
    <row r="86" ht="17" customHeight="1">
      <c r="A86" s="0">
        <v>85</v>
      </c>
      <c r="B86" s="0" t="inlineStr">
        <is>
          <t>2026-10-02 15:04:14.164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Easy</t>
        </is>
      </c>
      <c r="K86" s="4">
        <v>0.2214</v>
      </c>
      <c r="L86" s="4">
        <v>0.8346</v>
      </c>
      <c r="M86" s="0">
        <v>90</v>
      </c>
      <c r="N86" s="0" t="inlineStr">
        <is>
          <t>2026-10-02 15:04:14.164 | Minigame: Shipi | Type: FoodCut | Outcome: Failed | Difficulty: Easy | ExpectedTime: 80.2880 | ActualTime: 80.0666 | TimingOffset: -0.2214 | TimingError: 0.2214 | ReactionTime: 0.8346 | SpatialAccuracy: N/A | DirectionAccuracy: 0.0000 | CorrectHand: N/A</t>
        </is>
      </c>
    </row>
    <row r="87" ht="17" customHeight="1">
      <c r="A87" s="6">
        <v>86</v>
      </c>
      <c r="B87" s="6" t="inlineStr">
        <is>
          <t>2026-10-02 15:04:15.482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Easy</t>
        </is>
      </c>
      <c r="K87" s="4">
        <v>0.8221</v>
      </c>
      <c r="L87" s="4">
        <v>0.2339</v>
      </c>
      <c r="M87" s="6">
        <v>91</v>
      </c>
      <c r="N87" s="6" t="inlineStr">
        <is>
          <t>2026-10-02 15:04:15.482 | Minigame: Shipi | Type: FoodCut | Outcome: Failed | Difficulty: Easy | ExpectedTime: 82.2080 | ActualTime: 81.3859 | TimingOffset: -0.8221 | TimingError: 0.8221 | ReactionTime: 0.2339 | SpatialAccuracy: N/A | DirectionAccuracy: 0.0000 | CorrectHand: N/A</t>
        </is>
      </c>
    </row>
    <row r="88" ht="17" customHeight="1">
      <c r="A88" s="0">
        <v>87</v>
      </c>
      <c r="B88" s="0" t="inlineStr">
        <is>
          <t>2026-10-02 15:04:17.996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Easy</t>
        </is>
      </c>
      <c r="K88" s="4">
        <v>0.2285</v>
      </c>
      <c r="L88" s="4">
        <v>0.8275</v>
      </c>
      <c r="M88" s="0">
        <v>92</v>
      </c>
      <c r="N88" s="0" t="inlineStr">
        <is>
          <t>2026-10-02 15:04:17.996 | Minigame: Shipi | Type: FoodCut | Outcome: Success | Difficulty: Easy | ExpectedTime: 84.1280 | ActualTime: 83.8995 | TimingOffset: -0.2285 | TimingError: 0.2285 | ReactionTime: 0.8275 | SpatialAccuracy: N/A | DirectionAccuracy: 1.0000 | CorrectHand: N/A</t>
        </is>
      </c>
    </row>
    <row r="89" ht="17" customHeight="1">
      <c r="A89" s="6">
        <v>88</v>
      </c>
      <c r="B89" s="6" t="inlineStr">
        <is>
          <t>2026-10-02 15:04:19.801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Success</t>
        </is>
      </c>
      <c r="G89" s="6" t="inlineStr">
        <is>
          <t>Easy</t>
        </is>
      </c>
      <c r="K89" s="4">
        <v>0.343</v>
      </c>
      <c r="L89" s="4">
        <v>0.713</v>
      </c>
      <c r="M89" s="6">
        <v>93</v>
      </c>
      <c r="N89" s="6" t="inlineStr">
        <is>
          <t>2026-10-02 15:04:19.801 | Minigame: Shipi | Type: FoodCut | Outcome: Success | Difficulty: Easy | ExpectedTime: 86.0480 | ActualTime: 85.7050 | TimingOffset: -0.3430 | TimingError: 0.3430 | ReactionTime: 0.7130 | SpatialAccuracy: N/A | DirectionAccuracy: 1.0000 | CorrectHand: N/A</t>
        </is>
      </c>
    </row>
    <row r="90" ht="17" customHeight="1">
      <c r="A90" s="0">
        <v>89</v>
      </c>
      <c r="B90" s="0" t="inlineStr">
        <is>
          <t>2026-10-02 15:04:19.801</t>
        </is>
      </c>
      <c r="C90" s="0" t="inlineStr">
        <is>
          <t>PlayerState</t>
        </is>
      </c>
      <c r="H90" s="0" t="inlineStr">
        <is>
          <t>Overloaded</t>
        </is>
      </c>
      <c r="M90" s="0">
        <v>94</v>
      </c>
      <c r="N90" s="0" t="inlineStr">
        <is>
          <t>2026-10-02 15:04:19.801 | PlayerState: Overloaded</t>
        </is>
      </c>
    </row>
    <row r="91" ht="17" customHeight="1">
      <c r="A91" s="6">
        <v>90</v>
      </c>
      <c r="B91" s="6" t="inlineStr">
        <is>
          <t>2026-10-02 15:04:21.760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Success</t>
        </is>
      </c>
      <c r="G91" s="6" t="inlineStr">
        <is>
          <t>Easy</t>
        </is>
      </c>
      <c r="K91" s="4">
        <v>0.3043</v>
      </c>
      <c r="L91" s="4">
        <v>0.7517</v>
      </c>
      <c r="M91" s="6">
        <v>95</v>
      </c>
      <c r="N91" s="6" t="inlineStr">
        <is>
          <t>2026-10-02 15:04:21.760 | Minigame: Shipi | Type: FoodCut | Outcome: Success | Difficulty: Easy | ExpectedTime: 87.9680 | ActualTime: 87.6637 | TimingOffset: -0.3043 | TimingError: 0.3043 | ReactionTime: 0.7517 | SpatialAccuracy: N/A | DirectionAccuracy: 1.0000 | CorrectHand: N/A</t>
        </is>
      </c>
    </row>
    <row r="92" ht="17" customHeight="1">
      <c r="A92" s="0">
        <v>91</v>
      </c>
      <c r="B92" s="0" t="inlineStr">
        <is>
          <t>2026-10-02 15:04:23.621</t>
        </is>
      </c>
      <c r="C92" s="0" t="inlineStr">
        <is>
          <t>Interaction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Success</t>
        </is>
      </c>
      <c r="G92" s="0" t="inlineStr">
        <is>
          <t>Easy</t>
        </is>
      </c>
      <c r="K92" s="4">
        <v>0.3632</v>
      </c>
      <c r="L92" s="4">
        <v>0.6928</v>
      </c>
      <c r="M92" s="0">
        <v>96</v>
      </c>
      <c r="N92" s="0" t="inlineStr">
        <is>
          <t>2026-10-02 15:04:23.621 | Minigame: Shipi | Type: FoodCut | Outcome: Success | Difficulty: Easy | ExpectedTime: 89.8880 | ActualTime: 89.5248 | TimingOffset: -0.3632 | TimingError: 0.3632 | ReactionTime: 0.6928 | SpatialAccuracy: N/A | DirectionAccuracy: 1.0000 | CorrectHand: N/A</t>
        </is>
      </c>
    </row>
    <row r="93" ht="17" customHeight="1">
      <c r="A93" s="6">
        <v>92</v>
      </c>
      <c r="B93" s="6" t="inlineStr">
        <is>
          <t>2026-10-02 15:04:25.551</t>
        </is>
      </c>
      <c r="C93" s="6" t="inlineStr">
        <is>
          <t>Interaction</t>
        </is>
      </c>
      <c r="D93" s="6" t="inlineStr">
        <is>
          <t>Shipi</t>
        </is>
      </c>
      <c r="E93" s="6" t="inlineStr">
        <is>
          <t>FoodCut</t>
        </is>
      </c>
      <c r="F93" s="6" t="inlineStr">
        <is>
          <t>Success</t>
        </is>
      </c>
      <c r="G93" s="6" t="inlineStr">
        <is>
          <t>Easy</t>
        </is>
      </c>
      <c r="K93" s="4">
        <v>0.3532</v>
      </c>
      <c r="L93" s="4">
        <v>0.7028</v>
      </c>
      <c r="M93" s="6">
        <v>97</v>
      </c>
      <c r="N93" s="6" t="inlineStr">
        <is>
          <t>2026-10-02 15:04:25.551 | Minigame: Shipi | Type: FoodCut | Outcome: Success | Difficulty: Easy | ExpectedTime: 91.8080 | ActualTime: 91.4548 | TimingOffset: -0.3532 | TimingError: 0.3532 | ReactionTime: 0.7028 | SpatialAccuracy: N/A | DirectionAccuracy: 1.0000 | CorrectHand: N/A</t>
        </is>
      </c>
    </row>
    <row r="94" ht="17" customHeight="1">
      <c r="A94" s="0">
        <v>93</v>
      </c>
      <c r="B94" s="0" t="inlineStr">
        <is>
          <t>2026-10-02 15:04:27.578</t>
        </is>
      </c>
      <c r="C94" s="0" t="inlineStr">
        <is>
          <t>Interaction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Failed</t>
        </is>
      </c>
      <c r="G94" s="0" t="inlineStr">
        <is>
          <t>Easy</t>
        </is>
      </c>
      <c r="M94" s="0">
        <v>98</v>
      </c>
      <c r="N94" s="0" t="inlineStr">
        <is>
          <t>2026-10-02 15:04:27.578 | Minigame: Shipi | Type: FoodCut | Outcome: Failed | Difficulty: Easy | ExpectedTime: 93.7280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15:04:32.078</t>
        </is>
      </c>
      <c r="C95" s="6" t="inlineStr">
        <is>
          <t>Interaction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Easy</t>
        </is>
      </c>
      <c r="K95" s="4">
        <v>0.9792</v>
      </c>
      <c r="M95" s="6">
        <v>99</v>
      </c>
      <c r="N95" s="6" t="inlineStr">
        <is>
          <t>2026-10-02 15:04:32.078 | Minigame: JuanAndres | Type: GroomStroke | Outcome: Failed | Difficulty: Easy | ExpectedTime: 96.1280 | ActualTime: 97.1072 | TimingOffset: 0.9792 | TimingError: 0.9792 | ReactionTime: N/A | SpatialAccuracy: N/A | DirectionAccuracy: 1.0000 | CorrectHand: False</t>
        </is>
      </c>
    </row>
    <row r="96" ht="17" customHeight="1">
      <c r="A96" s="0">
        <v>95</v>
      </c>
      <c r="B96" s="0" t="inlineStr">
        <is>
          <t>2026-10-02 15:04:32.078</t>
        </is>
      </c>
      <c r="C96" s="0" t="inlineStr">
        <is>
          <t>PlayerState</t>
        </is>
      </c>
      <c r="H96" s="0" t="inlineStr">
        <is>
          <t>Engaged</t>
        </is>
      </c>
      <c r="M96" s="0">
        <v>100</v>
      </c>
      <c r="N96" s="0" t="inlineStr">
        <is>
          <t>2026-10-02 15:04:32.078 | PlayerState: Engaged</t>
        </is>
      </c>
    </row>
    <row r="97" ht="17" customHeight="1">
      <c r="A97" s="6">
        <v>96</v>
      </c>
      <c r="B97" s="6" t="inlineStr">
        <is>
          <t>2026-10-02 15:04:35.079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Missed</t>
        </is>
      </c>
      <c r="G97" s="6" t="inlineStr">
        <is>
          <t>Easy</t>
        </is>
      </c>
      <c r="M97" s="6">
        <v>101</v>
      </c>
      <c r="N97" s="6" t="inlineStr">
        <is>
          <t>2026-10-02 15:04:35.079 | Minigame: JuanAndres | Type: GroomStroke | Outcome: Missed | Difficulty: Easy | ExpectedTime: 94.9760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15:04:35.301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Success</t>
        </is>
      </c>
      <c r="G98" s="0" t="inlineStr">
        <is>
          <t>Easy</t>
        </is>
      </c>
      <c r="K98" s="4">
        <v>0.0409</v>
      </c>
      <c r="M98" s="0">
        <v>102</v>
      </c>
      <c r="N98" s="0" t="inlineStr">
        <is>
          <t>2026-10-02 15:04:35.301 | Minigame: JuanAndres | Type: GroomStroke | Outcome: Success | Difficulty: Easy | ExpectedTime: 101.1200 | ActualTime: 101.0791 | TimingOffset: -0.0409 | TimingError: 0.0409 | ReactionTime: N/A | SpatialAccuracy: N/A | DirectionAccuracy: 1.0000 | CorrectHand: True</t>
        </is>
      </c>
    </row>
    <row r="99" ht="17" customHeight="1">
      <c r="A99" s="6">
        <v>98</v>
      </c>
      <c r="B99" s="6" t="inlineStr">
        <is>
          <t>2026-10-02 15:04:38.413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K99" s="4">
        <v>1.424</v>
      </c>
      <c r="M99" s="6">
        <v>103</v>
      </c>
      <c r="N99" s="6" t="inlineStr">
        <is>
          <t>2026-10-02 15:04:38.413 | Minigame: JuanAndres | Type: GroomStroke | Outcome: Failed | Difficulty: Easy | ExpectedTime: 102.6560 | ActualTime: 104.0800 | TimingOffset: 1.4240 | TimingError: 1.4240 | ReactionTime: N/A | SpatialAccuracy: N/A | DirectionAccuracy: 0.0000 | CorrectHand: True</t>
        </is>
      </c>
    </row>
    <row r="100" ht="17" customHeight="1">
      <c r="A100" s="0">
        <v>99</v>
      </c>
      <c r="B100" s="0" t="inlineStr">
        <is>
          <t>2026-10-02 15:04:39.441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Failed</t>
        </is>
      </c>
      <c r="G100" s="0" t="inlineStr">
        <is>
          <t>Easy</t>
        </is>
      </c>
      <c r="K100" s="4">
        <v>0.4633</v>
      </c>
      <c r="M100" s="0">
        <v>104</v>
      </c>
      <c r="N100" s="0" t="inlineStr">
        <is>
          <t>2026-10-02 15:04:39.441 | Minigame: JuanAndres | Type: GroomStroke | Outcome: Failed | Difficulty: Easy | ExpectedTime: 104.9600 | ActualTime: 104.4967 | TimingOffset: -0.4633 | TimingError: 0.4633 | ReactionTime: N/A | SpatialAccuracy: N/A | DirectionAccuracy: 1.0000 | CorrectHand: False</t>
        </is>
      </c>
    </row>
    <row r="101" ht="17" customHeight="1">
      <c r="A101" s="6">
        <v>100</v>
      </c>
      <c r="B101" s="6" t="inlineStr">
        <is>
          <t>2026-10-02 15:04:39.441</t>
        </is>
      </c>
      <c r="C101" s="6" t="inlineStr">
        <is>
          <t>PlayerState</t>
        </is>
      </c>
      <c r="H101" s="6" t="inlineStr">
        <is>
          <t>Overloaded</t>
        </is>
      </c>
      <c r="M101" s="6">
        <v>105</v>
      </c>
      <c r="N101" s="6" t="inlineStr">
        <is>
          <t>2026-10-02 15:04:39.441 | PlayerState: Overloaded</t>
        </is>
      </c>
    </row>
    <row r="102" ht="17" customHeight="1">
      <c r="A102" s="0">
        <v>101</v>
      </c>
      <c r="B102" s="0" t="inlineStr">
        <is>
          <t>2026-10-02 15:04:43.343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Success</t>
        </is>
      </c>
      <c r="G102" s="0" t="inlineStr">
        <is>
          <t>Easy</t>
        </is>
      </c>
      <c r="K102" s="4">
        <v>4.791</v>
      </c>
      <c r="M102" s="0">
        <v>106</v>
      </c>
      <c r="N102" s="0" t="inlineStr">
        <is>
          <t>2026-10-02 15:04:43.343 | Minigame: JuanAndres | Type: GroomStroke | Outcome: Success | Difficulty: Easy | ExpectedTime: 104.1920 | ActualTime: 108.9830 | TimingOffset: 4.7910 | TimingError: 4.7910 | ReactionTime: N/A | SpatialAccuracy: N/A | DirectionAccuracy: 1.0000 | CorrectHand: True</t>
        </is>
      </c>
    </row>
    <row r="103" ht="17" customHeight="1">
      <c r="A103" s="6">
        <v>102</v>
      </c>
      <c r="B103" s="6" t="inlineStr">
        <is>
          <t>2026-10-02 15:04:46.981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Missed</t>
        </is>
      </c>
      <c r="G103" s="6" t="inlineStr">
        <is>
          <t>Easy</t>
        </is>
      </c>
      <c r="M103" s="6">
        <v>107</v>
      </c>
      <c r="N103" s="6" t="inlineStr">
        <is>
          <t>2026-10-02 15:04:46.981 | Minigame: JuanAndres | Type: GroomStroke | Outcome: Missed | Difficulty: Easy | ExpectedTime: 106.8800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15:04:48.218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Failed</t>
        </is>
      </c>
      <c r="G104" s="0" t="inlineStr">
        <is>
          <t>Easy</t>
        </is>
      </c>
      <c r="K104" s="4">
        <v>2.962</v>
      </c>
      <c r="M104" s="0">
        <v>108</v>
      </c>
      <c r="N104" s="0" t="inlineStr">
        <is>
          <t>2026-10-02 15:04:48.218 | Minigame: JuanAndres | Type: GroomStroke | Outcome: Failed | Difficulty: Easy | ExpectedTime: 111.1040 | ActualTime: 114.0660 | TimingOffset: 2.9620 | TimingError: 2.9620 | ReactionTime: N/A | SpatialAccuracy: N/A | DirectionAccuracy: 0.0000 | CorrectHand: True</t>
        </is>
      </c>
    </row>
    <row r="105" ht="17" customHeight="1">
      <c r="A105" s="6">
        <v>104</v>
      </c>
      <c r="B105" s="6" t="inlineStr">
        <is>
          <t>2026-10-02 15:04:50.203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Success</t>
        </is>
      </c>
      <c r="G105" s="6" t="inlineStr">
        <is>
          <t>Easy</t>
        </is>
      </c>
      <c r="K105" s="4">
        <v>2.1068</v>
      </c>
      <c r="M105" s="6">
        <v>109</v>
      </c>
      <c r="N105" s="6" t="inlineStr">
        <is>
          <t>2026-10-02 15:04:50.203 | Minigame: JuanAndres | Type: GroomStroke | Outcome: Success | Difficulty: Easy | ExpectedTime: 113.7920 | ActualTime: 115.8988 | TimingOffset: 2.1068 | TimingError: 2.1068 | ReactionTime: N/A | SpatialAccuracy: N/A | DirectionAccuracy: 1.0000 | CorrectHand: True</t>
        </is>
      </c>
    </row>
    <row r="106" ht="17" customHeight="1">
      <c r="A106" s="0">
        <v>105</v>
      </c>
      <c r="B106" s="0" t="inlineStr">
        <is>
          <t>2026-10-02 15:04:51.176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Success</t>
        </is>
      </c>
      <c r="G106" s="0" t="inlineStr">
        <is>
          <t>Easy</t>
        </is>
      </c>
      <c r="K106" s="4">
        <v>0.4327</v>
      </c>
      <c r="M106" s="0">
        <v>110</v>
      </c>
      <c r="N106" s="0" t="inlineStr">
        <is>
          <t>2026-10-02 15:04:51.176 | Minigame: JuanAndres | Type: GroomStroke | Outcome: Success | Difficulty: Easy | ExpectedTime: 117.2480 | ActualTime: 116.8153 | TimingOffset: -0.4327 | TimingError: 0.4327 | ReactionTime: N/A | SpatialAccuracy: N/A | DirectionAccuracy: 1.0000 | CorrectHand: True</t>
        </is>
      </c>
    </row>
    <row r="107" ht="17" customHeight="1">
      <c r="A107" s="6">
        <v>106</v>
      </c>
      <c r="B107" s="6" t="inlineStr">
        <is>
          <t>2026-10-02 15:04:51.593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Failed</t>
        </is>
      </c>
      <c r="G107" s="6" t="inlineStr">
        <is>
          <t>Easy</t>
        </is>
      </c>
      <c r="K107" s="4">
        <v>1.1637</v>
      </c>
      <c r="M107" s="6">
        <v>111</v>
      </c>
      <c r="N107" s="6" t="inlineStr">
        <is>
          <t>2026-10-02 15:04:51.593 | Minigame: JuanAndres | Type: GroomStroke | Outcome: Failed | Difficulty: Easy | ExpectedTime: 116.0960 | ActualTime: 117.2597 | TimingOffset: 1.1637 | TimingError: 1.1637 | ReactionTime: N/A | SpatialAccuracy: N/A | DirectionAccuracy: 0.0000 | CorrectHand: True</t>
        </is>
      </c>
    </row>
    <row r="108" ht="17" customHeight="1">
      <c r="A108" s="0">
        <v>107</v>
      </c>
      <c r="B108" s="0" t="inlineStr">
        <is>
          <t>2026-10-02 15:04:53.758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Failed</t>
        </is>
      </c>
      <c r="G108" s="0" t="inlineStr">
        <is>
          <t>Easy</t>
        </is>
      </c>
      <c r="K108" s="4">
        <v>0.9847</v>
      </c>
      <c r="M108" s="0">
        <v>112</v>
      </c>
      <c r="N108" s="0" t="inlineStr">
        <is>
          <t>2026-10-02 15:04:53.758 | Minigame: JuanAndres | Type: GroomStroke | Outcome: Failed | Difficulty: Easy | ExpectedTime: 118.4000 | ActualTime: 119.3847 | TimingOffset: 0.9847 | TimingError: 0.9847 | ReactionTime: N/A | SpatialAccuracy: N/A | DirectionAccuracy: 0.0000 | CorrectHand: True</t>
        </is>
      </c>
    </row>
    <row r="109" ht="17" customHeight="1">
      <c r="A109" s="6">
        <v>108</v>
      </c>
      <c r="B109" s="6" t="inlineStr">
        <is>
          <t>2026-10-02 15:04:58.744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Success</t>
        </is>
      </c>
      <c r="G109" s="6" t="inlineStr">
        <is>
          <t>Easy</t>
        </is>
      </c>
      <c r="K109" s="4">
        <v>3.0642</v>
      </c>
      <c r="M109" s="6">
        <v>113</v>
      </c>
      <c r="N109" s="6" t="inlineStr">
        <is>
          <t>2026-10-02 15:04:58.744 | Minigame: JuanAndres | Type: GroomStroke | Outcome: Success | Difficulty: Easy | ExpectedTime: 121.4720 | ActualTime: 124.5362 | TimingOffset: 3.0642 | TimingError: 3.0642 | ReactionTime: N/A | SpatialAccuracy: N/A | DirectionAccuracy: 1.0000 | CorrectHand: True</t>
        </is>
      </c>
    </row>
    <row r="110" ht="17" customHeight="1">
      <c r="A110" s="0">
        <v>109</v>
      </c>
      <c r="B110" s="0" t="inlineStr">
        <is>
          <t>2026-10-02 15:05:01.840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Easy</t>
        </is>
      </c>
      <c r="M110" s="0">
        <v>114</v>
      </c>
      <c r="N110" s="0" t="inlineStr">
        <is>
          <t>2026-10-02 15:05:01.840 | Minigame: Danniel | Type: PlayerHit | Outcome: Failed | Difficulty: Easy | ExpectedTime: 127.7427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15:05:01.840</t>
        </is>
      </c>
      <c r="C111" s="6" t="inlineStr">
        <is>
          <t>PlayerState</t>
        </is>
      </c>
      <c r="H111" s="6" t="inlineStr">
        <is>
          <t>Idle</t>
        </is>
      </c>
      <c r="M111" s="6">
        <v>115</v>
      </c>
      <c r="N111" s="6" t="inlineStr">
        <is>
          <t>2026-10-02 15:05:01.840 | PlayerState: Idle</t>
        </is>
      </c>
    </row>
    <row r="112" ht="17" customHeight="1">
      <c r="A112" s="0">
        <v>111</v>
      </c>
      <c r="B112" s="0" t="inlineStr">
        <is>
          <t>2026-10-02 15:05:02.897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K112" s="4">
        <v>0.1208</v>
      </c>
      <c r="M112" s="0">
        <v>116</v>
      </c>
      <c r="N112" s="0" t="inlineStr">
        <is>
          <t>2026-10-02 15:05:02.897 | Minigame: Danniel | Type: GunShoot | Outcome: Success | Difficulty: Easy | ExpectedTime: 128.7680 | ActualTime: 128.6472 | TimingOffset: -0.1208 | TimingError: 0.1208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15:05:02.898</t>
        </is>
      </c>
      <c r="C113" s="6" t="inlineStr">
        <is>
          <t>PlayerState</t>
        </is>
      </c>
      <c r="H113" s="6" t="inlineStr">
        <is>
          <t>Engaged</t>
        </is>
      </c>
      <c r="M113" s="6">
        <v>117</v>
      </c>
      <c r="N113" s="6" t="inlineStr">
        <is>
          <t>2026-10-02 15:05:02.898 | PlayerState: Engaged</t>
        </is>
      </c>
    </row>
    <row r="114" ht="17" customHeight="1">
      <c r="A114" s="0">
        <v>113</v>
      </c>
      <c r="B114" s="0" t="inlineStr">
        <is>
          <t>2026-10-02 15:05:03.743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0.1053</v>
      </c>
      <c r="M114" s="0">
        <v>118</v>
      </c>
      <c r="N114" s="0" t="inlineStr">
        <is>
          <t>2026-10-02 15:05:03.743 | Minigame: Danniel | Type: GunShoot | Outcome: Success | Difficulty: Easy | ExpectedTime: 129.1520 | ActualTime: 129.2573 | TimingOffset: 0.1053 | TimingError: 0.1053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15:05:05.424</t>
        </is>
      </c>
      <c r="C115" s="6" t="inlineStr">
        <is>
          <t>Interaction</t>
        </is>
      </c>
      <c r="D115" s="6" t="inlineStr">
        <is>
          <t>Danniel</t>
        </is>
      </c>
      <c r="E115" s="6" t="inlineStr">
        <is>
          <t>PlayerHit</t>
        </is>
      </c>
      <c r="F115" s="6" t="inlineStr">
        <is>
          <t>Failed</t>
        </is>
      </c>
      <c r="G115" s="6" t="inlineStr">
        <is>
          <t>Easy</t>
        </is>
      </c>
      <c r="M115" s="6">
        <v>119</v>
      </c>
      <c r="N115" s="6" t="inlineStr">
        <is>
          <t>2026-10-02 15:05:05.424 | Minigame: Danniel | Type: PlayerHit | Outcome: Failed | Difficulty: Easy | ExpectedTime: 131.3277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15:05:06.314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0.1093</v>
      </c>
      <c r="M116" s="0">
        <v>120</v>
      </c>
      <c r="N116" s="0" t="inlineStr">
        <is>
          <t>2026-10-02 15:05:06.314 | Minigame: Danniel | Type: GunShoot | Outcome: Success | Difficulty: Easy | ExpectedTime: 131.8400 | ActualTime: 131.7307 | TimingOffset: -0.1093 | TimingError: 0.1093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15:05:08.022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K117" s="4">
        <v>0.1467</v>
      </c>
      <c r="M117" s="6">
        <v>121</v>
      </c>
      <c r="N117" s="6" t="inlineStr">
        <is>
          <t>2026-10-02 15:05:08.022 | Minigame: Danniel | Type: GunShoot | Outcome: Success | Difficulty: Easy | ExpectedTime: 133.3760 | ActualTime: 133.5227 | TimingOffset: 0.1467 | TimingError: 0.1467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15:05:10.760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K118" s="4">
        <v>0.0013</v>
      </c>
      <c r="M118" s="0">
        <v>122</v>
      </c>
      <c r="N118" s="0" t="inlineStr">
        <is>
          <t>2026-10-02 15:05:10.760 | Minigame: Danniel | Type: GunShoot | Outcome: Success | Difficulty: Easy | ExpectedTime: 136.0640 | ActualTime: 136.0653 | TimingOffset: 0.0013 | TimingError: 0.0013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15:05:11.899</t>
        </is>
      </c>
      <c r="C119" s="6" t="inlineStr">
        <is>
          <t>Interaction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Failed</t>
        </is>
      </c>
      <c r="G119" s="6" t="inlineStr">
        <is>
          <t>Easy</t>
        </is>
      </c>
      <c r="M119" s="6">
        <v>123</v>
      </c>
      <c r="N119" s="6" t="inlineStr">
        <is>
          <t>2026-10-02 15:05:11.899 | Minigame: Danniel | Type: GunShoot | Outcome: Failed | Difficulty: Easy | ExpectedTime: 137.8017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15:05:11.996</t>
        </is>
      </c>
      <c r="C120" s="0" t="inlineStr">
        <is>
          <t>Interaction</t>
        </is>
      </c>
      <c r="D120" s="0" t="inlineStr">
        <is>
          <t>Danniel</t>
        </is>
      </c>
      <c r="E120" s="0" t="inlineStr">
        <is>
          <t>PlayerHit</t>
        </is>
      </c>
      <c r="F120" s="0" t="inlineStr">
        <is>
          <t>Failed</t>
        </is>
      </c>
      <c r="G120" s="0" t="inlineStr">
        <is>
          <t>Easy</t>
        </is>
      </c>
      <c r="M120" s="0">
        <v>124</v>
      </c>
      <c r="N120" s="0" t="inlineStr">
        <is>
          <t>2026-10-02 15:05:11.996 | Minigame: Danniel | Type: PlayerHit | Outcome: Failed | Difficulty: Easy | ExpectedTime: 137.8990 | ActualTime: N/A | TimingOffset: N/A | TimingError: N/A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15:05:12.301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K121" s="4">
        <v>0.0763</v>
      </c>
      <c r="M121" s="6">
        <v>125</v>
      </c>
      <c r="N121" s="6" t="inlineStr">
        <is>
          <t>2026-10-02 15:05:12.301 | Minigame: Danniel | Type: GunShoot | Outcome: Success | Difficulty: Easy | ExpectedTime: 137.6000 | ActualTime: 137.5237 | TimingOffset: -0.0763 | TimingError: 0.0763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15:05:13.051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Failed</t>
        </is>
      </c>
      <c r="G122" s="0" t="inlineStr">
        <is>
          <t>Easy</t>
        </is>
      </c>
      <c r="M122" s="0">
        <v>126</v>
      </c>
      <c r="N122" s="0" t="inlineStr">
        <is>
          <t>2026-10-02 15:05:13.051 | Minigame: Danniel | Type: GunShoot | Outcome: Failed | Difficulty: Easy | ExpectedTime: 138.9548 | ActualTime: N/A | TimingOffset: N/A | TimingError: N/A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15:05:14.399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Success</t>
        </is>
      </c>
      <c r="G123" s="6" t="inlineStr">
        <is>
          <t>Easy</t>
        </is>
      </c>
      <c r="K123" s="4">
        <v>0.1569</v>
      </c>
      <c r="M123" s="6">
        <v>127</v>
      </c>
      <c r="N123" s="6" t="inlineStr">
        <is>
          <t>2026-10-02 15:05:14.399 | Minigame: Danniel | Type: GunShoot | Outcome: Success | Difficulty: Easy | ExpectedTime: 139.5200 | ActualTime: 139.6769 | TimingOffset: 0.1569 | TimingError: 0.1569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15:05:14.703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Failed</t>
        </is>
      </c>
      <c r="G124" s="0" t="inlineStr">
        <is>
          <t>Easy</t>
        </is>
      </c>
      <c r="M124" s="0">
        <v>128</v>
      </c>
      <c r="N124" s="0" t="inlineStr">
        <is>
          <t>2026-10-02 15:05:14.703 | Minigame: Danniel | Type: GunShoot | Outcome: Failed | Difficulty: Easy | ExpectedTime: 140.6075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15:05:16.079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Easy</t>
        </is>
      </c>
      <c r="K125" s="4">
        <v>0.0514</v>
      </c>
      <c r="M125" s="6">
        <v>129</v>
      </c>
      <c r="N125" s="6" t="inlineStr">
        <is>
          <t>2026-10-02 15:05:16.079 | Minigame: Danniel | Type: GunShoot | Outcome: Success | Difficulty: Easy | ExpectedTime: 141.0560 | ActualTime: 141.1074 | TimingOffset: 0.0514 | TimingError: 0.0514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15:05:16.176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Failed</t>
        </is>
      </c>
      <c r="G126" s="0" t="inlineStr">
        <is>
          <t>Easy</t>
        </is>
      </c>
      <c r="M126" s="0">
        <v>130</v>
      </c>
      <c r="N126" s="0" t="inlineStr">
        <is>
          <t>2026-10-02 15:05:16.176 | Minigame: Danniel | Type: GunShoot | Outcome: Failed | Difficulty: Easy | ExpectedTime: 142.0798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15:05:16.176</t>
        </is>
      </c>
      <c r="C127" s="6" t="inlineStr">
        <is>
          <t>PlayerState</t>
        </is>
      </c>
      <c r="H127" s="6" t="inlineStr">
        <is>
          <t>Overloaded</t>
        </is>
      </c>
      <c r="M127" s="6">
        <v>131</v>
      </c>
      <c r="N127" s="6" t="inlineStr">
        <is>
          <t>2026-10-02 15:05:16.176 | PlayerState: Overloaded</t>
        </is>
      </c>
    </row>
    <row r="128" ht="17" customHeight="1">
      <c r="A128" s="0">
        <v>127</v>
      </c>
      <c r="B128" s="0" t="inlineStr">
        <is>
          <t>2026-10-02 15:05:18.135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M128" s="0">
        <v>132</v>
      </c>
      <c r="N128" s="0" t="inlineStr">
        <is>
          <t>2026-10-02 15:05:18.135 | Minigame: Danniel | Type: GunShoot | Outcome: Failed | Difficulty: Easy | ExpectedTime: 144.0385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15:05:18.302</t>
        </is>
      </c>
      <c r="C129" s="6" t="inlineStr">
        <is>
          <t>Interaction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Success</t>
        </is>
      </c>
      <c r="G129" s="6" t="inlineStr">
        <is>
          <t>Easy</t>
        </is>
      </c>
      <c r="K129" s="4">
        <v>0.1825</v>
      </c>
      <c r="M129" s="6">
        <v>133</v>
      </c>
      <c r="N129" s="6" t="inlineStr">
        <is>
          <t>2026-10-02 15:05:18.302 | Minigame: Danniel | Type: GunShoot | Outcome: Success | Difficulty: Easy | ExpectedTime: 143.3600 | ActualTime: 143.1775 | TimingOffset: -0.1825 | TimingError: 0.1825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15:05:21.220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M130" s="0">
        <v>134</v>
      </c>
      <c r="N130" s="0" t="inlineStr">
        <is>
          <t>2026-10-02 15:05:21.220 | Minigame: Danniel | Type: GunShoot | Outcome: Failed | Difficulty: Easy | ExpectedTime: 147.1229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15:05:23.691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K131" s="4">
        <v>0.1227</v>
      </c>
      <c r="M131" s="6">
        <v>135</v>
      </c>
      <c r="N131" s="6" t="inlineStr">
        <is>
          <t>2026-10-02 15:05:23.691 | Minigame: Danniel | Type: GunShoot | Outcome: Success | Difficulty: Easy | ExpectedTime: 148.7360 | ActualTime: 148.8587 | TimingOffset: 0.1227 | TimingError: 0.1227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15:05:24.691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Success</t>
        </is>
      </c>
      <c r="G132" s="0" t="inlineStr">
        <is>
          <t>Easy</t>
        </is>
      </c>
      <c r="K132" s="4">
        <v>0.0157</v>
      </c>
      <c r="M132" s="0">
        <v>136</v>
      </c>
      <c r="N132" s="0" t="inlineStr">
        <is>
          <t>2026-10-02 15:05:24.691 | Minigame: Danniel | Type: GunShoot | Outcome: Success | Difficulty: Easy | ExpectedTime: 149.8880 | ActualTime: 149.8723 | TimingOffset: -0.0157 | TimingError: 0.0157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15:05:25.482</t>
        </is>
      </c>
      <c r="C133" s="6" t="inlineStr">
        <is>
          <t>Interaction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Failed</t>
        </is>
      </c>
      <c r="G133" s="6" t="inlineStr">
        <is>
          <t>Easy</t>
        </is>
      </c>
      <c r="M133" s="6">
        <v>137</v>
      </c>
      <c r="N133" s="6" t="inlineStr">
        <is>
          <t>2026-10-02 15:05:25.482 | Minigame: Danniel | Type: GunShoot | Outcome: Failed | Difficulty: Easy | ExpectedTime: 151.3862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15:05:30.483</t>
        </is>
      </c>
      <c r="C134" s="0" t="inlineStr">
        <is>
          <t>PlayerState</t>
        </is>
      </c>
      <c r="H134" s="0" t="inlineStr">
        <is>
          <t>Idle</t>
        </is>
      </c>
      <c r="M134" s="0">
        <v>138</v>
      </c>
      <c r="N134" s="0" t="inlineStr">
        <is>
          <t>2026-10-02 15:05:30.483 | PlayerState: Idle</t>
        </is>
      </c>
    </row>
    <row r="135" ht="17" customHeight="1">
      <c r="A135" s="6">
        <v>134</v>
      </c>
      <c r="B135" s="6" t="inlineStr">
        <is>
          <t>2026-10-02 15:05:39.525</t>
        </is>
      </c>
      <c r="C135" s="6" t="inlineStr">
        <is>
          <t>Interaction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Success</t>
        </is>
      </c>
      <c r="G135" s="6" t="inlineStr">
        <is>
          <t>Easy</t>
        </is>
      </c>
      <c r="K135" s="4">
        <v>0.0202</v>
      </c>
      <c r="M135" s="6">
        <v>139</v>
      </c>
      <c r="N135" s="6" t="inlineStr">
        <is>
          <t>2026-10-02 15:05:39.525 | Minigame: Jeremy | Type: SwordCut | Outcome: Success | Difficulty: Easy | ExpectedTime: 165.4073 | ActualTime: 165.4276 | TimingOffset: 0.0202 | TimingError: 0.0202 | ReactionTime: N/A | SpatialAccuracy: N/A | DirectionAccuracy: 1.0000 | CorrectHand: True</t>
        </is>
      </c>
    </row>
    <row r="136" ht="17" customHeight="1">
      <c r="A136" s="0">
        <v>135</v>
      </c>
      <c r="B136" s="0" t="inlineStr">
        <is>
          <t>2026-10-02 15:05:39.525</t>
        </is>
      </c>
      <c r="C136" s="0" t="inlineStr">
        <is>
          <t>PlayerState</t>
        </is>
      </c>
      <c r="H136" s="0" t="inlineStr">
        <is>
          <t>Engaged</t>
        </is>
      </c>
      <c r="M136" s="0">
        <v>140</v>
      </c>
      <c r="N136" s="0" t="inlineStr">
        <is>
          <t>2026-10-02 15:05:39.525 | PlayerState: Engaged</t>
        </is>
      </c>
    </row>
    <row r="137" ht="17" customHeight="1">
      <c r="A137" s="6">
        <v>136</v>
      </c>
      <c r="B137" s="6" t="inlineStr">
        <is>
          <t>2026-10-02 15:05:41.858</t>
        </is>
      </c>
      <c r="C137" s="6" t="inlineStr">
        <is>
          <t>Interaction</t>
        </is>
      </c>
      <c r="D137" s="6" t="inlineStr">
        <is>
          <t>Jeremy</t>
        </is>
      </c>
      <c r="E137" s="6" t="inlineStr">
        <is>
          <t>SwordCut</t>
        </is>
      </c>
      <c r="F137" s="6" t="inlineStr">
        <is>
          <t>Failed</t>
        </is>
      </c>
      <c r="G137" s="6" t="inlineStr">
        <is>
          <t>Easy</t>
        </is>
      </c>
      <c r="K137" s="4">
        <v>0.0548</v>
      </c>
      <c r="M137" s="6">
        <v>141</v>
      </c>
      <c r="N137" s="6" t="inlineStr">
        <is>
          <t>2026-10-02 15:05:41.858 | Minigame: Jeremy | Type: SwordCut | Outcome: Failed | Difficulty: Easy | ExpectedTime: 167.7061 | ActualTime: 167.7610 | TimingOffset: 0.0548 | TimingError: 0.0548 | ReactionTime: N/A | SpatialAccuracy: N/A | DirectionAccuracy: 0.0000 | CorrectHand: True</t>
        </is>
      </c>
    </row>
    <row r="138" ht="17" customHeight="1">
      <c r="A138" s="0">
        <v>137</v>
      </c>
      <c r="B138" s="0" t="inlineStr">
        <is>
          <t>2026-10-02 15:05:44.343</t>
        </is>
      </c>
      <c r="C138" s="0" t="inlineStr">
        <is>
          <t>Interaction</t>
        </is>
      </c>
      <c r="D138" s="0" t="inlineStr">
        <is>
          <t>Jeremy</t>
        </is>
      </c>
      <c r="E138" s="0" t="inlineStr">
        <is>
          <t>SwordCut</t>
        </is>
      </c>
      <c r="F138" s="0" t="inlineStr">
        <is>
          <t>Failed</t>
        </is>
      </c>
      <c r="G138" s="0" t="inlineStr">
        <is>
          <t>Easy</t>
        </is>
      </c>
      <c r="K138" s="4">
        <v>0.2414</v>
      </c>
      <c r="M138" s="0">
        <v>142</v>
      </c>
      <c r="N138" s="0" t="inlineStr">
        <is>
          <t>2026-10-02 15:05:44.343 | Minigame: Jeremy | Type: SwordCut | Outcome: Failed | Difficulty: Easy | ExpectedTime: 170.0049 | ActualTime: 170.2463 | TimingOffset: 0.2414 | TimingError: 0.2414 | ReactionTime: N/A | SpatialAccuracy: N/A | DirectionAccuracy: 0.0000 | CorrectHand: True</t>
        </is>
      </c>
    </row>
    <row r="139" ht="17" customHeight="1">
      <c r="A139" s="6">
        <v>138</v>
      </c>
      <c r="B139" s="6" t="inlineStr">
        <is>
          <t>2026-10-02 15:05:46.204</t>
        </is>
      </c>
      <c r="C139" s="6" t="inlineStr">
        <is>
          <t>Interaction</t>
        </is>
      </c>
      <c r="D139" s="6" t="inlineStr">
        <is>
          <t>Jeremy</t>
        </is>
      </c>
      <c r="E139" s="6" t="inlineStr">
        <is>
          <t>SwordCut</t>
        </is>
      </c>
      <c r="F139" s="6" t="inlineStr">
        <is>
          <t>Success</t>
        </is>
      </c>
      <c r="G139" s="6" t="inlineStr">
        <is>
          <t>Easy</t>
        </is>
      </c>
      <c r="K139" s="4">
        <v>0.1963</v>
      </c>
      <c r="M139" s="6">
        <v>143</v>
      </c>
      <c r="N139" s="6" t="inlineStr">
        <is>
          <t>2026-10-02 15:05:46.204 | Minigame: Jeremy | Type: SwordCut | Outcome: Success | Difficulty: Easy | ExpectedTime: 172.3037 | ActualTime: 172.1073 | TimingOffset: -0.1963 | TimingError: 0.1963 | ReactionTime: N/A | SpatialAccuracy: N/A | DirectionAccuracy: 1.0000 | CorrectHand: True</t>
        </is>
      </c>
    </row>
    <row r="140" ht="17" customHeight="1">
      <c r="A140" s="0">
        <v>139</v>
      </c>
      <c r="B140" s="0" t="inlineStr">
        <is>
          <t>2026-10-02 15:05:48.564</t>
        </is>
      </c>
      <c r="C140" s="0" t="inlineStr">
        <is>
          <t>Interaction</t>
        </is>
      </c>
      <c r="D140" s="0" t="inlineStr">
        <is>
          <t>Jeremy</t>
        </is>
      </c>
      <c r="E140" s="0" t="inlineStr">
        <is>
          <t>SwordCut</t>
        </is>
      </c>
      <c r="F140" s="0" t="inlineStr">
        <is>
          <t>Success</t>
        </is>
      </c>
      <c r="G140" s="0" t="inlineStr">
        <is>
          <t>Easy</t>
        </is>
      </c>
      <c r="K140" s="4">
        <v>0.1346</v>
      </c>
      <c r="M140" s="0">
        <v>144</v>
      </c>
      <c r="N140" s="0" t="inlineStr">
        <is>
          <t>2026-10-02 15:05:48.564 | Minigame: Jeremy | Type: SwordCut | Outcome: Success | Difficulty: Easy | ExpectedTime: 174.6024 | ActualTime: 174.4679 | TimingOffset: -0.1346 | TimingError: 0.1346 | ReactionTime: N/A | SpatialAccuracy: N/A | DirectionAccuracy: 1.0000 | CorrectHand: True</t>
        </is>
      </c>
    </row>
    <row r="141" ht="17" customHeight="1">
      <c r="A141" s="6">
        <v>140</v>
      </c>
      <c r="B141" s="6" t="inlineStr">
        <is>
          <t>2026-10-02 15:05:51.065</t>
        </is>
      </c>
      <c r="C141" s="6" t="inlineStr">
        <is>
          <t>Interaction</t>
        </is>
      </c>
      <c r="D141" s="6" t="inlineStr">
        <is>
          <t>Jeremy</t>
        </is>
      </c>
      <c r="E141" s="6" t="inlineStr">
        <is>
          <t>SwordCut</t>
        </is>
      </c>
      <c r="F141" s="6" t="inlineStr">
        <is>
          <t>Failed</t>
        </is>
      </c>
      <c r="G141" s="6" t="inlineStr">
        <is>
          <t>Easy</t>
        </is>
      </c>
      <c r="K141" s="4">
        <v>0.0663</v>
      </c>
      <c r="M141" s="6">
        <v>145</v>
      </c>
      <c r="N141" s="6" t="inlineStr">
        <is>
          <t>2026-10-02 15:05:51.065 | Minigame: Jeremy | Type: SwordCut | Outcome: Failed | Difficulty: Easy | ExpectedTime: 176.9012 | ActualTime: 176.9676 | TimingOffset: 0.0663 | TimingError: 0.0663 | ReactionTime: N/A | SpatialAccuracy: N/A | DirectionAccuracy: 0.0000 | CorrectHand: True</t>
        </is>
      </c>
    </row>
    <row r="142" ht="17" customHeight="1">
      <c r="A142" s="0">
        <v>141</v>
      </c>
      <c r="B142" s="0" t="inlineStr">
        <is>
          <t>2026-10-02 15:05:53.203</t>
        </is>
      </c>
      <c r="C142" s="0" t="inlineStr">
        <is>
          <t>Interaction</t>
        </is>
      </c>
      <c r="D142" s="0" t="inlineStr">
        <is>
          <t>Jeremy</t>
        </is>
      </c>
      <c r="E142" s="0" t="inlineStr">
        <is>
          <t>SwordCut</t>
        </is>
      </c>
      <c r="F142" s="0" t="inlineStr">
        <is>
          <t>Success</t>
        </is>
      </c>
      <c r="G142" s="0" t="inlineStr">
        <is>
          <t>Easy</t>
        </is>
      </c>
      <c r="K142" s="4">
        <v>0.094</v>
      </c>
      <c r="M142" s="0">
        <v>146</v>
      </c>
      <c r="N142" s="0" t="inlineStr">
        <is>
          <t>2026-10-02 15:05:53.203 | Minigame: Jeremy | Type: SwordCut | Outcome: Success | Difficulty: Easy | ExpectedTime: 179.2000 | ActualTime: 179.1060 | TimingOffset: -0.0940 | TimingError: 0.0940 | ReactionTime: N/A | SpatialAccuracy: N/A | DirectionAccuracy: 1.0000 | CorrectHand: True</t>
        </is>
      </c>
    </row>
    <row r="143" ht="17" customHeight="1">
      <c r="A143" s="6">
        <v>142</v>
      </c>
      <c r="B143" s="6" t="inlineStr">
        <is>
          <t>2026-10-02 15:05:55.634</t>
        </is>
      </c>
      <c r="C143" s="6" t="inlineStr">
        <is>
          <t>Interaction</t>
        </is>
      </c>
      <c r="D143" s="6" t="inlineStr">
        <is>
          <t>Jeremy</t>
        </is>
      </c>
      <c r="E143" s="6" t="inlineStr">
        <is>
          <t>SwordCut</t>
        </is>
      </c>
      <c r="F143" s="6" t="inlineStr">
        <is>
          <t>Success</t>
        </is>
      </c>
      <c r="G143" s="6" t="inlineStr">
        <is>
          <t>Easy</t>
        </is>
      </c>
      <c r="K143" s="4">
        <v>0.0384</v>
      </c>
      <c r="M143" s="6">
        <v>147</v>
      </c>
      <c r="N143" s="6" t="inlineStr">
        <is>
          <t>2026-10-02 15:05:55.634 | Minigame: Jeremy | Type: SwordCut | Outcome: Success | Difficulty: Easy | ExpectedTime: 181.4988 | ActualTime: 181.5371 | TimingOffset: 0.0384 | TimingError: 0.0384 | ReactionTime: N/A | SpatialAccuracy: N/A | DirectionAccuracy: 1.0000 | CorrectHand: True</t>
        </is>
      </c>
    </row>
    <row r="144" ht="17" customHeight="1">
      <c r="A144" s="0">
        <v>143</v>
      </c>
      <c r="B144" s="0" t="inlineStr">
        <is>
          <t>2026-10-02 15:06:00.635</t>
        </is>
      </c>
      <c r="C144" s="0" t="inlineStr">
        <is>
          <t>PlayerState</t>
        </is>
      </c>
      <c r="H144" s="0" t="inlineStr">
        <is>
          <t>Idle</t>
        </is>
      </c>
      <c r="M144" s="0">
        <v>148</v>
      </c>
      <c r="N144" s="0" t="inlineStr">
        <is>
          <t>2026-10-02 15:06:00.635 | PlayerState: Idle</t>
        </is>
      </c>
    </row>
  </sheetData>
  <autoFilter ref="A1:N144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