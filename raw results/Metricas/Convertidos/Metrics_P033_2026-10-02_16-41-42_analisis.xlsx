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P033</t>
        </is>
      </c>
    </row>
    <row r="2" ht="17" customHeight="1"/>
    <row r="3" ht="17" customHeight="1">
      <c r="A3" s="6" t="inlineStr">
        <is>
          <t>Inicio: 2026-10-02 16:41:42     |     Fuente: Metrics_P033_2026-10-02_16-41-42.txt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131.0</v>
      </c>
      <c r="C6" s="0">
        <f>COUNTA('Interacciones'!$A$2:$A$132)</f>
        <v>131</v>
      </c>
      <c r="E6" s="0" t="inlineStr">
        <is>
          <t>Cambios de dificultad</t>
        </is>
      </c>
      <c r="F6" s="0">
        <v>7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69.0</v>
      </c>
      <c r="C7" s="6">
        <f>COUNTIF('Interacciones'!$F$2:$F$132,"Success")</f>
        <v>69</v>
      </c>
      <c r="E7" s="6" t="inlineStr">
        <is>
          <t>Estados del jugador</t>
        </is>
      </c>
      <c r="F7" s="6">
        <v>29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38.0</v>
      </c>
      <c r="C8" s="0">
        <f>COUNTIF('Interacciones'!$F$2:$F$132,"Failed")</f>
        <v>38</v>
      </c>
      <c r="E8" s="0" t="inlineStr">
        <is>
          <t>Eventos totales</t>
        </is>
      </c>
      <c r="F8" s="0">
        <v>167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24.0</v>
      </c>
      <c r="C9" s="6">
        <f>COUNTIF('Interacciones'!$F$2:$F$132,"Missed")</f>
        <v>24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0.5267</v>
      </c>
      <c r="C10" s="0">
        <f>IFERROR(C7/C6,0)</f>
        <v>0.5267175572519084</v>
      </c>
    </row>
    <row r="11" ht="17" customHeight="1">
      <c r="A11" s="6" t="inlineStr">
        <is>
          <t>Error timing medio (s)</t>
        </is>
      </c>
      <c r="B11" s="6">
        <v>0.1834</v>
      </c>
      <c r="C11" s="6">
        <f>IFERROR(AVERAGE('Interacciones'!$K$2:$K$132),"")</f>
        <v>0.18344166666666667</v>
      </c>
    </row>
    <row r="12" ht="17" customHeight="1">
      <c r="A12" s="0" t="inlineStr">
        <is>
          <t>Reacción media (s)</t>
        </is>
      </c>
      <c r="B12" s="0">
        <v>0.8151</v>
      </c>
      <c r="C12" s="0">
        <f>IFERROR(AVERAGE('Interacciones'!$L$2:$L$132),"")</f>
        <v>0.81508125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IFERROR(AVERAGE('Interacciones'!$M$2:$M$132),"")</f>
        <v/>
      </c>
    </row>
    <row r="14" ht="17" customHeight="1">
      <c r="A14" s="0" t="inlineStr">
        <is>
          <t>Precisión dirección media</t>
        </is>
      </c>
      <c r="B14" s="0">
        <v>0.6897</v>
      </c>
      <c r="C14" s="0">
        <f>IFERROR(AVERAGE('Interacciones'!$N$2:$N$132),"")</f>
        <v>0.6896551724137931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COUNTIF('Interacciones'!$D$2:$D$132,$A5)</f>
        <v>46</v>
      </c>
      <c r="C5" s="6">
        <f>COUNTIFS('Interacciones'!$D$2:$D$132,$A5,'Interacciones'!$F$2:$F$132,"Success")</f>
        <v>25</v>
      </c>
      <c r="D5" s="6">
        <f>COUNTIFS('Interacciones'!$D$2:$D$132,$A5,'Interacciones'!$F$2:$F$132,"Failed")</f>
        <v>17</v>
      </c>
      <c r="E5" s="6">
        <f>COUNTIFS('Interacciones'!$D$2:$D$132,$A5,'Interacciones'!$F$2:$F$132,"Missed")</f>
        <v>4</v>
      </c>
      <c r="F5" s="3">
        <f>IFERROR(C5/B5,0)</f>
        <v>0.5434782608695652</v>
      </c>
      <c r="G5" s="4">
        <f>IFERROR(AVERAGEIF('Interacciones'!$D$2:$D$132,$A5,'Interacciones'!$K$2:$K$132),"")</f>
        <v>0.016253125</v>
      </c>
      <c r="H5" s="4" t="str">
        <f>IFERROR(AVERAGEIF('Interacciones'!$D$2:$D$132,$A5,'Interacciones'!$L$2:$L$132),"")</f>
        <v/>
      </c>
      <c r="I5" s="6">
        <f>COUNTIF('Adaptaciones'!$C$2:$C$8,$A5)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COUNTIF('Interacciones'!$D$2:$D$132,$A6)</f>
        <v>23</v>
      </c>
      <c r="C6" s="0">
        <f>COUNTIFS('Interacciones'!$D$2:$D$132,$A6,'Interacciones'!$F$2:$F$132,"Success")</f>
        <v>10</v>
      </c>
      <c r="D6" s="0">
        <f>COUNTIFS('Interacciones'!$D$2:$D$132,$A6,'Interacciones'!$F$2:$F$132,"Failed")</f>
        <v>11</v>
      </c>
      <c r="E6" s="0">
        <f>COUNTIFS('Interacciones'!$D$2:$D$132,$A6,'Interacciones'!$F$2:$F$132,"Missed")</f>
        <v>2</v>
      </c>
      <c r="F6" s="3">
        <f>IFERROR(C6/B6,0)</f>
        <v>0.43478260869565216</v>
      </c>
      <c r="G6" s="4">
        <f>IFERROR(AVERAGEIF('Interacciones'!$D$2:$D$132,$A6,'Interacciones'!$K$2:$K$132),"")</f>
        <v>0.11194</v>
      </c>
      <c r="H6" s="4" t="str">
        <f>IFERROR(AVERAGEIF('Interacciones'!$D$2:$D$132,$A6,'Interacciones'!$L$2:$L$132),"")</f>
        <v/>
      </c>
      <c r="I6" s="0">
        <f>COUNTIF('Adaptaciones'!$C$2:$C$8,$A6)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COUNTIF('Interacciones'!$D$2:$D$132,$A7)</f>
        <v>8</v>
      </c>
      <c r="C7" s="6">
        <f>COUNTIFS('Interacciones'!$D$2:$D$132,$A7,'Interacciones'!$F$2:$F$132,"Success")</f>
        <v>4</v>
      </c>
      <c r="D7" s="6">
        <f>COUNTIFS('Interacciones'!$D$2:$D$132,$A7,'Interacciones'!$F$2:$F$132,"Failed")</f>
        <v>3</v>
      </c>
      <c r="E7" s="6">
        <f>COUNTIFS('Interacciones'!$D$2:$D$132,$A7,'Interacciones'!$F$2:$F$132,"Missed")</f>
        <v>1</v>
      </c>
      <c r="F7" s="3">
        <f>IFERROR(C7/B7,0)</f>
        <v>0.5</v>
      </c>
      <c r="G7" s="4">
        <f>IFERROR(AVERAGEIF('Interacciones'!$D$2:$D$132,$A7,'Interacciones'!$K$2:$K$132),"")</f>
        <v>0.14525714285714286</v>
      </c>
      <c r="H7" s="4" t="str">
        <f>IFERROR(AVERAGEIF('Interacciones'!$D$2:$D$132,$A7,'Interacciones'!$L$2:$L$132),"")</f>
        <v/>
      </c>
      <c r="I7" s="6">
        <f>COUNTIF('Adaptaciones'!$C$2:$C$8,$A7)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COUNTIF('Interacciones'!$D$2:$D$132,$A8)</f>
        <v>13</v>
      </c>
      <c r="C8" s="0">
        <f>COUNTIFS('Interacciones'!$D$2:$D$132,$A8,'Interacciones'!$F$2:$F$132,"Success")</f>
        <v>13</v>
      </c>
      <c r="D8" s="0">
        <f>COUNTIFS('Interacciones'!$D$2:$D$132,$A8,'Interacciones'!$F$2:$F$132,"Failed")</f>
        <v>0</v>
      </c>
      <c r="E8" s="0">
        <f>COUNTIFS('Interacciones'!$D$2:$D$132,$A8,'Interacciones'!$F$2:$F$132,"Missed")</f>
        <v>0</v>
      </c>
      <c r="F8" s="3">
        <f>IFERROR(C8/B8,0)</f>
        <v>1.0</v>
      </c>
      <c r="G8" s="4">
        <f>IFERROR(AVERAGEIF('Interacciones'!$D$2:$D$132,$A8,'Interacciones'!$K$2:$K$132),"")</f>
        <v>0.10463846153846154</v>
      </c>
      <c r="H8" s="4" t="str">
        <f>IFERROR(AVERAGEIF('Interacciones'!$D$2:$D$132,$A8,'Interacciones'!$L$2:$L$132),"")</f>
        <v/>
      </c>
      <c r="I8" s="0">
        <f>COUNTIF('Adaptaciones'!$C$2:$C$8,$A8)</f>
        <v>1</v>
      </c>
      <c r="J8" s="0" t="inlineStr">
        <is>
          <t>GuitarHit</t>
        </is>
      </c>
    </row>
    <row r="9" ht="17" customHeight="1">
      <c r="A9" s="6" t="inlineStr">
        <is>
          <t>JuanAndres</t>
        </is>
      </c>
      <c r="B9" s="6">
        <f>COUNTIF('Interacciones'!$D$2:$D$132,$A9)</f>
        <v>21</v>
      </c>
      <c r="C9" s="6">
        <f>COUNTIFS('Interacciones'!$D$2:$D$132,$A9,'Interacciones'!$F$2:$F$132,"Success")</f>
        <v>1</v>
      </c>
      <c r="D9" s="6">
        <f>COUNTIFS('Interacciones'!$D$2:$D$132,$A9,'Interacciones'!$F$2:$F$132,"Failed")</f>
        <v>5</v>
      </c>
      <c r="E9" s="6">
        <f>COUNTIFS('Interacciones'!$D$2:$D$132,$A9,'Interacciones'!$F$2:$F$132,"Missed")</f>
        <v>15</v>
      </c>
      <c r="F9" s="3">
        <f>IFERROR(C9/B9,0)</f>
        <v>0.047619047619047616</v>
      </c>
      <c r="G9" s="4">
        <f>IFERROR(AVERAGEIF('Interacciones'!$D$2:$D$132,$A9,'Interacciones'!$K$2:$K$132),"")</f>
        <v>1.3919</v>
      </c>
      <c r="H9" s="4" t="str">
        <f>IFERROR(AVERAGEIF('Interacciones'!$D$2:$D$132,$A9,'Interacciones'!$L$2:$L$132),"")</f>
        <v/>
      </c>
      <c r="I9" s="6">
        <f>COUNTIF('Adaptaciones'!$C$2:$C$8,$A9)</f>
        <v>1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COUNTIF('Interacciones'!$D$2:$D$132,$A10)</f>
        <v>20</v>
      </c>
      <c r="C10" s="0">
        <f>COUNTIFS('Interacciones'!$D$2:$D$132,$A10,'Interacciones'!$F$2:$F$132,"Success")</f>
        <v>16</v>
      </c>
      <c r="D10" s="0">
        <f>COUNTIFS('Interacciones'!$D$2:$D$132,$A10,'Interacciones'!$F$2:$F$132,"Failed")</f>
        <v>2</v>
      </c>
      <c r="E10" s="0">
        <f>COUNTIFS('Interacciones'!$D$2:$D$132,$A10,'Interacciones'!$F$2:$F$132,"Missed")</f>
        <v>2</v>
      </c>
      <c r="F10" s="3">
        <f>IFERROR(C10/B10,0)</f>
        <v>0.8</v>
      </c>
      <c r="G10" s="4">
        <f>IFERROR(AVERAGEIF('Interacciones'!$D$2:$D$132,$A10,'Interacciones'!$K$2:$K$132),"")</f>
        <v>0.19006875</v>
      </c>
      <c r="H10" s="4">
        <f>IFERROR(AVERAGEIF('Interacciones'!$D$2:$D$132,$A10,'Interacciones'!$L$2:$L$132),"")</f>
        <v>0.81508125</v>
      </c>
      <c r="I10" s="0">
        <f>COUNTIF('Adaptaciones'!$C$2:$C$8,$A10)</f>
        <v>1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COUNTIFS('Interacciones'!$D$2:$D$132,$A5,'Interacciones'!$E$2:$E$132,$B5)</f>
        <v>42</v>
      </c>
      <c r="D5" s="6">
        <f>COUNTIFS('Interacciones'!$D$2:$D$132,$A5,'Interacciones'!$E$2:$E$132,$B5,'Interacciones'!$F$2:$F$132,"Success")</f>
        <v>25</v>
      </c>
      <c r="E5" s="6">
        <f>COUNTIFS('Interacciones'!$D$2:$D$132,$A5,'Interacciones'!$E$2:$E$132,$B5,'Interacciones'!$F$2:$F$132,"Failed")</f>
        <v>17</v>
      </c>
      <c r="F5" s="6">
        <f>COUNTIFS('Interacciones'!$D$2:$D$132,$A5,'Interacciones'!$E$2:$E$132,$B5,'Interacciones'!$F$2:$F$132,"Missed")</f>
        <v>0</v>
      </c>
      <c r="G5" s="3">
        <f>IFERROR(D5/C5,0)</f>
        <v>0.5952380952380952</v>
      </c>
      <c r="H5" s="4">
        <f>IFERROR(AVERAGEIFS('Interacciones'!$K$2:$K$132,'Interacciones'!$D$2:$D$132,$A5,'Interacciones'!$E$2:$E$132,$B5),"")</f>
        <v>0.016253125</v>
      </c>
      <c r="I5" s="4" t="str">
        <f>IFERROR(AVERAGEIFS('Interacciones'!$L$2:$L$132,'Interacciones'!$D$2:$D$132,$A5,'Interacciones'!$E$2:$E$132,$B5),"")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COUNTIFS('Interacciones'!$D$2:$D$132,$A6,'Interacciones'!$E$2:$E$132,$B6)</f>
        <v>4</v>
      </c>
      <c r="D6" s="0">
        <f>COUNTIFS('Interacciones'!$D$2:$D$132,$A6,'Interacciones'!$E$2:$E$132,$B6,'Interacciones'!$F$2:$F$132,"Success")</f>
        <v>0</v>
      </c>
      <c r="E6" s="0">
        <f>COUNTIFS('Interacciones'!$D$2:$D$132,$A6,'Interacciones'!$E$2:$E$132,$B6,'Interacciones'!$F$2:$F$132,"Failed")</f>
        <v>0</v>
      </c>
      <c r="F6" s="0">
        <f>COUNTIFS('Interacciones'!$D$2:$D$132,$A6,'Interacciones'!$E$2:$E$132,$B6,'Interacciones'!$F$2:$F$132,"Missed")</f>
        <v>4</v>
      </c>
      <c r="G6" s="3">
        <f>IFERROR(D6/C6,0)</f>
        <v>0.0</v>
      </c>
      <c r="H6" s="4" t="str">
        <f>IFERROR(AVERAGEIFS('Interacciones'!$K$2:$K$132,'Interacciones'!$D$2:$D$132,$A6,'Interacciones'!$E$2:$E$132,$B6),"")</f>
        <v/>
      </c>
      <c r="I6" s="4" t="str">
        <f>IFERROR(AVERAGEIFS('Interacciones'!$L$2:$L$132,'Interacciones'!$D$2:$D$132,$A6,'Interacciones'!$E$2:$E$132,$B6),"")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COUNTIFS('Interacciones'!$D$2:$D$132,$A7,'Interacciones'!$E$2:$E$132,$B7)</f>
        <v>19</v>
      </c>
      <c r="D7" s="6">
        <f>COUNTIFS('Interacciones'!$D$2:$D$132,$A7,'Interacciones'!$E$2:$E$132,$B7,'Interacciones'!$F$2:$F$132,"Success")</f>
        <v>10</v>
      </c>
      <c r="E7" s="6">
        <f>COUNTIFS('Interacciones'!$D$2:$D$132,$A7,'Interacciones'!$E$2:$E$132,$B7,'Interacciones'!$F$2:$F$132,"Failed")</f>
        <v>7</v>
      </c>
      <c r="F7" s="6">
        <f>COUNTIFS('Interacciones'!$D$2:$D$132,$A7,'Interacciones'!$E$2:$E$132,$B7,'Interacciones'!$F$2:$F$132,"Missed")</f>
        <v>2</v>
      </c>
      <c r="G7" s="3">
        <f>IFERROR(D7/C7,0)</f>
        <v>0.5263157894736842</v>
      </c>
      <c r="H7" s="4">
        <f>IFERROR(AVERAGEIFS('Interacciones'!$K$2:$K$132,'Interacciones'!$D$2:$D$132,$A7,'Interacciones'!$E$2:$E$132,$B7),"")</f>
        <v>0.11194</v>
      </c>
      <c r="I7" s="4" t="str">
        <f>IFERROR(AVERAGEIFS('Interacciones'!$L$2:$L$132,'Interacciones'!$D$2:$D$132,$A7,'Interacciones'!$E$2:$E$132,$B7),"")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COUNTIFS('Interacciones'!$D$2:$D$132,$A8,'Interacciones'!$E$2:$E$132,$B8)</f>
        <v>4</v>
      </c>
      <c r="D8" s="0">
        <f>COUNTIFS('Interacciones'!$D$2:$D$132,$A8,'Interacciones'!$E$2:$E$132,$B8,'Interacciones'!$F$2:$F$132,"Success")</f>
        <v>0</v>
      </c>
      <c r="E8" s="0">
        <f>COUNTIFS('Interacciones'!$D$2:$D$132,$A8,'Interacciones'!$E$2:$E$132,$B8,'Interacciones'!$F$2:$F$132,"Failed")</f>
        <v>4</v>
      </c>
      <c r="F8" s="0">
        <f>COUNTIFS('Interacciones'!$D$2:$D$132,$A8,'Interacciones'!$E$2:$E$132,$B8,'Interacciones'!$F$2:$F$132,"Missed")</f>
        <v>0</v>
      </c>
      <c r="G8" s="3">
        <f>IFERROR(D8/C8,0)</f>
        <v>0.0</v>
      </c>
      <c r="H8" s="4" t="str">
        <f>IFERROR(AVERAGEIFS('Interacciones'!$K$2:$K$132,'Interacciones'!$D$2:$D$132,$A8,'Interacciones'!$E$2:$E$132,$B8),"")</f>
        <v/>
      </c>
      <c r="I8" s="4" t="str">
        <f>IFERROR(AVERAGEIFS('Interacciones'!$L$2:$L$132,'Interacciones'!$D$2:$D$132,$A8,'Interacciones'!$E$2:$E$132,$B8),"")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COUNTIFS('Interacciones'!$D$2:$D$132,$A9,'Interacciones'!$E$2:$E$132,$B9)</f>
        <v>8</v>
      </c>
      <c r="D9" s="6">
        <f>COUNTIFS('Interacciones'!$D$2:$D$132,$A9,'Interacciones'!$E$2:$E$132,$B9,'Interacciones'!$F$2:$F$132,"Success")</f>
        <v>4</v>
      </c>
      <c r="E9" s="6">
        <f>COUNTIFS('Interacciones'!$D$2:$D$132,$A9,'Interacciones'!$E$2:$E$132,$B9,'Interacciones'!$F$2:$F$132,"Failed")</f>
        <v>3</v>
      </c>
      <c r="F9" s="6">
        <f>COUNTIFS('Interacciones'!$D$2:$D$132,$A9,'Interacciones'!$E$2:$E$132,$B9,'Interacciones'!$F$2:$F$132,"Missed")</f>
        <v>1</v>
      </c>
      <c r="G9" s="3">
        <f>IFERROR(D9/C9,0)</f>
        <v>0.5</v>
      </c>
      <c r="H9" s="4">
        <f>IFERROR(AVERAGEIFS('Interacciones'!$K$2:$K$132,'Interacciones'!$D$2:$D$132,$A9,'Interacciones'!$E$2:$E$132,$B9),"")</f>
        <v>0.14525714285714286</v>
      </c>
      <c r="I9" s="4" t="str">
        <f>IFERROR(AVERAGEIFS('Interacciones'!$L$2:$L$132,'Interacciones'!$D$2:$D$132,$A9,'Interacciones'!$E$2:$E$132,$B9),"")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COUNTIFS('Interacciones'!$D$2:$D$132,$A10,'Interacciones'!$E$2:$E$132,$B10)</f>
        <v>13</v>
      </c>
      <c r="D10" s="0">
        <f>COUNTIFS('Interacciones'!$D$2:$D$132,$A10,'Interacciones'!$E$2:$E$132,$B10,'Interacciones'!$F$2:$F$132,"Success")</f>
        <v>13</v>
      </c>
      <c r="E10" s="0">
        <f>COUNTIFS('Interacciones'!$D$2:$D$132,$A10,'Interacciones'!$E$2:$E$132,$B10,'Interacciones'!$F$2:$F$132,"Failed")</f>
        <v>0</v>
      </c>
      <c r="F10" s="0">
        <f>COUNTIFS('Interacciones'!$D$2:$D$132,$A10,'Interacciones'!$E$2:$E$132,$B10,'Interacciones'!$F$2:$F$132,"Missed")</f>
        <v>0</v>
      </c>
      <c r="G10" s="3">
        <f>IFERROR(D10/C10,0)</f>
        <v>1.0</v>
      </c>
      <c r="H10" s="4">
        <f>IFERROR(AVERAGEIFS('Interacciones'!$K$2:$K$132,'Interacciones'!$D$2:$D$132,$A10,'Interacciones'!$E$2:$E$132,$B10),"")</f>
        <v>0.10463846153846154</v>
      </c>
      <c r="I10" s="4" t="str">
        <f>IFERROR(AVERAGEIFS('Interacciones'!$L$2:$L$132,'Interacciones'!$D$2:$D$132,$A10,'Interacciones'!$E$2:$E$132,$B10),"")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COUNTIFS('Interacciones'!$D$2:$D$132,$A11,'Interacciones'!$E$2:$E$132,$B11)</f>
        <v>21</v>
      </c>
      <c r="D11" s="6">
        <f>COUNTIFS('Interacciones'!$D$2:$D$132,$A11,'Interacciones'!$E$2:$E$132,$B11,'Interacciones'!$F$2:$F$132,"Success")</f>
        <v>1</v>
      </c>
      <c r="E11" s="6">
        <f>COUNTIFS('Interacciones'!$D$2:$D$132,$A11,'Interacciones'!$E$2:$E$132,$B11,'Interacciones'!$F$2:$F$132,"Failed")</f>
        <v>5</v>
      </c>
      <c r="F11" s="6">
        <f>COUNTIFS('Interacciones'!$D$2:$D$132,$A11,'Interacciones'!$E$2:$E$132,$B11,'Interacciones'!$F$2:$F$132,"Missed")</f>
        <v>15</v>
      </c>
      <c r="G11" s="3">
        <f>IFERROR(D11/C11,0)</f>
        <v>0.047619047619047616</v>
      </c>
      <c r="H11" s="4">
        <f>IFERROR(AVERAGEIFS('Interacciones'!$K$2:$K$132,'Interacciones'!$D$2:$D$132,$A11,'Interacciones'!$E$2:$E$132,$B11),"")</f>
        <v>1.3919</v>
      </c>
      <c r="I11" s="4" t="str">
        <f>IFERROR(AVERAGEIFS('Interacciones'!$L$2:$L$132,'Interacciones'!$D$2:$D$132,$A11,'Interacciones'!$E$2:$E$132,$B11),"")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COUNTIFS('Interacciones'!$D$2:$D$132,$A12,'Interacciones'!$E$2:$E$132,$B12)</f>
        <v>2</v>
      </c>
      <c r="D12" s="0">
        <f>COUNTIFS('Interacciones'!$D$2:$D$132,$A12,'Interacciones'!$E$2:$E$132,$B12,'Interacciones'!$F$2:$F$132,"Success")</f>
        <v>2</v>
      </c>
      <c r="E12" s="0">
        <f>COUNTIFS('Interacciones'!$D$2:$D$132,$A12,'Interacciones'!$E$2:$E$132,$B12,'Interacciones'!$F$2:$F$132,"Failed")</f>
        <v>0</v>
      </c>
      <c r="F12" s="0">
        <f>COUNTIFS('Interacciones'!$D$2:$D$132,$A12,'Interacciones'!$E$2:$E$132,$B12,'Interacciones'!$F$2:$F$132,"Missed")</f>
        <v>0</v>
      </c>
      <c r="G12" s="3">
        <f>IFERROR(D12/C12,0)</f>
        <v>1.0</v>
      </c>
      <c r="H12" s="4" t="str">
        <f>IFERROR(AVERAGEIFS('Interacciones'!$K$2:$K$132,'Interacciones'!$D$2:$D$132,$A12,'Interacciones'!$E$2:$E$132,$B12),"")</f>
        <v/>
      </c>
      <c r="I12" s="4" t="str">
        <f>IFERROR(AVERAGEIFS('Interacciones'!$L$2:$L$132,'Interacciones'!$D$2:$D$132,$A12,'Interacciones'!$E$2:$E$132,$B12),"")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COUNTIFS('Interacciones'!$D$2:$D$132,$A13,'Interacciones'!$E$2:$E$132,$B13)</f>
        <v>18</v>
      </c>
      <c r="D13" s="6">
        <f>COUNTIFS('Interacciones'!$D$2:$D$132,$A13,'Interacciones'!$E$2:$E$132,$B13,'Interacciones'!$F$2:$F$132,"Success")</f>
        <v>14</v>
      </c>
      <c r="E13" s="6">
        <f>COUNTIFS('Interacciones'!$D$2:$D$132,$A13,'Interacciones'!$E$2:$E$132,$B13,'Interacciones'!$F$2:$F$132,"Failed")</f>
        <v>2</v>
      </c>
      <c r="F13" s="6">
        <f>COUNTIFS('Interacciones'!$D$2:$D$132,$A13,'Interacciones'!$E$2:$E$132,$B13,'Interacciones'!$F$2:$F$132,"Missed")</f>
        <v>2</v>
      </c>
      <c r="G13" s="3">
        <f>IFERROR(D13/C13,0)</f>
        <v>0.7777777777777778</v>
      </c>
      <c r="H13" s="4">
        <f>IFERROR(AVERAGEIFS('Interacciones'!$K$2:$K$132,'Interacciones'!$D$2:$D$132,$A13,'Interacciones'!$E$2:$E$132,$B13),"")</f>
        <v>0.19006875</v>
      </c>
      <c r="I13" s="4">
        <f>IFERROR(AVERAGEIFS('Interacciones'!$L$2:$L$132,'Interacciones'!$D$2:$D$132,$A13,'Interacciones'!$E$2:$E$132,$B13),"")</f>
        <v>0.81508125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3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P033</t>
        </is>
      </c>
      <c r="C2" s="0" t="inlineStr">
        <is>
          <t>2026-10-02 16:41:44.426</t>
        </is>
      </c>
      <c r="D2" s="0" t="inlineStr">
        <is>
          <t>Alex</t>
        </is>
      </c>
      <c r="E2" s="0" t="inlineStr">
        <is>
          <t>HammerHit</t>
        </is>
      </c>
      <c r="F2" s="0" t="inlineStr">
        <is>
          <t>Failed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P033</t>
        </is>
      </c>
      <c r="C3" s="6" t="inlineStr">
        <is>
          <t>2026-10-02 16:41:44.454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0.896</v>
      </c>
      <c r="I3" s="4">
        <v>0.9437</v>
      </c>
      <c r="J3" s="4">
        <v>0.0477</v>
      </c>
      <c r="K3" s="4">
        <v>0.0477</v>
      </c>
      <c r="P3" s="6">
        <v>9</v>
      </c>
    </row>
    <row r="4" ht="17" customHeight="1">
      <c r="A4" s="0">
        <v>5</v>
      </c>
      <c r="B4" s="0" t="inlineStr">
        <is>
          <t>P033</t>
        </is>
      </c>
      <c r="C4" s="0" t="inlineStr">
        <is>
          <t>2026-10-02 16:41:45.174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I4" s="4">
        <v>1.6517</v>
      </c>
      <c r="J4" s="4">
        <v>-0.0123</v>
      </c>
      <c r="K4" s="4">
        <v>0.0123</v>
      </c>
      <c r="P4" s="0">
        <v>10</v>
      </c>
    </row>
    <row r="5" ht="17" customHeight="1">
      <c r="A5" s="6">
        <v>6</v>
      </c>
      <c r="B5" s="6" t="inlineStr">
        <is>
          <t>P033</t>
        </is>
      </c>
      <c r="C5" s="6" t="inlineStr">
        <is>
          <t>2026-10-02 16:41:45.189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H5" s="4">
        <v>1.664</v>
      </c>
      <c r="I5" s="4">
        <v>1.6654</v>
      </c>
      <c r="J5" s="4">
        <v>0.0014</v>
      </c>
      <c r="K5" s="4">
        <v>0.0014</v>
      </c>
      <c r="P5" s="6">
        <v>11</v>
      </c>
    </row>
    <row r="6" ht="17" customHeight="1">
      <c r="A6" s="0">
        <v>7</v>
      </c>
      <c r="B6" s="0" t="inlineStr">
        <is>
          <t>P033</t>
        </is>
      </c>
      <c r="C6" s="0" t="inlineStr">
        <is>
          <t>2026-10-02 16:41:46.259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Missed</t>
        </is>
      </c>
      <c r="G6" s="0" t="inlineStr">
        <is>
          <t>Normal</t>
        </is>
      </c>
      <c r="H6" s="4">
        <v>2.432</v>
      </c>
      <c r="P6" s="0">
        <v>12</v>
      </c>
    </row>
    <row r="7" ht="17" customHeight="1">
      <c r="A7" s="6">
        <v>11</v>
      </c>
      <c r="B7" s="6" t="inlineStr">
        <is>
          <t>P033</t>
        </is>
      </c>
      <c r="C7" s="6" t="inlineStr">
        <is>
          <t>2026-10-02 16:41:47.035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Easy</t>
        </is>
      </c>
      <c r="H7" s="4">
        <v>3.2</v>
      </c>
      <c r="P7" s="6">
        <v>16</v>
      </c>
    </row>
    <row r="8" ht="17" customHeight="1">
      <c r="A8" s="0">
        <v>12</v>
      </c>
      <c r="B8" s="0" t="inlineStr">
        <is>
          <t>P033</t>
        </is>
      </c>
      <c r="C8" s="0" t="inlineStr">
        <is>
          <t>2026-10-02 16:41:47.037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Easy</t>
        </is>
      </c>
      <c r="H8" s="4">
        <v>3.2</v>
      </c>
      <c r="P8" s="0">
        <v>17</v>
      </c>
    </row>
    <row r="9" ht="17" customHeight="1">
      <c r="A9" s="6">
        <v>13</v>
      </c>
      <c r="B9" s="6" t="inlineStr">
        <is>
          <t>P033</t>
        </is>
      </c>
      <c r="C9" s="6" t="inlineStr">
        <is>
          <t>2026-10-02 16:41:47.481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Failed</t>
        </is>
      </c>
      <c r="G9" s="6" t="inlineStr">
        <is>
          <t>Easy</t>
        </is>
      </c>
      <c r="H9" s="4">
        <v>3.968</v>
      </c>
      <c r="I9" s="4">
        <v>3.9567</v>
      </c>
      <c r="J9" s="4">
        <v>-0.0113</v>
      </c>
      <c r="K9" s="4">
        <v>0.0113</v>
      </c>
      <c r="P9" s="6">
        <v>18</v>
      </c>
    </row>
    <row r="10" ht="17" customHeight="1">
      <c r="A10" s="0">
        <v>14</v>
      </c>
      <c r="B10" s="0" t="inlineStr">
        <is>
          <t>P033</t>
        </is>
      </c>
      <c r="C10" s="0" t="inlineStr">
        <is>
          <t>2026-10-02 16:41:47.481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Easy</t>
        </is>
      </c>
      <c r="H10" s="4">
        <v>3.968</v>
      </c>
      <c r="P10" s="0">
        <v>19</v>
      </c>
    </row>
    <row r="11" ht="17" customHeight="1">
      <c r="A11" s="6">
        <v>15</v>
      </c>
      <c r="B11" s="6" t="inlineStr">
        <is>
          <t>P033</t>
        </is>
      </c>
      <c r="C11" s="6" t="inlineStr">
        <is>
          <t>2026-10-02 16:41:49.035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Easy</t>
        </is>
      </c>
      <c r="H11" s="4">
        <v>5.504</v>
      </c>
      <c r="I11" s="4">
        <v>5.5247</v>
      </c>
      <c r="J11" s="4">
        <v>0.0207</v>
      </c>
      <c r="K11" s="4">
        <v>0.0207</v>
      </c>
      <c r="P11" s="6">
        <v>20</v>
      </c>
    </row>
    <row r="12" ht="17" customHeight="1">
      <c r="A12" s="0">
        <v>17</v>
      </c>
      <c r="B12" s="0" t="inlineStr">
        <is>
          <t>P033</t>
        </is>
      </c>
      <c r="C12" s="0" t="inlineStr">
        <is>
          <t>2026-10-02 16:41:49.036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Easy</t>
        </is>
      </c>
      <c r="H12" s="4">
        <v>5.504</v>
      </c>
      <c r="I12" s="4">
        <v>5.5247</v>
      </c>
      <c r="J12" s="4">
        <v>0.0207</v>
      </c>
      <c r="K12" s="4">
        <v>0.0207</v>
      </c>
      <c r="P12" s="0">
        <v>22</v>
      </c>
    </row>
    <row r="13" ht="17" customHeight="1">
      <c r="A13" s="6">
        <v>18</v>
      </c>
      <c r="B13" s="6" t="inlineStr">
        <is>
          <t>P033</t>
        </is>
      </c>
      <c r="C13" s="6" t="inlineStr">
        <is>
          <t>2026-10-02 16:41:50.549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Easy</t>
        </is>
      </c>
      <c r="H13" s="4">
        <v>7.04</v>
      </c>
      <c r="I13" s="4">
        <v>7.038</v>
      </c>
      <c r="J13" s="4">
        <v>-0.002</v>
      </c>
      <c r="K13" s="4">
        <v>0.002</v>
      </c>
      <c r="P13" s="6">
        <v>23</v>
      </c>
    </row>
    <row r="14" ht="17" customHeight="1">
      <c r="A14" s="0">
        <v>19</v>
      </c>
      <c r="B14" s="0" t="inlineStr">
        <is>
          <t>P033</t>
        </is>
      </c>
      <c r="C14" s="0" t="inlineStr">
        <is>
          <t>2026-10-02 16:41:50.576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7.04</v>
      </c>
      <c r="P14" s="0">
        <v>24</v>
      </c>
    </row>
    <row r="15" ht="17" customHeight="1">
      <c r="A15" s="6">
        <v>20</v>
      </c>
      <c r="B15" s="6" t="inlineStr">
        <is>
          <t>P033</t>
        </is>
      </c>
      <c r="C15" s="6" t="inlineStr">
        <is>
          <t>2026-10-02 16:41:52.076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Easy</t>
        </is>
      </c>
      <c r="H15" s="4">
        <v>8.576</v>
      </c>
      <c r="I15" s="4">
        <v>8.5652</v>
      </c>
      <c r="J15" s="4">
        <v>-0.0108</v>
      </c>
      <c r="K15" s="4">
        <v>0.0108</v>
      </c>
      <c r="P15" s="6">
        <v>25</v>
      </c>
    </row>
    <row r="16" ht="17" customHeight="1">
      <c r="A16" s="0">
        <v>21</v>
      </c>
      <c r="B16" s="0" t="inlineStr">
        <is>
          <t>P033</t>
        </is>
      </c>
      <c r="C16" s="0" t="inlineStr">
        <is>
          <t>2026-10-02 16:41:52.103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8.576</v>
      </c>
      <c r="I16" s="4">
        <v>8.5931</v>
      </c>
      <c r="J16" s="4">
        <v>0.0171</v>
      </c>
      <c r="K16" s="4">
        <v>0.0171</v>
      </c>
      <c r="P16" s="0">
        <v>26</v>
      </c>
    </row>
    <row r="17" ht="17" customHeight="1">
      <c r="A17" s="6">
        <v>23</v>
      </c>
      <c r="B17" s="6" t="inlineStr">
        <is>
          <t>P033</t>
        </is>
      </c>
      <c r="C17" s="6" t="inlineStr">
        <is>
          <t>2026-10-02 16:41:53.616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Easy</t>
        </is>
      </c>
      <c r="H17" s="4">
        <v>10.112</v>
      </c>
      <c r="I17" s="4">
        <v>10.1069</v>
      </c>
      <c r="J17" s="4">
        <v>-0.0051</v>
      </c>
      <c r="K17" s="4">
        <v>0.0051</v>
      </c>
      <c r="P17" s="6">
        <v>28</v>
      </c>
    </row>
    <row r="18" ht="17" customHeight="1">
      <c r="A18" s="0">
        <v>24</v>
      </c>
      <c r="B18" s="0" t="inlineStr">
        <is>
          <t>P033</t>
        </is>
      </c>
      <c r="C18" s="0" t="inlineStr">
        <is>
          <t>2026-10-02 16:41:53.618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10.112</v>
      </c>
      <c r="P18" s="0">
        <v>29</v>
      </c>
    </row>
    <row r="19" ht="17" customHeight="1">
      <c r="A19" s="6">
        <v>26</v>
      </c>
      <c r="B19" s="6" t="inlineStr">
        <is>
          <t>P033</t>
        </is>
      </c>
      <c r="C19" s="6" t="inlineStr">
        <is>
          <t>2026-10-02 16:41:54.339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Failed</t>
        </is>
      </c>
      <c r="G19" s="6" t="inlineStr">
        <is>
          <t>Normal</t>
        </is>
      </c>
      <c r="H19" s="4">
        <v>10.88</v>
      </c>
      <c r="I19" s="4">
        <v>10.8295</v>
      </c>
      <c r="J19" s="4">
        <v>-0.0505</v>
      </c>
      <c r="K19" s="4">
        <v>0.0505</v>
      </c>
      <c r="P19" s="6">
        <v>31</v>
      </c>
    </row>
    <row r="20" ht="17" customHeight="1">
      <c r="A20" s="0">
        <v>27</v>
      </c>
      <c r="B20" s="0" t="inlineStr">
        <is>
          <t>P033</t>
        </is>
      </c>
      <c r="C20" s="0" t="inlineStr">
        <is>
          <t>2026-10-02 16:41:54.381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Normal</t>
        </is>
      </c>
      <c r="H20" s="4">
        <v>10.88</v>
      </c>
      <c r="I20" s="4">
        <v>10.8709</v>
      </c>
      <c r="J20" s="4">
        <v>-0.0091</v>
      </c>
      <c r="K20" s="4">
        <v>0.0091</v>
      </c>
      <c r="P20" s="0">
        <v>32</v>
      </c>
    </row>
    <row r="21" ht="17" customHeight="1">
      <c r="A21" s="6">
        <v>28</v>
      </c>
      <c r="B21" s="6" t="inlineStr">
        <is>
          <t>P033</t>
        </is>
      </c>
      <c r="C21" s="6" t="inlineStr">
        <is>
          <t>2026-10-02 16:41:55.159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Failed</t>
        </is>
      </c>
      <c r="G21" s="6" t="inlineStr">
        <is>
          <t>Normal</t>
        </is>
      </c>
      <c r="H21" s="4">
        <v>11.648</v>
      </c>
      <c r="P21" s="6">
        <v>33</v>
      </c>
    </row>
    <row r="22" ht="17" customHeight="1">
      <c r="A22" s="0">
        <v>29</v>
      </c>
      <c r="B22" s="0" t="inlineStr">
        <is>
          <t>P033</t>
        </is>
      </c>
      <c r="C22" s="0" t="inlineStr">
        <is>
          <t>2026-10-02 16:41:55.159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Normal</t>
        </is>
      </c>
      <c r="H22" s="4">
        <v>11.648</v>
      </c>
      <c r="I22" s="4">
        <v>11.6486</v>
      </c>
      <c r="J22" s="4">
        <v>0.0006</v>
      </c>
      <c r="K22" s="4">
        <v>0.0006</v>
      </c>
      <c r="P22" s="0">
        <v>34</v>
      </c>
    </row>
    <row r="23" ht="17" customHeight="1">
      <c r="A23" s="6">
        <v>30</v>
      </c>
      <c r="B23" s="6" t="inlineStr">
        <is>
          <t>P033</t>
        </is>
      </c>
      <c r="C23" s="6" t="inlineStr">
        <is>
          <t>2026-10-02 16:41:55.908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Normal</t>
        </is>
      </c>
      <c r="H23" s="4">
        <v>12.416</v>
      </c>
      <c r="I23" s="4">
        <v>12.3988</v>
      </c>
      <c r="J23" s="4">
        <v>-0.0172</v>
      </c>
      <c r="K23" s="4">
        <v>0.0172</v>
      </c>
      <c r="P23" s="6">
        <v>35</v>
      </c>
    </row>
    <row r="24" ht="17" customHeight="1">
      <c r="A24" s="0">
        <v>34</v>
      </c>
      <c r="B24" s="0" t="inlineStr">
        <is>
          <t>P033</t>
        </is>
      </c>
      <c r="C24" s="0" t="inlineStr">
        <is>
          <t>2026-10-02 16:41:56.255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Easy</t>
        </is>
      </c>
      <c r="H24" s="4">
        <v>12.416</v>
      </c>
      <c r="P24" s="0">
        <v>39</v>
      </c>
    </row>
    <row r="25" ht="17" customHeight="1">
      <c r="A25" s="6">
        <v>35</v>
      </c>
      <c r="B25" s="6" t="inlineStr">
        <is>
          <t>P033</t>
        </is>
      </c>
      <c r="C25" s="6" t="inlineStr">
        <is>
          <t>2026-10-02 16:41:56.631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H25" s="4">
        <v>13.184</v>
      </c>
      <c r="I25" s="4">
        <v>13.1209</v>
      </c>
      <c r="J25" s="4">
        <v>-0.0631</v>
      </c>
      <c r="K25" s="4">
        <v>0.0631</v>
      </c>
      <c r="P25" s="6">
        <v>40</v>
      </c>
    </row>
    <row r="26" ht="17" customHeight="1">
      <c r="A26" s="0">
        <v>36</v>
      </c>
      <c r="B26" s="0" t="inlineStr">
        <is>
          <t>P033</t>
        </is>
      </c>
      <c r="C26" s="0" t="inlineStr">
        <is>
          <t>2026-10-02 16:41:56.659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H26" s="4">
        <v>13.184</v>
      </c>
      <c r="P26" s="0">
        <v>41</v>
      </c>
    </row>
    <row r="27" ht="17" customHeight="1">
      <c r="A27" s="6">
        <v>37</v>
      </c>
      <c r="B27" s="6" t="inlineStr">
        <is>
          <t>P033</t>
        </is>
      </c>
      <c r="C27" s="6" t="inlineStr">
        <is>
          <t>2026-10-02 16:41:58.200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H27" s="4">
        <v>14.72</v>
      </c>
      <c r="I27" s="4">
        <v>14.6897</v>
      </c>
      <c r="J27" s="4">
        <v>-0.0303</v>
      </c>
      <c r="K27" s="4">
        <v>0.0303</v>
      </c>
      <c r="P27" s="6">
        <v>42</v>
      </c>
    </row>
    <row r="28" ht="17" customHeight="1">
      <c r="A28" s="0">
        <v>38</v>
      </c>
      <c r="B28" s="0" t="inlineStr">
        <is>
          <t>P033</t>
        </is>
      </c>
      <c r="C28" s="0" t="inlineStr">
        <is>
          <t>2026-10-02 16:41:58.214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H28" s="4">
        <v>14.72</v>
      </c>
      <c r="I28" s="4">
        <v>14.7044</v>
      </c>
      <c r="J28" s="4">
        <v>-0.0156</v>
      </c>
      <c r="K28" s="4">
        <v>0.0156</v>
      </c>
      <c r="P28" s="0">
        <v>43</v>
      </c>
    </row>
    <row r="29" ht="17" customHeight="1">
      <c r="A29" s="6">
        <v>40</v>
      </c>
      <c r="B29" s="6" t="inlineStr">
        <is>
          <t>P033</t>
        </is>
      </c>
      <c r="C29" s="6" t="inlineStr">
        <is>
          <t>2026-10-02 16:41:59.742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H29" s="4">
        <v>16.256</v>
      </c>
      <c r="P29" s="6">
        <v>45</v>
      </c>
    </row>
    <row r="30" ht="17" customHeight="1">
      <c r="A30" s="0">
        <v>41</v>
      </c>
      <c r="B30" s="0" t="inlineStr">
        <is>
          <t>P033</t>
        </is>
      </c>
      <c r="C30" s="0" t="inlineStr">
        <is>
          <t>2026-10-02 16:41:59.756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16.256</v>
      </c>
      <c r="I30" s="4">
        <v>16.2453</v>
      </c>
      <c r="J30" s="4">
        <v>-0.0107</v>
      </c>
      <c r="K30" s="4">
        <v>0.0107</v>
      </c>
      <c r="P30" s="0">
        <v>46</v>
      </c>
    </row>
    <row r="31" ht="17" customHeight="1">
      <c r="A31" s="6">
        <v>42</v>
      </c>
      <c r="B31" s="6" t="inlineStr">
        <is>
          <t>P033</t>
        </is>
      </c>
      <c r="C31" s="6" t="inlineStr">
        <is>
          <t>2026-10-02 16:42:01.282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17.792</v>
      </c>
      <c r="I31" s="4">
        <v>17.7722</v>
      </c>
      <c r="J31" s="4">
        <v>-0.0198</v>
      </c>
      <c r="K31" s="4">
        <v>0.0198</v>
      </c>
      <c r="P31" s="6">
        <v>47</v>
      </c>
    </row>
    <row r="32" ht="17" customHeight="1">
      <c r="A32" s="0">
        <v>43</v>
      </c>
      <c r="B32" s="0" t="inlineStr">
        <is>
          <t>P033</t>
        </is>
      </c>
      <c r="C32" s="0" t="inlineStr">
        <is>
          <t>2026-10-02 16:42:01.296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17.792</v>
      </c>
      <c r="I32" s="4">
        <v>17.7864</v>
      </c>
      <c r="J32" s="4">
        <v>-0.0056</v>
      </c>
      <c r="K32" s="4">
        <v>0.0056</v>
      </c>
      <c r="P32" s="0">
        <v>48</v>
      </c>
    </row>
    <row r="33" ht="17" customHeight="1">
      <c r="A33" s="6">
        <v>44</v>
      </c>
      <c r="B33" s="6" t="inlineStr">
        <is>
          <t>P033</t>
        </is>
      </c>
      <c r="C33" s="6" t="inlineStr">
        <is>
          <t>2026-10-02 16:42:02.824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H33" s="4">
        <v>19.328</v>
      </c>
      <c r="I33" s="4">
        <v>19.3133</v>
      </c>
      <c r="J33" s="4">
        <v>-0.0147</v>
      </c>
      <c r="K33" s="4">
        <v>0.0147</v>
      </c>
      <c r="P33" s="6">
        <v>49</v>
      </c>
    </row>
    <row r="34" ht="17" customHeight="1">
      <c r="A34" s="0">
        <v>45</v>
      </c>
      <c r="B34" s="0" t="inlineStr">
        <is>
          <t>P033</t>
        </is>
      </c>
      <c r="C34" s="0" t="inlineStr">
        <is>
          <t>2026-10-02 16:42:02.837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H34" s="4">
        <v>19.328</v>
      </c>
      <c r="P34" s="0">
        <v>50</v>
      </c>
    </row>
    <row r="35" ht="17" customHeight="1">
      <c r="A35" s="6">
        <v>46</v>
      </c>
      <c r="B35" s="6" t="inlineStr">
        <is>
          <t>P033</t>
        </is>
      </c>
      <c r="C35" s="6" t="inlineStr">
        <is>
          <t>2026-10-02 16:42:04.365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20.864</v>
      </c>
      <c r="I35" s="4">
        <v>20.8549</v>
      </c>
      <c r="J35" s="4">
        <v>-0.0091</v>
      </c>
      <c r="K35" s="4">
        <v>0.0091</v>
      </c>
      <c r="P35" s="6">
        <v>51</v>
      </c>
    </row>
    <row r="36" ht="17" customHeight="1">
      <c r="A36" s="0">
        <v>47</v>
      </c>
      <c r="B36" s="0" t="inlineStr">
        <is>
          <t>P033</t>
        </is>
      </c>
      <c r="C36" s="0" t="inlineStr">
        <is>
          <t>2026-10-02 16:42:04.379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H36" s="4">
        <v>20.864</v>
      </c>
      <c r="I36" s="4">
        <v>20.8691</v>
      </c>
      <c r="J36" s="4">
        <v>0.0051</v>
      </c>
      <c r="K36" s="4">
        <v>0.0051</v>
      </c>
      <c r="P36" s="0">
        <v>52</v>
      </c>
    </row>
    <row r="37" ht="17" customHeight="1">
      <c r="A37" s="6">
        <v>48</v>
      </c>
      <c r="B37" s="6" t="inlineStr">
        <is>
          <t>P033</t>
        </is>
      </c>
      <c r="C37" s="6" t="inlineStr">
        <is>
          <t>2026-10-02 16:42:05.879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H37" s="4">
        <v>22.4</v>
      </c>
      <c r="I37" s="4">
        <v>22.3692</v>
      </c>
      <c r="J37" s="4">
        <v>-0.0308</v>
      </c>
      <c r="K37" s="4">
        <v>0.0308</v>
      </c>
      <c r="P37" s="6">
        <v>53</v>
      </c>
    </row>
    <row r="38" ht="17" customHeight="1">
      <c r="A38" s="0">
        <v>49</v>
      </c>
      <c r="B38" s="0" t="inlineStr">
        <is>
          <t>P033</t>
        </is>
      </c>
      <c r="C38" s="0" t="inlineStr">
        <is>
          <t>2026-10-02 16:42:05.921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H38" s="4">
        <v>22.4</v>
      </c>
      <c r="P38" s="0">
        <v>54</v>
      </c>
    </row>
    <row r="39" ht="17" customHeight="1">
      <c r="A39" s="6">
        <v>50</v>
      </c>
      <c r="B39" s="6" t="inlineStr">
        <is>
          <t>P033</t>
        </is>
      </c>
      <c r="C39" s="6" t="inlineStr">
        <is>
          <t>2026-10-02 16:42:07.434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23.936</v>
      </c>
      <c r="I39" s="4">
        <v>23.9249</v>
      </c>
      <c r="J39" s="4">
        <v>-0.0111</v>
      </c>
      <c r="K39" s="4">
        <v>0.0111</v>
      </c>
      <c r="P39" s="6">
        <v>55</v>
      </c>
    </row>
    <row r="40" ht="17" customHeight="1">
      <c r="A40" s="0">
        <v>51</v>
      </c>
      <c r="B40" s="0" t="inlineStr">
        <is>
          <t>P033</t>
        </is>
      </c>
      <c r="C40" s="0" t="inlineStr">
        <is>
          <t>2026-10-02 16:42:07.449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Easy</t>
        </is>
      </c>
      <c r="H40" s="4">
        <v>23.936</v>
      </c>
      <c r="I40" s="4">
        <v>23.939</v>
      </c>
      <c r="J40" s="4">
        <v>0.003</v>
      </c>
      <c r="K40" s="4">
        <v>0.003</v>
      </c>
      <c r="P40" s="0">
        <v>56</v>
      </c>
    </row>
    <row r="41" ht="17" customHeight="1">
      <c r="A41" s="6">
        <v>52</v>
      </c>
      <c r="B41" s="6" t="inlineStr">
        <is>
          <t>P033</t>
        </is>
      </c>
      <c r="C41" s="6" t="inlineStr">
        <is>
          <t>2026-10-02 16:42:08.962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H41" s="4">
        <v>25.472</v>
      </c>
      <c r="I41" s="4">
        <v>25.453</v>
      </c>
      <c r="J41" s="4">
        <v>-0.019</v>
      </c>
      <c r="K41" s="4">
        <v>0.019</v>
      </c>
      <c r="P41" s="6">
        <v>57</v>
      </c>
    </row>
    <row r="42" ht="17" customHeight="1">
      <c r="A42" s="0">
        <v>54</v>
      </c>
      <c r="B42" s="0" t="inlineStr">
        <is>
          <t>P033</t>
        </is>
      </c>
      <c r="C42" s="0" t="inlineStr">
        <is>
          <t>2026-10-02 16:42:08.976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Easy</t>
        </is>
      </c>
      <c r="H42" s="4">
        <v>25.472</v>
      </c>
      <c r="P42" s="0">
        <v>59</v>
      </c>
    </row>
    <row r="43" ht="17" customHeight="1">
      <c r="A43" s="6">
        <v>55</v>
      </c>
      <c r="B43" s="6" t="inlineStr">
        <is>
          <t>P033</t>
        </is>
      </c>
      <c r="C43" s="6" t="inlineStr">
        <is>
          <t>2026-10-02 16:42:10.520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H43" s="4">
        <v>27.008</v>
      </c>
      <c r="I43" s="4">
        <v>27.0091</v>
      </c>
      <c r="J43" s="4">
        <v>0.0011</v>
      </c>
      <c r="K43" s="4">
        <v>0.0011</v>
      </c>
      <c r="P43" s="6">
        <v>60</v>
      </c>
    </row>
    <row r="44" ht="17" customHeight="1">
      <c r="A44" s="0">
        <v>56</v>
      </c>
      <c r="B44" s="0" t="inlineStr">
        <is>
          <t>P033</t>
        </is>
      </c>
      <c r="C44" s="0" t="inlineStr">
        <is>
          <t>2026-10-02 16:42:10.520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H44" s="4">
        <v>27.008</v>
      </c>
      <c r="I44" s="4">
        <v>27.0091</v>
      </c>
      <c r="J44" s="4">
        <v>0.0011</v>
      </c>
      <c r="K44" s="4">
        <v>0.0011</v>
      </c>
      <c r="P44" s="0">
        <v>61</v>
      </c>
    </row>
    <row r="45" ht="17" customHeight="1">
      <c r="A45" s="6">
        <v>57</v>
      </c>
      <c r="B45" s="6" t="inlineStr">
        <is>
          <t>P033</t>
        </is>
      </c>
      <c r="C45" s="6" t="inlineStr">
        <is>
          <t>2026-10-02 16:42:12.046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H45" s="4">
        <v>28.544</v>
      </c>
      <c r="I45" s="4">
        <v>28.5362</v>
      </c>
      <c r="J45" s="4">
        <v>-0.0078</v>
      </c>
      <c r="K45" s="4">
        <v>0.0078</v>
      </c>
      <c r="P45" s="6">
        <v>62</v>
      </c>
    </row>
    <row r="46" ht="17" customHeight="1">
      <c r="A46" s="0">
        <v>58</v>
      </c>
      <c r="B46" s="0" t="inlineStr">
        <is>
          <t>P033</t>
        </is>
      </c>
      <c r="C46" s="0" t="inlineStr">
        <is>
          <t>2026-10-02 16:42:13.560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H46" s="4">
        <v>30.08</v>
      </c>
      <c r="I46" s="4">
        <v>30.0499</v>
      </c>
      <c r="J46" s="4">
        <v>-0.0301</v>
      </c>
      <c r="K46" s="4">
        <v>0.0301</v>
      </c>
      <c r="P46" s="0">
        <v>63</v>
      </c>
    </row>
    <row r="47" ht="17" customHeight="1">
      <c r="A47" s="6">
        <v>59</v>
      </c>
      <c r="B47" s="6" t="inlineStr">
        <is>
          <t>P033</t>
        </is>
      </c>
      <c r="C47" s="6" t="inlineStr">
        <is>
          <t>2026-10-02 16:42:13.587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Easy</t>
        </is>
      </c>
      <c r="H47" s="4">
        <v>30.08</v>
      </c>
      <c r="I47" s="4">
        <v>30.0644</v>
      </c>
      <c r="J47" s="4">
        <v>-0.0156</v>
      </c>
      <c r="K47" s="4">
        <v>0.0156</v>
      </c>
      <c r="P47" s="6">
        <v>64</v>
      </c>
    </row>
    <row r="48" ht="17" customHeight="1">
      <c r="A48" s="0">
        <v>60</v>
      </c>
      <c r="B48" s="0" t="inlineStr">
        <is>
          <t>P033</t>
        </is>
      </c>
      <c r="C48" s="0" t="inlineStr">
        <is>
          <t>2026-10-02 16:42:17.598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H48" s="4">
        <v>33.92</v>
      </c>
      <c r="I48" s="4">
        <v>34.0746</v>
      </c>
      <c r="J48" s="4">
        <v>0.1546</v>
      </c>
      <c r="K48" s="4">
        <v>0.1546</v>
      </c>
      <c r="P48" s="0">
        <v>65</v>
      </c>
    </row>
    <row r="49" ht="17" customHeight="1">
      <c r="A49" s="6">
        <v>61</v>
      </c>
      <c r="B49" s="6" t="inlineStr">
        <is>
          <t>P033</t>
        </is>
      </c>
      <c r="C49" s="6" t="inlineStr">
        <is>
          <t>2026-10-02 16:42:20.514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H49" s="4">
        <v>36.992</v>
      </c>
      <c r="I49" s="4">
        <v>36.9913</v>
      </c>
      <c r="J49" s="4">
        <v>-0.0007</v>
      </c>
      <c r="K49" s="4">
        <v>0.0007</v>
      </c>
      <c r="P49" s="6">
        <v>66</v>
      </c>
    </row>
    <row r="50" ht="17" customHeight="1">
      <c r="A50" s="0">
        <v>62</v>
      </c>
      <c r="B50" s="0" t="inlineStr">
        <is>
          <t>P033</t>
        </is>
      </c>
      <c r="C50" s="0" t="inlineStr">
        <is>
          <t>2026-10-02 16:42:22.641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H50" s="4">
        <v>39.296</v>
      </c>
      <c r="I50" s="4">
        <v>39.1161</v>
      </c>
      <c r="J50" s="4">
        <v>-0.1799</v>
      </c>
      <c r="K50" s="4">
        <v>0.1799</v>
      </c>
      <c r="P50" s="0">
        <v>67</v>
      </c>
    </row>
    <row r="51" ht="17" customHeight="1">
      <c r="A51" s="6">
        <v>63</v>
      </c>
      <c r="B51" s="6" t="inlineStr">
        <is>
          <t>P033</t>
        </is>
      </c>
      <c r="C51" s="6" t="inlineStr">
        <is>
          <t>2026-10-02 16:42:24.960</t>
        </is>
      </c>
      <c r="D51" s="6" t="inlineStr">
        <is>
          <t>Joaquin</t>
        </is>
      </c>
      <c r="E51" s="6" t="inlineStr">
        <is>
          <t>GuitarHit</t>
        </is>
      </c>
      <c r="F51" s="6" t="inlineStr">
        <is>
          <t>Success</t>
        </is>
      </c>
      <c r="G51" s="6" t="inlineStr">
        <is>
          <t>Easy</t>
        </is>
      </c>
      <c r="H51" s="4">
        <v>41.6</v>
      </c>
      <c r="I51" s="4">
        <v>41.4355</v>
      </c>
      <c r="J51" s="4">
        <v>-0.1645</v>
      </c>
      <c r="K51" s="4">
        <v>0.1645</v>
      </c>
      <c r="P51" s="6">
        <v>68</v>
      </c>
    </row>
    <row r="52" ht="17" customHeight="1">
      <c r="A52" s="0">
        <v>64</v>
      </c>
      <c r="B52" s="0" t="inlineStr">
        <is>
          <t>P033</t>
        </is>
      </c>
      <c r="C52" s="0" t="inlineStr">
        <is>
          <t>2026-10-02 16:42:27.931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H52" s="4">
        <v>44.288</v>
      </c>
      <c r="I52" s="4">
        <v>44.4068</v>
      </c>
      <c r="J52" s="4">
        <v>0.1188</v>
      </c>
      <c r="K52" s="4">
        <v>0.1188</v>
      </c>
      <c r="P52" s="0">
        <v>69</v>
      </c>
    </row>
    <row r="53" ht="17" customHeight="1">
      <c r="A53" s="6">
        <v>65</v>
      </c>
      <c r="B53" s="6" t="inlineStr">
        <is>
          <t>P033</t>
        </is>
      </c>
      <c r="C53" s="6" t="inlineStr">
        <is>
          <t>2026-10-02 16:42:30.332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H53" s="4">
        <v>46.976</v>
      </c>
      <c r="I53" s="4">
        <v>46.8091</v>
      </c>
      <c r="J53" s="4">
        <v>-0.1669</v>
      </c>
      <c r="K53" s="4">
        <v>0.1669</v>
      </c>
      <c r="P53" s="6">
        <v>70</v>
      </c>
    </row>
    <row r="54" ht="17" customHeight="1">
      <c r="A54" s="0">
        <v>66</v>
      </c>
      <c r="B54" s="0" t="inlineStr">
        <is>
          <t>P033</t>
        </is>
      </c>
      <c r="C54" s="0" t="inlineStr">
        <is>
          <t>2026-10-02 16:42:32.722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Easy</t>
        </is>
      </c>
      <c r="H54" s="4">
        <v>49.28</v>
      </c>
      <c r="I54" s="4">
        <v>49.1972</v>
      </c>
      <c r="J54" s="4">
        <v>-0.0828</v>
      </c>
      <c r="K54" s="4">
        <v>0.0828</v>
      </c>
      <c r="P54" s="0">
        <v>71</v>
      </c>
    </row>
    <row r="55" ht="17" customHeight="1">
      <c r="A55" s="6">
        <v>67</v>
      </c>
      <c r="B55" s="6" t="inlineStr">
        <is>
          <t>P033</t>
        </is>
      </c>
      <c r="C55" s="6" t="inlineStr">
        <is>
          <t>2026-10-02 16:42:35.095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Easy</t>
        </is>
      </c>
      <c r="H55" s="4">
        <v>51.584</v>
      </c>
      <c r="I55" s="4">
        <v>51.5723</v>
      </c>
      <c r="J55" s="4">
        <v>-0.0117</v>
      </c>
      <c r="K55" s="4">
        <v>0.0117</v>
      </c>
      <c r="P55" s="6">
        <v>72</v>
      </c>
    </row>
    <row r="56" ht="17" customHeight="1">
      <c r="A56" s="0">
        <v>69</v>
      </c>
      <c r="B56" s="0" t="inlineStr">
        <is>
          <t>P033</t>
        </is>
      </c>
      <c r="C56" s="0" t="inlineStr">
        <is>
          <t>2026-10-02 16:42:35.375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H56" s="4">
        <v>51.968</v>
      </c>
      <c r="I56" s="4">
        <v>51.8502</v>
      </c>
      <c r="J56" s="4">
        <v>-0.1178</v>
      </c>
      <c r="K56" s="4">
        <v>0.1178</v>
      </c>
      <c r="P56" s="0">
        <v>74</v>
      </c>
    </row>
    <row r="57" ht="17" customHeight="1">
      <c r="A57" s="6">
        <v>70</v>
      </c>
      <c r="B57" s="6" t="inlineStr">
        <is>
          <t>P033</t>
        </is>
      </c>
      <c r="C57" s="6" t="inlineStr">
        <is>
          <t>2026-10-02 16:42:37.694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Normal</t>
        </is>
      </c>
      <c r="H57" s="4">
        <v>54.272</v>
      </c>
      <c r="I57" s="4">
        <v>54.1699</v>
      </c>
      <c r="J57" s="4">
        <v>-0.1021</v>
      </c>
      <c r="K57" s="4">
        <v>0.1021</v>
      </c>
      <c r="P57" s="6">
        <v>75</v>
      </c>
    </row>
    <row r="58" ht="17" customHeight="1">
      <c r="A58" s="0">
        <v>71</v>
      </c>
      <c r="B58" s="0" t="inlineStr">
        <is>
          <t>P033</t>
        </is>
      </c>
      <c r="C58" s="0" t="inlineStr">
        <is>
          <t>2026-10-02 16:42:40.153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Normal</t>
        </is>
      </c>
      <c r="H58" s="4">
        <v>56.576</v>
      </c>
      <c r="I58" s="4">
        <v>56.6288</v>
      </c>
      <c r="J58" s="4">
        <v>0.0528</v>
      </c>
      <c r="K58" s="4">
        <v>0.0528</v>
      </c>
      <c r="P58" s="0">
        <v>76</v>
      </c>
    </row>
    <row r="59" ht="17" customHeight="1">
      <c r="A59" s="6">
        <v>72</v>
      </c>
      <c r="B59" s="6" t="inlineStr">
        <is>
          <t>P033</t>
        </is>
      </c>
      <c r="C59" s="6" t="inlineStr">
        <is>
          <t>2026-10-02 16:42:42.861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H59" s="4">
        <v>59.264</v>
      </c>
      <c r="I59" s="4">
        <v>59.3364</v>
      </c>
      <c r="J59" s="4">
        <v>0.0724</v>
      </c>
      <c r="K59" s="4">
        <v>0.0724</v>
      </c>
      <c r="P59" s="6">
        <v>77</v>
      </c>
    </row>
    <row r="60" ht="17" customHeight="1">
      <c r="A60" s="0">
        <v>73</v>
      </c>
      <c r="B60" s="0" t="inlineStr">
        <is>
          <t>P033</t>
        </is>
      </c>
      <c r="C60" s="0" t="inlineStr">
        <is>
          <t>2026-10-02 16:42:44.956</t>
        </is>
      </c>
      <c r="D60" s="0" t="inlineStr">
        <is>
          <t>Joaquin</t>
        </is>
      </c>
      <c r="E60" s="0" t="inlineStr">
        <is>
          <t>GuitarHit</t>
        </is>
      </c>
      <c r="F60" s="0" t="inlineStr">
        <is>
          <t>Success</t>
        </is>
      </c>
      <c r="G60" s="0" t="inlineStr">
        <is>
          <t>Normal</t>
        </is>
      </c>
      <c r="H60" s="4">
        <v>61.568</v>
      </c>
      <c r="I60" s="4">
        <v>61.4327</v>
      </c>
      <c r="J60" s="4">
        <v>-0.1353</v>
      </c>
      <c r="K60" s="4">
        <v>0.1353</v>
      </c>
      <c r="P60" s="0">
        <v>78</v>
      </c>
    </row>
    <row r="61" ht="17" customHeight="1">
      <c r="A61" s="6">
        <v>75</v>
      </c>
      <c r="B61" s="6" t="inlineStr">
        <is>
          <t>P033</t>
        </is>
      </c>
      <c r="C61" s="6" t="inlineStr">
        <is>
          <t>2026-10-02 16:42:50.471</t>
        </is>
      </c>
      <c r="D61" s="6" t="inlineStr">
        <is>
          <t>Shipi</t>
        </is>
      </c>
      <c r="E61" s="6" t="inlineStr">
        <is>
          <t>FoodCut</t>
        </is>
      </c>
      <c r="F61" s="6" t="inlineStr">
        <is>
          <t>Missed</t>
        </is>
      </c>
      <c r="G61" s="6" t="inlineStr">
        <is>
          <t>Normal</t>
        </is>
      </c>
      <c r="H61" s="4">
        <v>66.2528</v>
      </c>
      <c r="P61" s="6">
        <v>80</v>
      </c>
    </row>
    <row r="62" ht="17" customHeight="1">
      <c r="A62" s="0">
        <v>76</v>
      </c>
      <c r="B62" s="0" t="inlineStr">
        <is>
          <t>P033</t>
        </is>
      </c>
      <c r="C62" s="0" t="inlineStr">
        <is>
          <t>2026-10-02 16:42:51.373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Success</t>
        </is>
      </c>
      <c r="G62" s="0" t="inlineStr">
        <is>
          <t>Normal</t>
        </is>
      </c>
      <c r="H62" s="4">
        <v>67.7888</v>
      </c>
      <c r="I62" s="4">
        <v>67.849</v>
      </c>
      <c r="J62" s="4">
        <v>0.0602</v>
      </c>
      <c r="K62" s="4">
        <v>0.0602</v>
      </c>
      <c r="L62" s="4">
        <v>0.905</v>
      </c>
      <c r="N62" s="4">
        <v>1.0</v>
      </c>
      <c r="P62" s="0">
        <v>81</v>
      </c>
    </row>
    <row r="63" ht="17" customHeight="1">
      <c r="A63" s="6">
        <v>78</v>
      </c>
      <c r="B63" s="6" t="inlineStr">
        <is>
          <t>P033</t>
        </is>
      </c>
      <c r="C63" s="6" t="inlineStr">
        <is>
          <t>2026-10-02 16:42:52.748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Success</t>
        </is>
      </c>
      <c r="G63" s="6" t="inlineStr">
        <is>
          <t>Normal</t>
        </is>
      </c>
      <c r="H63" s="4">
        <v>69.3248</v>
      </c>
      <c r="I63" s="4">
        <v>69.2241</v>
      </c>
      <c r="J63" s="4">
        <v>-0.1007</v>
      </c>
      <c r="K63" s="4">
        <v>0.1007</v>
      </c>
      <c r="L63" s="4">
        <v>0.7441</v>
      </c>
      <c r="N63" s="4">
        <v>1.0</v>
      </c>
      <c r="P63" s="6">
        <v>83</v>
      </c>
    </row>
    <row r="64" ht="17" customHeight="1">
      <c r="A64" s="0">
        <v>79</v>
      </c>
      <c r="B64" s="0" t="inlineStr">
        <is>
          <t>P033</t>
        </is>
      </c>
      <c r="C64" s="0" t="inlineStr">
        <is>
          <t>2026-10-02 16:42:54.219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Success</t>
        </is>
      </c>
      <c r="G64" s="0" t="inlineStr">
        <is>
          <t>Normal</t>
        </is>
      </c>
      <c r="H64" s="4">
        <v>70.8608</v>
      </c>
      <c r="I64" s="4">
        <v>70.6958</v>
      </c>
      <c r="J64" s="4">
        <v>-0.165</v>
      </c>
      <c r="K64" s="4">
        <v>0.165</v>
      </c>
      <c r="L64" s="4">
        <v>0.6798</v>
      </c>
      <c r="N64" s="4">
        <v>1.0</v>
      </c>
      <c r="P64" s="0">
        <v>84</v>
      </c>
    </row>
    <row r="65" ht="17" customHeight="1">
      <c r="A65" s="6">
        <v>80</v>
      </c>
      <c r="B65" s="6" t="inlineStr">
        <is>
          <t>P033</t>
        </is>
      </c>
      <c r="C65" s="6" t="inlineStr">
        <is>
          <t>2026-10-02 16:42:56.621</t>
        </is>
      </c>
      <c r="D65" s="6" t="inlineStr">
        <is>
          <t>Shipi</t>
        </is>
      </c>
      <c r="E65" s="6" t="inlineStr">
        <is>
          <t>FoodClear</t>
        </is>
      </c>
      <c r="F65" s="6" t="inlineStr">
        <is>
          <t>Success</t>
        </is>
      </c>
      <c r="G65" s="6" t="inlineStr">
        <is>
          <t>Normal</t>
        </is>
      </c>
      <c r="H65" s="4">
        <v>72.3968</v>
      </c>
      <c r="P65" s="6">
        <v>85</v>
      </c>
    </row>
    <row r="66" ht="17" customHeight="1">
      <c r="A66" s="0">
        <v>81</v>
      </c>
      <c r="B66" s="0" t="inlineStr">
        <is>
          <t>P033</t>
        </is>
      </c>
      <c r="C66" s="0" t="inlineStr">
        <is>
          <t>2026-10-02 16:42:58.149</t>
        </is>
      </c>
      <c r="D66" s="0" t="inlineStr">
        <is>
          <t>Shipi</t>
        </is>
      </c>
      <c r="E66" s="0" t="inlineStr">
        <is>
          <t>FoodClear</t>
        </is>
      </c>
      <c r="F66" s="0" t="inlineStr">
        <is>
          <t>Success</t>
        </is>
      </c>
      <c r="G66" s="0" t="inlineStr">
        <is>
          <t>Normal</t>
        </is>
      </c>
      <c r="H66" s="4">
        <v>73.9328</v>
      </c>
      <c r="P66" s="0">
        <v>86</v>
      </c>
    </row>
    <row r="67" ht="17" customHeight="1">
      <c r="A67" s="6">
        <v>83</v>
      </c>
      <c r="B67" s="6" t="inlineStr">
        <is>
          <t>P033</t>
        </is>
      </c>
      <c r="C67" s="6" t="inlineStr">
        <is>
          <t>2026-10-02 16:42:59.495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Success</t>
        </is>
      </c>
      <c r="G67" s="6" t="inlineStr">
        <is>
          <t>Normal</t>
        </is>
      </c>
      <c r="H67" s="4">
        <v>75.4688</v>
      </c>
      <c r="I67" s="4">
        <v>75.9724</v>
      </c>
      <c r="J67" s="4">
        <v>0.5036</v>
      </c>
      <c r="K67" s="4">
        <v>0.5036</v>
      </c>
      <c r="L67" s="4">
        <v>1.3484</v>
      </c>
      <c r="N67" s="4">
        <v>1.0</v>
      </c>
      <c r="P67" s="6">
        <v>88</v>
      </c>
    </row>
    <row r="68" ht="17" customHeight="1">
      <c r="A68" s="0">
        <v>85</v>
      </c>
      <c r="B68" s="0" t="inlineStr">
        <is>
          <t>P033</t>
        </is>
      </c>
      <c r="C68" s="0" t="inlineStr">
        <is>
          <t>2026-10-02 16:43:00.468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Success</t>
        </is>
      </c>
      <c r="G68" s="0" t="inlineStr">
        <is>
          <t>Normal</t>
        </is>
      </c>
      <c r="H68" s="4">
        <v>77.0048</v>
      </c>
      <c r="I68" s="4">
        <v>76.9445</v>
      </c>
      <c r="J68" s="4">
        <v>-0.0603</v>
      </c>
      <c r="K68" s="4">
        <v>0.0603</v>
      </c>
      <c r="L68" s="4">
        <v>0.7845</v>
      </c>
      <c r="N68" s="4">
        <v>1.0</v>
      </c>
      <c r="P68" s="0">
        <v>90</v>
      </c>
    </row>
    <row r="69" ht="17" customHeight="1">
      <c r="A69" s="6">
        <v>86</v>
      </c>
      <c r="B69" s="6" t="inlineStr">
        <is>
          <t>P033</t>
        </is>
      </c>
      <c r="C69" s="6" t="inlineStr">
        <is>
          <t>2026-10-02 16:43:01.995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Success</t>
        </is>
      </c>
      <c r="G69" s="6" t="inlineStr">
        <is>
          <t>Normal</t>
        </is>
      </c>
      <c r="H69" s="4">
        <v>78.5408</v>
      </c>
      <c r="I69" s="4">
        <v>78.4723</v>
      </c>
      <c r="J69" s="4">
        <v>-0.0685</v>
      </c>
      <c r="K69" s="4">
        <v>0.0685</v>
      </c>
      <c r="L69" s="4">
        <v>0.7763</v>
      </c>
      <c r="N69" s="4">
        <v>1.0</v>
      </c>
      <c r="P69" s="6">
        <v>91</v>
      </c>
    </row>
    <row r="70" ht="17" customHeight="1">
      <c r="A70" s="0">
        <v>87</v>
      </c>
      <c r="B70" s="0" t="inlineStr">
        <is>
          <t>P033</t>
        </is>
      </c>
      <c r="C70" s="0" t="inlineStr">
        <is>
          <t>2026-10-02 16:43:03.717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Success</t>
        </is>
      </c>
      <c r="G70" s="0" t="inlineStr">
        <is>
          <t>Normal</t>
        </is>
      </c>
      <c r="H70" s="4">
        <v>80.0768</v>
      </c>
      <c r="I70" s="4">
        <v>80.1932</v>
      </c>
      <c r="J70" s="4">
        <v>0.1164</v>
      </c>
      <c r="K70" s="4">
        <v>0.1164</v>
      </c>
      <c r="L70" s="4">
        <v>0.9612</v>
      </c>
      <c r="N70" s="4">
        <v>1.0</v>
      </c>
      <c r="P70" s="0">
        <v>92</v>
      </c>
    </row>
    <row r="71" ht="17" customHeight="1">
      <c r="A71" s="6">
        <v>88</v>
      </c>
      <c r="B71" s="6" t="inlineStr">
        <is>
          <t>P033</t>
        </is>
      </c>
      <c r="C71" s="6" t="inlineStr">
        <is>
          <t>2026-10-02 16:43:05.675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Failed</t>
        </is>
      </c>
      <c r="G71" s="6" t="inlineStr">
        <is>
          <t>Normal</t>
        </is>
      </c>
      <c r="H71" s="4">
        <v>81.6128</v>
      </c>
      <c r="I71" s="4">
        <v>82.152</v>
      </c>
      <c r="J71" s="4">
        <v>0.5392</v>
      </c>
      <c r="K71" s="4">
        <v>0.5392</v>
      </c>
      <c r="L71" s="4">
        <v>1.384</v>
      </c>
      <c r="N71" s="4">
        <v>0.0</v>
      </c>
      <c r="P71" s="6">
        <v>93</v>
      </c>
    </row>
    <row r="72" ht="17" customHeight="1">
      <c r="A72" s="0">
        <v>89</v>
      </c>
      <c r="B72" s="0" t="inlineStr">
        <is>
          <t>P033</t>
        </is>
      </c>
      <c r="C72" s="0" t="inlineStr">
        <is>
          <t>2026-10-02 16:43:06.509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Success</t>
        </is>
      </c>
      <c r="G72" s="0" t="inlineStr">
        <is>
          <t>Normal</t>
        </is>
      </c>
      <c r="H72" s="4">
        <v>83.1488</v>
      </c>
      <c r="I72" s="4">
        <v>82.9854</v>
      </c>
      <c r="J72" s="4">
        <v>-0.1634</v>
      </c>
      <c r="K72" s="4">
        <v>0.1634</v>
      </c>
      <c r="L72" s="4">
        <v>0.6814</v>
      </c>
      <c r="N72" s="4">
        <v>1.0</v>
      </c>
      <c r="P72" s="0">
        <v>94</v>
      </c>
    </row>
    <row r="73" ht="17" customHeight="1">
      <c r="A73" s="6">
        <v>90</v>
      </c>
      <c r="B73" s="6" t="inlineStr">
        <is>
          <t>P033</t>
        </is>
      </c>
      <c r="C73" s="6" t="inlineStr">
        <is>
          <t>2026-10-02 16:43:08.579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Normal</t>
        </is>
      </c>
      <c r="H73" s="4">
        <v>84.6848</v>
      </c>
      <c r="I73" s="4">
        <v>85.0553</v>
      </c>
      <c r="J73" s="4">
        <v>0.3705</v>
      </c>
      <c r="K73" s="4">
        <v>0.3705</v>
      </c>
      <c r="L73" s="4">
        <v>1.2153</v>
      </c>
      <c r="N73" s="4">
        <v>1.0</v>
      </c>
      <c r="P73" s="6">
        <v>95</v>
      </c>
    </row>
    <row r="74" ht="17" customHeight="1">
      <c r="A74" s="0">
        <v>91</v>
      </c>
      <c r="B74" s="0" t="inlineStr">
        <is>
          <t>P033</t>
        </is>
      </c>
      <c r="C74" s="0" t="inlineStr">
        <is>
          <t>2026-10-02 16:43:09.608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Success</t>
        </is>
      </c>
      <c r="G74" s="0" t="inlineStr">
        <is>
          <t>Normal</t>
        </is>
      </c>
      <c r="H74" s="4">
        <v>86.2208</v>
      </c>
      <c r="I74" s="4">
        <v>86.0835</v>
      </c>
      <c r="J74" s="4">
        <v>-0.1373</v>
      </c>
      <c r="K74" s="4">
        <v>0.1373</v>
      </c>
      <c r="L74" s="4">
        <v>0.7075</v>
      </c>
      <c r="N74" s="4">
        <v>1.0</v>
      </c>
      <c r="P74" s="0">
        <v>96</v>
      </c>
    </row>
    <row r="75" ht="17" customHeight="1">
      <c r="A75" s="6">
        <v>93</v>
      </c>
      <c r="B75" s="6" t="inlineStr">
        <is>
          <t>P033</t>
        </is>
      </c>
      <c r="C75" s="6" t="inlineStr">
        <is>
          <t>2026-10-02 16:43:10.857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Success</t>
        </is>
      </c>
      <c r="G75" s="6" t="inlineStr">
        <is>
          <t>Normal</t>
        </is>
      </c>
      <c r="H75" s="4">
        <v>87.1616</v>
      </c>
      <c r="I75" s="4">
        <v>87.3335</v>
      </c>
      <c r="J75" s="4">
        <v>0.1719</v>
      </c>
      <c r="K75" s="4">
        <v>0.1719</v>
      </c>
      <c r="L75" s="4">
        <v>0.8055</v>
      </c>
      <c r="N75" s="4">
        <v>1.0</v>
      </c>
      <c r="P75" s="6">
        <v>98</v>
      </c>
    </row>
    <row r="76" ht="17" customHeight="1">
      <c r="A76" s="0">
        <v>94</v>
      </c>
      <c r="B76" s="0" t="inlineStr">
        <is>
          <t>P033</t>
        </is>
      </c>
      <c r="C76" s="0" t="inlineStr">
        <is>
          <t>2026-10-02 16:43:12.358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Missed</t>
        </is>
      </c>
      <c r="G76" s="0" t="inlineStr">
        <is>
          <t>Normal</t>
        </is>
      </c>
      <c r="H76" s="4">
        <v>88.3136</v>
      </c>
      <c r="P76" s="0">
        <v>99</v>
      </c>
    </row>
    <row r="77" ht="17" customHeight="1">
      <c r="A77" s="6">
        <v>95</v>
      </c>
      <c r="B77" s="6" t="inlineStr">
        <is>
          <t>P033</t>
        </is>
      </c>
      <c r="C77" s="6" t="inlineStr">
        <is>
          <t>2026-10-02 16:43:12.539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Hard</t>
        </is>
      </c>
      <c r="H77" s="4">
        <v>89.4656</v>
      </c>
      <c r="I77" s="4">
        <v>89.014</v>
      </c>
      <c r="J77" s="4">
        <v>-0.4516</v>
      </c>
      <c r="K77" s="4">
        <v>0.4516</v>
      </c>
      <c r="L77" s="4">
        <v>0.182</v>
      </c>
      <c r="N77" s="4">
        <v>1.0</v>
      </c>
      <c r="P77" s="6">
        <v>100</v>
      </c>
    </row>
    <row r="78" ht="17" customHeight="1">
      <c r="A78" s="0">
        <v>96</v>
      </c>
      <c r="B78" s="0" t="inlineStr">
        <is>
          <t>P033</t>
        </is>
      </c>
      <c r="C78" s="0" t="inlineStr">
        <is>
          <t>2026-10-02 16:43:14.092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Hard</t>
        </is>
      </c>
      <c r="H78" s="4">
        <v>90.6176</v>
      </c>
      <c r="I78" s="4">
        <v>90.5689</v>
      </c>
      <c r="J78" s="4">
        <v>-0.0487</v>
      </c>
      <c r="K78" s="4">
        <v>0.0487</v>
      </c>
      <c r="L78" s="4">
        <v>0.5849</v>
      </c>
      <c r="N78" s="4">
        <v>0.0</v>
      </c>
      <c r="P78" s="0">
        <v>101</v>
      </c>
    </row>
    <row r="79" ht="17" customHeight="1">
      <c r="A79" s="6">
        <v>97</v>
      </c>
      <c r="B79" s="6" t="inlineStr">
        <is>
          <t>P033</t>
        </is>
      </c>
      <c r="C79" s="6" t="inlineStr">
        <is>
          <t>2026-10-02 16:43:15.259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Success</t>
        </is>
      </c>
      <c r="G79" s="6" t="inlineStr">
        <is>
          <t>Hard</t>
        </is>
      </c>
      <c r="H79" s="4">
        <v>91.7696</v>
      </c>
      <c r="I79" s="4">
        <v>91.7348</v>
      </c>
      <c r="J79" s="4">
        <v>-0.0348</v>
      </c>
      <c r="K79" s="4">
        <v>0.0348</v>
      </c>
      <c r="L79" s="4">
        <v>0.5988</v>
      </c>
      <c r="N79" s="4">
        <v>1.0</v>
      </c>
      <c r="P79" s="6">
        <v>102</v>
      </c>
    </row>
    <row r="80" ht="17" customHeight="1">
      <c r="A80" s="0">
        <v>98</v>
      </c>
      <c r="B80" s="0" t="inlineStr">
        <is>
          <t>P033</t>
        </is>
      </c>
      <c r="C80" s="0" t="inlineStr">
        <is>
          <t>2026-10-02 16:43:16.494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Hard</t>
        </is>
      </c>
      <c r="H80" s="4">
        <v>92.9216</v>
      </c>
      <c r="I80" s="4">
        <v>92.9706</v>
      </c>
      <c r="J80" s="4">
        <v>0.049</v>
      </c>
      <c r="K80" s="4">
        <v>0.049</v>
      </c>
      <c r="L80" s="4">
        <v>0.6826</v>
      </c>
      <c r="N80" s="4">
        <v>1.0</v>
      </c>
      <c r="P80" s="0">
        <v>103</v>
      </c>
    </row>
    <row r="81" ht="17" customHeight="1">
      <c r="A81" s="6">
        <v>99</v>
      </c>
      <c r="B81" s="6" t="inlineStr">
        <is>
          <t>P033</t>
        </is>
      </c>
      <c r="C81" s="6" t="inlineStr">
        <is>
          <t>2026-10-02 16:43:20.840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Success</t>
        </is>
      </c>
      <c r="G81" s="6" t="inlineStr">
        <is>
          <t>Hard</t>
        </is>
      </c>
      <c r="H81" s="4">
        <v>96.128</v>
      </c>
      <c r="I81" s="4">
        <v>97.1494</v>
      </c>
      <c r="J81" s="4">
        <v>1.0214</v>
      </c>
      <c r="K81" s="4">
        <v>1.0214</v>
      </c>
      <c r="N81" s="4">
        <v>1.0</v>
      </c>
      <c r="O81" s="6" t="b">
        <v>1</v>
      </c>
      <c r="P81" s="6">
        <v>104</v>
      </c>
    </row>
    <row r="82" ht="17" customHeight="1">
      <c r="A82" s="0">
        <v>100</v>
      </c>
      <c r="B82" s="0" t="inlineStr">
        <is>
          <t>P033</t>
        </is>
      </c>
      <c r="C82" s="0" t="inlineStr">
        <is>
          <t>2026-10-02 16:43:22.117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Missed</t>
        </is>
      </c>
      <c r="G82" s="0" t="inlineStr">
        <is>
          <t>Hard</t>
        </is>
      </c>
      <c r="H82" s="4">
        <v>94.592</v>
      </c>
      <c r="P82" s="0">
        <v>105</v>
      </c>
    </row>
    <row r="83" ht="17" customHeight="1">
      <c r="A83" s="6">
        <v>101</v>
      </c>
      <c r="B83" s="6" t="inlineStr">
        <is>
          <t>P033</t>
        </is>
      </c>
      <c r="C83" s="6" t="inlineStr">
        <is>
          <t>2026-10-02 16:43:22.505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Missed</t>
        </is>
      </c>
      <c r="G83" s="6" t="inlineStr">
        <is>
          <t>Hard</t>
        </is>
      </c>
      <c r="H83" s="4">
        <v>94.976</v>
      </c>
      <c r="P83" s="6">
        <v>106</v>
      </c>
    </row>
    <row r="84" ht="17" customHeight="1">
      <c r="A84" s="0">
        <v>102</v>
      </c>
      <c r="B84" s="0" t="inlineStr">
        <is>
          <t>P033</t>
        </is>
      </c>
      <c r="C84" s="0" t="inlineStr">
        <is>
          <t>2026-10-02 16:43:23.658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Missed</t>
        </is>
      </c>
      <c r="G84" s="0" t="inlineStr">
        <is>
          <t>Hard</t>
        </is>
      </c>
      <c r="H84" s="4">
        <v>96.128</v>
      </c>
      <c r="P84" s="0">
        <v>107</v>
      </c>
    </row>
    <row r="85" ht="17" customHeight="1">
      <c r="A85" s="6">
        <v>104</v>
      </c>
      <c r="B85" s="6" t="inlineStr">
        <is>
          <t>P033</t>
        </is>
      </c>
      <c r="C85" s="6" t="inlineStr">
        <is>
          <t>2026-10-02 16:43:25.963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Missed</t>
        </is>
      </c>
      <c r="G85" s="6" t="inlineStr">
        <is>
          <t>Hard</t>
        </is>
      </c>
      <c r="H85" s="4">
        <v>98.432</v>
      </c>
      <c r="P85" s="6">
        <v>109</v>
      </c>
    </row>
    <row r="86" ht="17" customHeight="1">
      <c r="A86" s="0">
        <v>105</v>
      </c>
      <c r="B86" s="0" t="inlineStr">
        <is>
          <t>P033</t>
        </is>
      </c>
      <c r="C86" s="0" t="inlineStr">
        <is>
          <t>2026-10-02 16:43:26.407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Hard</t>
        </is>
      </c>
      <c r="H86" s="4">
        <v>99.584</v>
      </c>
      <c r="I86" s="4">
        <v>102.8283</v>
      </c>
      <c r="J86" s="4">
        <v>3.2443</v>
      </c>
      <c r="K86" s="4">
        <v>3.2443</v>
      </c>
      <c r="N86" s="4">
        <v>0.0</v>
      </c>
      <c r="O86" s="0" t="b">
        <v>0</v>
      </c>
      <c r="P86" s="0">
        <v>110</v>
      </c>
    </row>
    <row r="87" ht="17" customHeight="1">
      <c r="A87" s="6">
        <v>107</v>
      </c>
      <c r="B87" s="6" t="inlineStr">
        <is>
          <t>P033</t>
        </is>
      </c>
      <c r="C87" s="6" t="inlineStr">
        <is>
          <t>2026-10-02 16:43:28.644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Missed</t>
        </is>
      </c>
      <c r="G87" s="6" t="inlineStr">
        <is>
          <t>Hard</t>
        </is>
      </c>
      <c r="H87" s="4">
        <v>101.12</v>
      </c>
      <c r="P87" s="6">
        <v>112</v>
      </c>
    </row>
    <row r="88" ht="17" customHeight="1">
      <c r="A88" s="0">
        <v>108</v>
      </c>
      <c r="B88" s="0" t="inlineStr">
        <is>
          <t>P033</t>
        </is>
      </c>
      <c r="C88" s="0" t="inlineStr">
        <is>
          <t>2026-10-02 16:43:28.644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Missed</t>
        </is>
      </c>
      <c r="G88" s="0" t="inlineStr">
        <is>
          <t>Hard</t>
        </is>
      </c>
      <c r="H88" s="4">
        <v>101.12</v>
      </c>
      <c r="P88" s="0">
        <v>113</v>
      </c>
    </row>
    <row r="89" ht="17" customHeight="1">
      <c r="A89" s="6">
        <v>109</v>
      </c>
      <c r="B89" s="6" t="inlineStr">
        <is>
          <t>P033</t>
        </is>
      </c>
      <c r="C89" s="6" t="inlineStr">
        <is>
          <t>2026-10-02 16:43:29.034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Failed</t>
        </is>
      </c>
      <c r="G89" s="6" t="inlineStr">
        <is>
          <t>Hard</t>
        </is>
      </c>
      <c r="H89" s="4">
        <v>103.808</v>
      </c>
      <c r="I89" s="4">
        <v>105.371</v>
      </c>
      <c r="J89" s="4">
        <v>1.563</v>
      </c>
      <c r="K89" s="4">
        <v>1.563</v>
      </c>
      <c r="N89" s="4">
        <v>0.0</v>
      </c>
      <c r="O89" s="6" t="b">
        <v>1</v>
      </c>
      <c r="P89" s="6">
        <v>114</v>
      </c>
    </row>
    <row r="90" ht="17" customHeight="1">
      <c r="A90" s="0">
        <v>110</v>
      </c>
      <c r="B90" s="0" t="inlineStr">
        <is>
          <t>P033</t>
        </is>
      </c>
      <c r="C90" s="0" t="inlineStr">
        <is>
          <t>2026-10-02 16:43:30.895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Failed</t>
        </is>
      </c>
      <c r="G90" s="0" t="inlineStr">
        <is>
          <t>Hard</t>
        </is>
      </c>
      <c r="H90" s="4">
        <v>106.112</v>
      </c>
      <c r="I90" s="4">
        <v>107.2734</v>
      </c>
      <c r="J90" s="4">
        <v>1.1614</v>
      </c>
      <c r="K90" s="4">
        <v>1.1614</v>
      </c>
      <c r="N90" s="4">
        <v>0.0</v>
      </c>
      <c r="O90" s="0" t="b">
        <v>0</v>
      </c>
      <c r="P90" s="0">
        <v>115</v>
      </c>
    </row>
    <row r="91" ht="17" customHeight="1">
      <c r="A91" s="6">
        <v>114</v>
      </c>
      <c r="B91" s="6" t="inlineStr">
        <is>
          <t>P033</t>
        </is>
      </c>
      <c r="C91" s="6" t="inlineStr">
        <is>
          <t>2026-10-02 16:43:32.491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Missed</t>
        </is>
      </c>
      <c r="G91" s="6" t="inlineStr">
        <is>
          <t>Hard</t>
        </is>
      </c>
      <c r="H91" s="4">
        <v>104.96</v>
      </c>
      <c r="P91" s="6">
        <v>119</v>
      </c>
    </row>
    <row r="92" ht="17" customHeight="1">
      <c r="A92" s="0">
        <v>115</v>
      </c>
      <c r="B92" s="0" t="inlineStr">
        <is>
          <t>P033</t>
        </is>
      </c>
      <c r="C92" s="0" t="inlineStr">
        <is>
          <t>2026-10-02 16:43:34.407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Missed</t>
        </is>
      </c>
      <c r="G92" s="0" t="inlineStr">
        <is>
          <t>Hard</t>
        </is>
      </c>
      <c r="H92" s="4">
        <v>106.88</v>
      </c>
      <c r="P92" s="0">
        <v>120</v>
      </c>
    </row>
    <row r="93" ht="17" customHeight="1">
      <c r="A93" s="6">
        <v>116</v>
      </c>
      <c r="B93" s="6" t="inlineStr">
        <is>
          <t>P033</t>
        </is>
      </c>
      <c r="C93" s="6" t="inlineStr">
        <is>
          <t>2026-10-02 16:43:35.560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Missed</t>
        </is>
      </c>
      <c r="G93" s="6" t="inlineStr">
        <is>
          <t>Hard</t>
        </is>
      </c>
      <c r="H93" s="4">
        <v>108.032</v>
      </c>
      <c r="P93" s="6">
        <v>121</v>
      </c>
    </row>
    <row r="94" ht="17" customHeight="1">
      <c r="A94" s="0">
        <v>117</v>
      </c>
      <c r="B94" s="0" t="inlineStr">
        <is>
          <t>P033</t>
        </is>
      </c>
      <c r="C94" s="0" t="inlineStr">
        <is>
          <t>2026-10-02 16:43:35.561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Missed</t>
        </is>
      </c>
      <c r="G94" s="0" t="inlineStr">
        <is>
          <t>Hard</t>
        </is>
      </c>
      <c r="H94" s="4">
        <v>108.032</v>
      </c>
      <c r="P94" s="0">
        <v>122</v>
      </c>
    </row>
    <row r="95" ht="17" customHeight="1">
      <c r="A95" s="6">
        <v>119</v>
      </c>
      <c r="B95" s="6" t="inlineStr">
        <is>
          <t>P033</t>
        </is>
      </c>
      <c r="C95" s="6" t="inlineStr">
        <is>
          <t>2026-10-02 16:43:36.894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Hard</t>
        </is>
      </c>
      <c r="H95" s="4">
        <v>113.792</v>
      </c>
      <c r="I95" s="4">
        <v>113.3286</v>
      </c>
      <c r="J95" s="4">
        <v>-0.4634</v>
      </c>
      <c r="K95" s="4">
        <v>0.4634</v>
      </c>
      <c r="N95" s="4">
        <v>0.0</v>
      </c>
      <c r="O95" s="6" t="b">
        <v>1</v>
      </c>
      <c r="P95" s="6">
        <v>124</v>
      </c>
    </row>
    <row r="96" ht="17" customHeight="1">
      <c r="A96" s="0">
        <v>120</v>
      </c>
      <c r="B96" s="0" t="inlineStr">
        <is>
          <t>P033</t>
        </is>
      </c>
      <c r="C96" s="0" t="inlineStr">
        <is>
          <t>2026-10-02 16:43:37.477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Missed</t>
        </is>
      </c>
      <c r="G96" s="0" t="inlineStr">
        <is>
          <t>Hard</t>
        </is>
      </c>
      <c r="H96" s="4">
        <v>109.952</v>
      </c>
      <c r="P96" s="0">
        <v>125</v>
      </c>
    </row>
    <row r="97" ht="17" customHeight="1">
      <c r="A97" s="6">
        <v>121</v>
      </c>
      <c r="B97" s="6" t="inlineStr">
        <is>
          <t>P033</t>
        </is>
      </c>
      <c r="C97" s="6" t="inlineStr">
        <is>
          <t>2026-10-02 16:43:38.311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Failed</t>
        </is>
      </c>
      <c r="G97" s="6" t="inlineStr">
        <is>
          <t>Hard</t>
        </is>
      </c>
      <c r="H97" s="4">
        <v>113.792</v>
      </c>
      <c r="I97" s="4">
        <v>114.6899</v>
      </c>
      <c r="J97" s="4">
        <v>0.8979</v>
      </c>
      <c r="K97" s="4">
        <v>0.8979</v>
      </c>
      <c r="N97" s="4">
        <v>0.0</v>
      </c>
      <c r="O97" s="6" t="b">
        <v>0</v>
      </c>
      <c r="P97" s="6">
        <v>126</v>
      </c>
    </row>
    <row r="98" ht="17" customHeight="1">
      <c r="A98" s="0">
        <v>122</v>
      </c>
      <c r="B98" s="0" t="inlineStr">
        <is>
          <t>P033</t>
        </is>
      </c>
      <c r="C98" s="0" t="inlineStr">
        <is>
          <t>2026-10-02 16:43:40.562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Missed</t>
        </is>
      </c>
      <c r="G98" s="0" t="inlineStr">
        <is>
          <t>Hard</t>
        </is>
      </c>
      <c r="H98" s="4">
        <v>113.024</v>
      </c>
      <c r="P98" s="0">
        <v>127</v>
      </c>
    </row>
    <row r="99" ht="17" customHeight="1">
      <c r="A99" s="6">
        <v>123</v>
      </c>
      <c r="B99" s="6" t="inlineStr">
        <is>
          <t>P033</t>
        </is>
      </c>
      <c r="C99" s="6" t="inlineStr">
        <is>
          <t>2026-10-02 16:43:44.241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Missed</t>
        </is>
      </c>
      <c r="G99" s="6" t="inlineStr">
        <is>
          <t>Normal</t>
        </is>
      </c>
      <c r="H99" s="4">
        <v>115.712</v>
      </c>
      <c r="P99" s="6">
        <v>128</v>
      </c>
    </row>
    <row r="100" ht="17" customHeight="1">
      <c r="A100" s="0">
        <v>124</v>
      </c>
      <c r="B100" s="0" t="inlineStr">
        <is>
          <t>P033</t>
        </is>
      </c>
      <c r="C100" s="0" t="inlineStr">
        <is>
          <t>2026-10-02 16:43:45.783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Missed</t>
        </is>
      </c>
      <c r="G100" s="0" t="inlineStr">
        <is>
          <t>Normal</t>
        </is>
      </c>
      <c r="H100" s="4">
        <v>117.248</v>
      </c>
      <c r="P100" s="0">
        <v>129</v>
      </c>
    </row>
    <row r="101" ht="17" customHeight="1">
      <c r="A101" s="6">
        <v>125</v>
      </c>
      <c r="B101" s="6" t="inlineStr">
        <is>
          <t>P033</t>
        </is>
      </c>
      <c r="C101" s="6" t="inlineStr">
        <is>
          <t>2026-10-02 16:43:46.935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Missed</t>
        </is>
      </c>
      <c r="G101" s="6" t="inlineStr">
        <is>
          <t>Normal</t>
        </is>
      </c>
      <c r="H101" s="4">
        <v>118.4</v>
      </c>
      <c r="P101" s="6">
        <v>130</v>
      </c>
    </row>
    <row r="102" ht="17" customHeight="1">
      <c r="A102" s="0">
        <v>126</v>
      </c>
      <c r="B102" s="0" t="inlineStr">
        <is>
          <t>P033</t>
        </is>
      </c>
      <c r="C102" s="0" t="inlineStr">
        <is>
          <t>2026-10-02 16:43:51.556</t>
        </is>
      </c>
      <c r="D102" s="0" t="inlineStr">
        <is>
          <t>Danniel</t>
        </is>
      </c>
      <c r="E102" s="0" t="inlineStr">
        <is>
          <t>PlayerHit</t>
        </is>
      </c>
      <c r="F102" s="0" t="inlineStr">
        <is>
          <t>Failed</t>
        </is>
      </c>
      <c r="G102" s="0" t="inlineStr">
        <is>
          <t>Normal</t>
        </is>
      </c>
      <c r="H102" s="4">
        <v>128.0318</v>
      </c>
      <c r="P102" s="0">
        <v>131</v>
      </c>
    </row>
    <row r="103" ht="17" customHeight="1">
      <c r="A103" s="6">
        <v>127</v>
      </c>
      <c r="B103" s="6" t="inlineStr">
        <is>
          <t>P033</t>
        </is>
      </c>
      <c r="C103" s="6" t="inlineStr">
        <is>
          <t>2026-10-02 16:43:51.791</t>
        </is>
      </c>
      <c r="D103" s="6" t="inlineStr">
        <is>
          <t>Danniel</t>
        </is>
      </c>
      <c r="E103" s="6" t="inlineStr">
        <is>
          <t>GunShoot</t>
        </is>
      </c>
      <c r="F103" s="6" t="inlineStr">
        <is>
          <t>Success</t>
        </is>
      </c>
      <c r="G103" s="6" t="inlineStr">
        <is>
          <t>Normal</t>
        </is>
      </c>
      <c r="H103" s="4">
        <v>127.616</v>
      </c>
      <c r="I103" s="4">
        <v>127.7676</v>
      </c>
      <c r="J103" s="4">
        <v>0.1516</v>
      </c>
      <c r="K103" s="4">
        <v>0.1516</v>
      </c>
      <c r="P103" s="6">
        <v>132</v>
      </c>
    </row>
    <row r="104" ht="17" customHeight="1">
      <c r="A104" s="0">
        <v>129</v>
      </c>
      <c r="B104" s="0" t="inlineStr">
        <is>
          <t>P033</t>
        </is>
      </c>
      <c r="C104" s="0" t="inlineStr">
        <is>
          <t>2026-10-02 16:43:53.361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Success</t>
        </is>
      </c>
      <c r="G104" s="0" t="inlineStr">
        <is>
          <t>Normal</t>
        </is>
      </c>
      <c r="H104" s="4">
        <v>129.152</v>
      </c>
      <c r="I104" s="4">
        <v>129.0733</v>
      </c>
      <c r="J104" s="4">
        <v>-0.0787</v>
      </c>
      <c r="K104" s="4">
        <v>0.0787</v>
      </c>
      <c r="P104" s="0">
        <v>134</v>
      </c>
    </row>
    <row r="105" ht="17" customHeight="1">
      <c r="A105" s="6">
        <v>130</v>
      </c>
      <c r="B105" s="6" t="inlineStr">
        <is>
          <t>P033</t>
        </is>
      </c>
      <c r="C105" s="6" t="inlineStr">
        <is>
          <t>2026-10-02 16:43:55.193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Normal</t>
        </is>
      </c>
      <c r="H105" s="4">
        <v>131.072</v>
      </c>
      <c r="I105" s="4">
        <v>131.0038</v>
      </c>
      <c r="J105" s="4">
        <v>-0.0682</v>
      </c>
      <c r="K105" s="4">
        <v>0.0682</v>
      </c>
      <c r="P105" s="6">
        <v>135</v>
      </c>
    </row>
    <row r="106" ht="17" customHeight="1">
      <c r="A106" s="0">
        <v>131</v>
      </c>
      <c r="B106" s="0" t="inlineStr">
        <is>
          <t>P033</t>
        </is>
      </c>
      <c r="C106" s="0" t="inlineStr">
        <is>
          <t>2026-10-02 16:43:56.152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Failed</t>
        </is>
      </c>
      <c r="G106" s="0" t="inlineStr">
        <is>
          <t>Normal</t>
        </is>
      </c>
      <c r="H106" s="4">
        <v>132.6286</v>
      </c>
      <c r="P106" s="0">
        <v>136</v>
      </c>
    </row>
    <row r="107" ht="17" customHeight="1">
      <c r="A107" s="6">
        <v>132</v>
      </c>
      <c r="B107" s="6" t="inlineStr">
        <is>
          <t>P033</t>
        </is>
      </c>
      <c r="C107" s="6" t="inlineStr">
        <is>
          <t>2026-10-02 16:43:57.152</t>
        </is>
      </c>
      <c r="D107" s="6" t="inlineStr">
        <is>
          <t>Danniel</t>
        </is>
      </c>
      <c r="E107" s="6" t="inlineStr">
        <is>
          <t>PlayerHit</t>
        </is>
      </c>
      <c r="F107" s="6" t="inlineStr">
        <is>
          <t>Failed</t>
        </is>
      </c>
      <c r="G107" s="6" t="inlineStr">
        <is>
          <t>Normal</t>
        </is>
      </c>
      <c r="H107" s="4">
        <v>133.6278</v>
      </c>
      <c r="P107" s="6">
        <v>137</v>
      </c>
    </row>
    <row r="108" ht="17" customHeight="1">
      <c r="A108" s="0">
        <v>133</v>
      </c>
      <c r="B108" s="0" t="inlineStr">
        <is>
          <t>P033</t>
        </is>
      </c>
      <c r="C108" s="0" t="inlineStr">
        <is>
          <t>2026-10-02 16:43:57.331</t>
        </is>
      </c>
      <c r="D108" s="0" t="inlineStr">
        <is>
          <t>Danniel</t>
        </is>
      </c>
      <c r="E108" s="0" t="inlineStr">
        <is>
          <t>PlayerHit</t>
        </is>
      </c>
      <c r="F108" s="0" t="inlineStr">
        <is>
          <t>Failed</t>
        </is>
      </c>
      <c r="G108" s="0" t="inlineStr">
        <is>
          <t>Normal</t>
        </is>
      </c>
      <c r="H108" s="4">
        <v>133.8083</v>
      </c>
      <c r="P108" s="0">
        <v>138</v>
      </c>
    </row>
    <row r="109" ht="17" customHeight="1">
      <c r="A109" s="6">
        <v>137</v>
      </c>
      <c r="B109" s="6" t="inlineStr">
        <is>
          <t>P033</t>
        </is>
      </c>
      <c r="C109" s="6" t="inlineStr">
        <is>
          <t>2026-10-02 16:43:58.054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Success</t>
        </is>
      </c>
      <c r="G109" s="6" t="inlineStr">
        <is>
          <t>Normal</t>
        </is>
      </c>
      <c r="H109" s="4">
        <v>133.76</v>
      </c>
      <c r="I109" s="4">
        <v>133.5864</v>
      </c>
      <c r="J109" s="4">
        <v>-0.1736</v>
      </c>
      <c r="K109" s="4">
        <v>0.1736</v>
      </c>
      <c r="P109" s="6">
        <v>142</v>
      </c>
    </row>
    <row r="110" ht="17" customHeight="1">
      <c r="A110" s="0">
        <v>138</v>
      </c>
      <c r="B110" s="0" t="inlineStr">
        <is>
          <t>P033</t>
        </is>
      </c>
      <c r="C110" s="0" t="inlineStr">
        <is>
          <t>2026-10-02 16:43:58.608</t>
        </is>
      </c>
      <c r="D110" s="0" t="inlineStr">
        <is>
          <t>Danniel</t>
        </is>
      </c>
      <c r="E110" s="0" t="inlineStr">
        <is>
          <t>PlayerHit</t>
        </is>
      </c>
      <c r="F110" s="0" t="inlineStr">
        <is>
          <t>Failed</t>
        </is>
      </c>
      <c r="G110" s="0" t="inlineStr">
        <is>
          <t>Easy</t>
        </is>
      </c>
      <c r="H110" s="4">
        <v>135.0855</v>
      </c>
      <c r="P110" s="0">
        <v>143</v>
      </c>
    </row>
    <row r="111" ht="17" customHeight="1">
      <c r="A111" s="6">
        <v>140</v>
      </c>
      <c r="B111" s="6" t="inlineStr">
        <is>
          <t>P033</t>
        </is>
      </c>
      <c r="C111" s="6" t="inlineStr">
        <is>
          <t>2026-10-02 16:44:01.539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Success</t>
        </is>
      </c>
      <c r="G111" s="6" t="inlineStr">
        <is>
          <t>Easy</t>
        </is>
      </c>
      <c r="H111" s="4">
        <v>137.6</v>
      </c>
      <c r="I111" s="4">
        <v>137.5432</v>
      </c>
      <c r="J111" s="4">
        <v>-0.0568</v>
      </c>
      <c r="K111" s="4">
        <v>0.0568</v>
      </c>
      <c r="P111" s="6">
        <v>145</v>
      </c>
    </row>
    <row r="112" ht="17" customHeight="1">
      <c r="A112" s="0">
        <v>142</v>
      </c>
      <c r="B112" s="0" t="inlineStr">
        <is>
          <t>P033</t>
        </is>
      </c>
      <c r="C112" s="0" t="inlineStr">
        <is>
          <t>2026-10-02 16:44:02.372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Failed</t>
        </is>
      </c>
      <c r="G112" s="0" t="inlineStr">
        <is>
          <t>Easy</t>
        </is>
      </c>
      <c r="H112" s="4">
        <v>138.8484</v>
      </c>
      <c r="P112" s="0">
        <v>147</v>
      </c>
    </row>
    <row r="113" ht="17" customHeight="1">
      <c r="A113" s="6">
        <v>143</v>
      </c>
      <c r="B113" s="6" t="inlineStr">
        <is>
          <t>P033</t>
        </is>
      </c>
      <c r="C113" s="6" t="inlineStr">
        <is>
          <t>2026-10-02 16:44:03.081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Success</t>
        </is>
      </c>
      <c r="G113" s="6" t="inlineStr">
        <is>
          <t>Easy</t>
        </is>
      </c>
      <c r="H113" s="4">
        <v>139.136</v>
      </c>
      <c r="I113" s="4">
        <v>139.0427</v>
      </c>
      <c r="J113" s="4">
        <v>-0.0933</v>
      </c>
      <c r="K113" s="4">
        <v>0.0933</v>
      </c>
      <c r="P113" s="6">
        <v>148</v>
      </c>
    </row>
    <row r="114" ht="17" customHeight="1">
      <c r="A114" s="0">
        <v>144</v>
      </c>
      <c r="B114" s="0" t="inlineStr">
        <is>
          <t>P033</t>
        </is>
      </c>
      <c r="C114" s="0" t="inlineStr">
        <is>
          <t>2026-10-02 16:44:04.191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H114" s="4">
        <v>139.904</v>
      </c>
      <c r="I114" s="4">
        <v>140.0847</v>
      </c>
      <c r="J114" s="4">
        <v>0.1807</v>
      </c>
      <c r="K114" s="4">
        <v>0.1807</v>
      </c>
      <c r="P114" s="0">
        <v>149</v>
      </c>
    </row>
    <row r="115" ht="17" customHeight="1">
      <c r="A115" s="6">
        <v>145</v>
      </c>
      <c r="B115" s="6" t="inlineStr">
        <is>
          <t>P033</t>
        </is>
      </c>
      <c r="C115" s="6" t="inlineStr">
        <is>
          <t>2026-10-02 16:44:05.414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Failed</t>
        </is>
      </c>
      <c r="G115" s="6" t="inlineStr">
        <is>
          <t>Easy</t>
        </is>
      </c>
      <c r="H115" s="4">
        <v>141.8907</v>
      </c>
      <c r="P115" s="6">
        <v>150</v>
      </c>
    </row>
    <row r="116" ht="17" customHeight="1">
      <c r="A116" s="0">
        <v>146</v>
      </c>
      <c r="B116" s="0" t="inlineStr">
        <is>
          <t>P033</t>
        </is>
      </c>
      <c r="C116" s="0" t="inlineStr">
        <is>
          <t>2026-10-02 16:44:08.541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Failed</t>
        </is>
      </c>
      <c r="G116" s="0" t="inlineStr">
        <is>
          <t>Easy</t>
        </is>
      </c>
      <c r="H116" s="4">
        <v>145.0163</v>
      </c>
      <c r="P116" s="0">
        <v>151</v>
      </c>
    </row>
    <row r="117" ht="17" customHeight="1">
      <c r="A117" s="6">
        <v>147</v>
      </c>
      <c r="B117" s="6" t="inlineStr">
        <is>
          <t>P033</t>
        </is>
      </c>
      <c r="C117" s="6" t="inlineStr">
        <is>
          <t>2026-10-02 16:44:11.707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H117" s="4">
        <v>148.1838</v>
      </c>
      <c r="P117" s="6">
        <v>152</v>
      </c>
    </row>
    <row r="118" ht="17" customHeight="1">
      <c r="A118" s="0">
        <v>149</v>
      </c>
      <c r="B118" s="0" t="inlineStr">
        <is>
          <t>P033</t>
        </is>
      </c>
      <c r="C118" s="0" t="inlineStr">
        <is>
          <t>2026-10-02 16:44:12.041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Success</t>
        </is>
      </c>
      <c r="G118" s="0" t="inlineStr">
        <is>
          <t>Easy</t>
        </is>
      </c>
      <c r="H118" s="4">
        <v>147.584</v>
      </c>
      <c r="I118" s="4">
        <v>147.6144</v>
      </c>
      <c r="J118" s="4">
        <v>0.0304</v>
      </c>
      <c r="K118" s="4">
        <v>0.0304</v>
      </c>
      <c r="P118" s="0">
        <v>154</v>
      </c>
    </row>
    <row r="119" ht="17" customHeight="1">
      <c r="A119" s="6">
        <v>150</v>
      </c>
      <c r="B119" s="6" t="inlineStr">
        <is>
          <t>P033</t>
        </is>
      </c>
      <c r="C119" s="6" t="inlineStr">
        <is>
          <t>2026-10-02 16:44:14.652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150.272</v>
      </c>
      <c r="I119" s="4">
        <v>150.4483</v>
      </c>
      <c r="J119" s="4">
        <v>0.1763</v>
      </c>
      <c r="K119" s="4">
        <v>0.1763</v>
      </c>
      <c r="P119" s="6">
        <v>155</v>
      </c>
    </row>
    <row r="120" ht="17" customHeight="1">
      <c r="A120" s="0">
        <v>151</v>
      </c>
      <c r="B120" s="0" t="inlineStr">
        <is>
          <t>P033</t>
        </is>
      </c>
      <c r="C120" s="0" t="inlineStr">
        <is>
          <t>2026-10-02 16:44:15.014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Failed</t>
        </is>
      </c>
      <c r="G120" s="0" t="inlineStr">
        <is>
          <t>Easy</t>
        </is>
      </c>
      <c r="H120" s="4">
        <v>151.4899</v>
      </c>
      <c r="P120" s="0">
        <v>156</v>
      </c>
    </row>
    <row r="121" ht="17" customHeight="1">
      <c r="A121" s="6">
        <v>152</v>
      </c>
      <c r="B121" s="6" t="inlineStr">
        <is>
          <t>P033</t>
        </is>
      </c>
      <c r="C121" s="6" t="inlineStr">
        <is>
          <t>2026-10-02 16:44:16.069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Success</t>
        </is>
      </c>
      <c r="G121" s="6" t="inlineStr">
        <is>
          <t>Easy</t>
        </is>
      </c>
      <c r="H121" s="4">
        <v>151.808</v>
      </c>
      <c r="I121" s="4">
        <v>151.6982</v>
      </c>
      <c r="J121" s="4">
        <v>-0.1098</v>
      </c>
      <c r="K121" s="4">
        <v>0.1098</v>
      </c>
      <c r="P121" s="6">
        <v>157</v>
      </c>
    </row>
    <row r="122" ht="17" customHeight="1">
      <c r="A122" s="0">
        <v>153</v>
      </c>
      <c r="B122" s="0" t="inlineStr">
        <is>
          <t>P033</t>
        </is>
      </c>
      <c r="C122" s="0" t="inlineStr">
        <is>
          <t>2026-10-02 16:44:16.444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Missed</t>
        </is>
      </c>
      <c r="G122" s="0" t="inlineStr">
        <is>
          <t>Normal</t>
        </is>
      </c>
      <c r="H122" s="4">
        <v>152.9205</v>
      </c>
      <c r="P122" s="0">
        <v>158</v>
      </c>
    </row>
    <row r="123" ht="17" customHeight="1">
      <c r="A123" s="6">
        <v>154</v>
      </c>
      <c r="B123" s="6" t="inlineStr">
        <is>
          <t>P033</t>
        </is>
      </c>
      <c r="C123" s="6" t="inlineStr">
        <is>
          <t>2026-10-02 16:44:16.444</t>
        </is>
      </c>
      <c r="D123" s="6" t="inlineStr">
        <is>
          <t>Danniel</t>
        </is>
      </c>
      <c r="E123" s="6" t="inlineStr">
        <is>
          <t>GunShoot</t>
        </is>
      </c>
      <c r="F123" s="6" t="inlineStr">
        <is>
          <t>Missed</t>
        </is>
      </c>
      <c r="G123" s="6" t="inlineStr">
        <is>
          <t>Normal</t>
        </is>
      </c>
      <c r="H123" s="4">
        <v>152.9205</v>
      </c>
      <c r="P123" s="6">
        <v>159</v>
      </c>
    </row>
    <row r="124" ht="17" customHeight="1">
      <c r="A124" s="0">
        <v>155</v>
      </c>
      <c r="B124" s="0" t="inlineStr">
        <is>
          <t>P033</t>
        </is>
      </c>
      <c r="C124" s="0" t="inlineStr">
        <is>
          <t>2026-10-02 16:44:18.373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Failed</t>
        </is>
      </c>
      <c r="G124" s="0" t="inlineStr">
        <is>
          <t>Easy</t>
        </is>
      </c>
      <c r="H124" s="4">
        <v>154.8491</v>
      </c>
      <c r="P124" s="0">
        <v>160</v>
      </c>
    </row>
    <row r="125" ht="17" customHeight="1">
      <c r="A125" s="6">
        <v>157</v>
      </c>
      <c r="B125" s="6" t="inlineStr">
        <is>
          <t>P033</t>
        </is>
      </c>
      <c r="C125" s="6" t="inlineStr">
        <is>
          <t>2026-10-02 16:44:28.968</t>
        </is>
      </c>
      <c r="D125" s="6" t="inlineStr">
        <is>
          <t>Jeremy</t>
        </is>
      </c>
      <c r="E125" s="6" t="inlineStr">
        <is>
          <t>SwordCut</t>
        </is>
      </c>
      <c r="F125" s="6" t="inlineStr">
        <is>
          <t>Success</t>
        </is>
      </c>
      <c r="G125" s="6" t="inlineStr">
        <is>
          <t>Easy</t>
        </is>
      </c>
      <c r="H125" s="4">
        <v>165.4073</v>
      </c>
      <c r="I125" s="4">
        <v>165.4444</v>
      </c>
      <c r="J125" s="4">
        <v>0.0371</v>
      </c>
      <c r="K125" s="4">
        <v>0.0371</v>
      </c>
      <c r="N125" s="4">
        <v>1.0</v>
      </c>
      <c r="O125" s="6" t="b">
        <v>1</v>
      </c>
      <c r="P125" s="6">
        <v>162</v>
      </c>
    </row>
    <row r="126" ht="17" customHeight="1">
      <c r="A126" s="0">
        <v>159</v>
      </c>
      <c r="B126" s="0" t="inlineStr">
        <is>
          <t>P033</t>
        </is>
      </c>
      <c r="C126" s="0" t="inlineStr">
        <is>
          <t>2026-10-02 16:44:31.355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Success</t>
        </is>
      </c>
      <c r="G126" s="0" t="inlineStr">
        <is>
          <t>Easy</t>
        </is>
      </c>
      <c r="H126" s="4">
        <v>167.7061</v>
      </c>
      <c r="I126" s="4">
        <v>167.8327</v>
      </c>
      <c r="J126" s="4">
        <v>0.1266</v>
      </c>
      <c r="K126" s="4">
        <v>0.1266</v>
      </c>
      <c r="N126" s="4">
        <v>1.0</v>
      </c>
      <c r="O126" s="0" t="b">
        <v>1</v>
      </c>
      <c r="P126" s="0">
        <v>164</v>
      </c>
    </row>
    <row r="127" ht="17" customHeight="1">
      <c r="A127" s="6">
        <v>160</v>
      </c>
      <c r="B127" s="6" t="inlineStr">
        <is>
          <t>P033</t>
        </is>
      </c>
      <c r="C127" s="6" t="inlineStr">
        <is>
          <t>2026-10-02 16:44:33.716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Failed</t>
        </is>
      </c>
      <c r="G127" s="6" t="inlineStr">
        <is>
          <t>Easy</t>
        </is>
      </c>
      <c r="H127" s="4">
        <v>170.0049</v>
      </c>
      <c r="I127" s="4">
        <v>170.1935</v>
      </c>
      <c r="J127" s="4">
        <v>0.1886</v>
      </c>
      <c r="K127" s="4">
        <v>0.1886</v>
      </c>
      <c r="N127" s="4">
        <v>0.0</v>
      </c>
      <c r="O127" s="6" t="b">
        <v>1</v>
      </c>
      <c r="P127" s="6">
        <v>165</v>
      </c>
    </row>
    <row r="128" ht="17" customHeight="1">
      <c r="A128" s="0">
        <v>161</v>
      </c>
      <c r="B128" s="0" t="inlineStr">
        <is>
          <t>P033</t>
        </is>
      </c>
      <c r="C128" s="0" t="inlineStr">
        <is>
          <t>2026-10-02 16:44:36.079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Failed</t>
        </is>
      </c>
      <c r="G128" s="0" t="inlineStr">
        <is>
          <t>Easy</t>
        </is>
      </c>
      <c r="H128" s="4">
        <v>172.3037</v>
      </c>
      <c r="I128" s="4">
        <v>172.5549</v>
      </c>
      <c r="J128" s="4">
        <v>0.2513</v>
      </c>
      <c r="K128" s="4">
        <v>0.2513</v>
      </c>
      <c r="N128" s="4">
        <v>1.0</v>
      </c>
      <c r="O128" s="0" t="b">
        <v>0</v>
      </c>
      <c r="P128" s="0">
        <v>166</v>
      </c>
    </row>
    <row r="129" ht="17" customHeight="1">
      <c r="A129" s="6">
        <v>162</v>
      </c>
      <c r="B129" s="6" t="inlineStr">
        <is>
          <t>P033</t>
        </is>
      </c>
      <c r="C129" s="6" t="inlineStr">
        <is>
          <t>2026-10-02 16:44:38.760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Missed</t>
        </is>
      </c>
      <c r="G129" s="6" t="inlineStr">
        <is>
          <t>Easy</t>
        </is>
      </c>
      <c r="H129" s="4">
        <v>174.6024</v>
      </c>
      <c r="P129" s="6">
        <v>167</v>
      </c>
    </row>
    <row r="130" ht="17" customHeight="1">
      <c r="A130" s="0">
        <v>164</v>
      </c>
      <c r="B130" s="0" t="inlineStr">
        <is>
          <t>P033</t>
        </is>
      </c>
      <c r="C130" s="0" t="inlineStr">
        <is>
          <t>2026-10-02 16:44:40.538</t>
        </is>
      </c>
      <c r="D130" s="0" t="inlineStr">
        <is>
          <t>Jeremy</t>
        </is>
      </c>
      <c r="E130" s="0" t="inlineStr">
        <is>
          <t>SwordCut</t>
        </is>
      </c>
      <c r="F130" s="0" t="inlineStr">
        <is>
          <t>Success</t>
        </is>
      </c>
      <c r="G130" s="0" t="inlineStr">
        <is>
          <t>Easy</t>
        </is>
      </c>
      <c r="H130" s="4">
        <v>176.9012</v>
      </c>
      <c r="I130" s="4">
        <v>177.0141</v>
      </c>
      <c r="J130" s="4">
        <v>0.1128</v>
      </c>
      <c r="K130" s="4">
        <v>0.1128</v>
      </c>
      <c r="N130" s="4">
        <v>1.0</v>
      </c>
      <c r="O130" s="0" t="b">
        <v>1</v>
      </c>
      <c r="P130" s="0">
        <v>169</v>
      </c>
    </row>
    <row r="131" ht="17" customHeight="1">
      <c r="A131" s="6">
        <v>165</v>
      </c>
      <c r="B131" s="6" t="inlineStr">
        <is>
          <t>P033</t>
        </is>
      </c>
      <c r="C131" s="6" t="inlineStr">
        <is>
          <t>2026-10-02 16:44:42.830</t>
        </is>
      </c>
      <c r="D131" s="6" t="inlineStr">
        <is>
          <t>Jeremy</t>
        </is>
      </c>
      <c r="E131" s="6" t="inlineStr">
        <is>
          <t>SwordCut</t>
        </is>
      </c>
      <c r="F131" s="6" t="inlineStr">
        <is>
          <t>Failed</t>
        </is>
      </c>
      <c r="G131" s="6" t="inlineStr">
        <is>
          <t>Easy</t>
        </is>
      </c>
      <c r="H131" s="4">
        <v>179.2</v>
      </c>
      <c r="I131" s="4">
        <v>179.3056</v>
      </c>
      <c r="J131" s="4">
        <v>0.1056</v>
      </c>
      <c r="K131" s="4">
        <v>0.1056</v>
      </c>
      <c r="N131" s="4">
        <v>0.0</v>
      </c>
      <c r="O131" s="6" t="b">
        <v>1</v>
      </c>
      <c r="P131" s="6">
        <v>170</v>
      </c>
    </row>
    <row r="132" ht="17" customHeight="1">
      <c r="A132" s="0">
        <v>166</v>
      </c>
      <c r="B132" s="0" t="inlineStr">
        <is>
          <t>P033</t>
        </is>
      </c>
      <c r="C132" s="0" t="inlineStr">
        <is>
          <t>2026-10-02 16:44:45.217</t>
        </is>
      </c>
      <c r="D132" s="0" t="inlineStr">
        <is>
          <t>Jeremy</t>
        </is>
      </c>
      <c r="E132" s="0" t="inlineStr">
        <is>
          <t>SwordCut</t>
        </is>
      </c>
      <c r="F132" s="0" t="inlineStr">
        <is>
          <t>Success</t>
        </is>
      </c>
      <c r="G132" s="0" t="inlineStr">
        <is>
          <t>Easy</t>
        </is>
      </c>
      <c r="H132" s="4">
        <v>181.4988</v>
      </c>
      <c r="I132" s="4">
        <v>181.6936</v>
      </c>
      <c r="J132" s="4">
        <v>0.1948</v>
      </c>
      <c r="K132" s="4">
        <v>0.1948</v>
      </c>
      <c r="N132" s="4">
        <v>1.0</v>
      </c>
      <c r="O132" s="0" t="b">
        <v>1</v>
      </c>
      <c r="P132" s="0">
        <v>171</v>
      </c>
    </row>
  </sheetData>
  <autoFilter ref="A1:P132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8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9</v>
      </c>
      <c r="B2" s="0" t="inlineStr">
        <is>
          <t>2026-10-02 16:41:46.259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14</v>
      </c>
    </row>
    <row r="3" ht="17" customHeight="1">
      <c r="A3" s="6">
        <v>25</v>
      </c>
      <c r="B3" s="6" t="inlineStr">
        <is>
          <t>2026-10-02 16:41:53.618</t>
        </is>
      </c>
      <c r="C3" s="6" t="inlineStr">
        <is>
          <t>Alex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1.0</v>
      </c>
      <c r="I3" s="6">
        <v>30</v>
      </c>
    </row>
    <row r="4" ht="17" customHeight="1">
      <c r="A4" s="0">
        <v>32</v>
      </c>
      <c r="B4" s="0" t="inlineStr">
        <is>
          <t>2026-10-02 16:41:55.910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37</v>
      </c>
    </row>
    <row r="5" ht="17" customHeight="1">
      <c r="A5" s="6">
        <v>68</v>
      </c>
      <c r="B5" s="6" t="inlineStr">
        <is>
          <t>2026-10-02 16:42:35.097</t>
        </is>
      </c>
      <c r="C5" s="6" t="inlineStr">
        <is>
          <t>Joaquin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1.0</v>
      </c>
      <c r="I5" s="6">
        <v>73</v>
      </c>
    </row>
    <row r="6" ht="17" customHeight="1">
      <c r="A6" s="0">
        <v>92</v>
      </c>
      <c r="B6" s="0" t="inlineStr">
        <is>
          <t>2026-10-02 16:43:09.608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Hard</t>
        </is>
      </c>
      <c r="F6" s="0" t="inlineStr">
        <is>
          <t>High recent performance</t>
        </is>
      </c>
      <c r="H6" s="3">
        <v>0.88</v>
      </c>
      <c r="I6" s="0">
        <v>97</v>
      </c>
    </row>
    <row r="7" ht="17" customHeight="1">
      <c r="A7" s="6">
        <v>112</v>
      </c>
      <c r="B7" s="6" t="inlineStr">
        <is>
          <t>2026-10-02 16:43:30.896</t>
        </is>
      </c>
      <c r="C7" s="6" t="inlineStr">
        <is>
          <t>JuanAndres</t>
        </is>
      </c>
      <c r="D7" s="6" t="inlineStr">
        <is>
          <t>Hard</t>
        </is>
      </c>
      <c r="E7" s="6" t="inlineStr">
        <is>
          <t>Normal</t>
        </is>
      </c>
      <c r="F7" s="6" t="inlineStr">
        <is>
          <t>PlayerState: Overloaded</t>
        </is>
      </c>
      <c r="G7" s="3">
        <v>0.0</v>
      </c>
      <c r="I7" s="6">
        <v>117</v>
      </c>
    </row>
    <row r="8" ht="17" customHeight="1">
      <c r="A8" s="0">
        <v>135</v>
      </c>
      <c r="B8" s="0" t="inlineStr">
        <is>
          <t>2026-10-02 16:43:57.333</t>
        </is>
      </c>
      <c r="C8" s="0" t="inlineStr">
        <is>
          <t>Danniel</t>
        </is>
      </c>
      <c r="D8" s="0" t="inlineStr">
        <is>
          <t>Normal</t>
        </is>
      </c>
      <c r="E8" s="0" t="inlineStr">
        <is>
          <t>Easy</t>
        </is>
      </c>
      <c r="F8" s="0" t="inlineStr">
        <is>
          <t>PlayerState: Overloaded</t>
        </is>
      </c>
      <c r="G8" s="3">
        <v>0.6</v>
      </c>
      <c r="I8" s="0">
        <v>140</v>
      </c>
    </row>
  </sheetData>
  <autoFilter ref="A1:I8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3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16:41:43.524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16:41:44.426</t>
        </is>
      </c>
      <c r="C3" s="6" t="inlineStr">
        <is>
          <t>Engaged</t>
        </is>
      </c>
      <c r="D3" s="6">
        <v>8</v>
      </c>
    </row>
    <row r="4" ht="17" customHeight="1">
      <c r="A4" s="0">
        <v>8</v>
      </c>
      <c r="B4" s="0" t="inlineStr">
        <is>
          <t>2026-10-02 16:41:46.259</t>
        </is>
      </c>
      <c r="C4" s="0" t="inlineStr">
        <is>
          <t>Overloaded</t>
        </is>
      </c>
      <c r="D4" s="0">
        <v>13</v>
      </c>
    </row>
    <row r="5" ht="17" customHeight="1">
      <c r="A5" s="6">
        <v>10</v>
      </c>
      <c r="B5" s="6" t="inlineStr">
        <is>
          <t>2026-10-02 16:41:46.260</t>
        </is>
      </c>
      <c r="C5" s="6" t="inlineStr">
        <is>
          <t>Engaged</t>
        </is>
      </c>
      <c r="D5" s="6">
        <v>15</v>
      </c>
    </row>
    <row r="6" ht="17" customHeight="1">
      <c r="A6" s="0">
        <v>16</v>
      </c>
      <c r="B6" s="0" t="inlineStr">
        <is>
          <t>2026-10-02 16:41:49.036</t>
        </is>
      </c>
      <c r="C6" s="0" t="inlineStr">
        <is>
          <t>Overloaded</t>
        </is>
      </c>
      <c r="D6" s="0">
        <v>21</v>
      </c>
    </row>
    <row r="7" ht="17" customHeight="1">
      <c r="A7" s="6">
        <v>22</v>
      </c>
      <c r="B7" s="6" t="inlineStr">
        <is>
          <t>2026-10-02 16:41:52.104</t>
        </is>
      </c>
      <c r="C7" s="6" t="inlineStr">
        <is>
          <t>Engaged</t>
        </is>
      </c>
      <c r="D7" s="6">
        <v>27</v>
      </c>
    </row>
    <row r="8" ht="17" customHeight="1">
      <c r="A8" s="0">
        <v>31</v>
      </c>
      <c r="B8" s="0" t="inlineStr">
        <is>
          <t>2026-10-02 16:41:55.910</t>
        </is>
      </c>
      <c r="C8" s="0" t="inlineStr">
        <is>
          <t>Overloaded</t>
        </is>
      </c>
      <c r="D8" s="0">
        <v>36</v>
      </c>
    </row>
    <row r="9" ht="17" customHeight="1">
      <c r="A9" s="6">
        <v>33</v>
      </c>
      <c r="B9" s="6" t="inlineStr">
        <is>
          <t>2026-10-02 16:41:55.923</t>
        </is>
      </c>
      <c r="C9" s="6" t="inlineStr">
        <is>
          <t>Engaged</t>
        </is>
      </c>
      <c r="D9" s="6">
        <v>38</v>
      </c>
    </row>
    <row r="10" ht="17" customHeight="1">
      <c r="A10" s="0">
        <v>39</v>
      </c>
      <c r="B10" s="0" t="inlineStr">
        <is>
          <t>2026-10-02 16:41:58.215</t>
        </is>
      </c>
      <c r="C10" s="0" t="inlineStr">
        <is>
          <t>Overloaded</t>
        </is>
      </c>
      <c r="D10" s="0">
        <v>44</v>
      </c>
    </row>
    <row r="11" ht="17" customHeight="1">
      <c r="A11" s="6">
        <v>53</v>
      </c>
      <c r="B11" s="6" t="inlineStr">
        <is>
          <t>2026-10-02 16:42:08.964</t>
        </is>
      </c>
      <c r="C11" s="6" t="inlineStr">
        <is>
          <t>Engaged</t>
        </is>
      </c>
      <c r="D11" s="6">
        <v>58</v>
      </c>
    </row>
    <row r="12" ht="17" customHeight="1">
      <c r="A12" s="0">
        <v>74</v>
      </c>
      <c r="B12" s="0" t="inlineStr">
        <is>
          <t>2026-10-02 16:42:49.956</t>
        </is>
      </c>
      <c r="C12" s="0" t="inlineStr">
        <is>
          <t>Idle</t>
        </is>
      </c>
      <c r="D12" s="0">
        <v>79</v>
      </c>
    </row>
    <row r="13" ht="17" customHeight="1">
      <c r="A13" s="6">
        <v>77</v>
      </c>
      <c r="B13" s="6" t="inlineStr">
        <is>
          <t>2026-10-02 16:42:51.373</t>
        </is>
      </c>
      <c r="C13" s="6" t="inlineStr">
        <is>
          <t>Engaged</t>
        </is>
      </c>
      <c r="D13" s="6">
        <v>82</v>
      </c>
    </row>
    <row r="14" ht="17" customHeight="1">
      <c r="A14" s="0">
        <v>82</v>
      </c>
      <c r="B14" s="0" t="inlineStr">
        <is>
          <t>2026-10-02 16:42:59.217</t>
        </is>
      </c>
      <c r="C14" s="0" t="inlineStr">
        <is>
          <t>Idle</t>
        </is>
      </c>
      <c r="D14" s="0">
        <v>87</v>
      </c>
    </row>
    <row r="15" ht="17" customHeight="1">
      <c r="A15" s="6">
        <v>84</v>
      </c>
      <c r="B15" s="6" t="inlineStr">
        <is>
          <t>2026-10-02 16:42:59.497</t>
        </is>
      </c>
      <c r="C15" s="6" t="inlineStr">
        <is>
          <t>Engaged</t>
        </is>
      </c>
      <c r="D15" s="6">
        <v>89</v>
      </c>
    </row>
    <row r="16" ht="17" customHeight="1">
      <c r="A16" s="0">
        <v>103</v>
      </c>
      <c r="B16" s="0" t="inlineStr">
        <is>
          <t>2026-10-02 16:43:25.838</t>
        </is>
      </c>
      <c r="C16" s="0" t="inlineStr">
        <is>
          <t>Idle</t>
        </is>
      </c>
      <c r="D16" s="0">
        <v>108</v>
      </c>
    </row>
    <row r="17" ht="17" customHeight="1">
      <c r="A17" s="6">
        <v>106</v>
      </c>
      <c r="B17" s="6" t="inlineStr">
        <is>
          <t>2026-10-02 16:43:26.409</t>
        </is>
      </c>
      <c r="C17" s="6" t="inlineStr">
        <is>
          <t>Engaged</t>
        </is>
      </c>
      <c r="D17" s="6">
        <v>111</v>
      </c>
    </row>
    <row r="18" ht="17" customHeight="1">
      <c r="A18" s="0">
        <v>111</v>
      </c>
      <c r="B18" s="0" t="inlineStr">
        <is>
          <t>2026-10-02 16:43:30.895</t>
        </is>
      </c>
      <c r="C18" s="0" t="inlineStr">
        <is>
          <t>Overloaded</t>
        </is>
      </c>
      <c r="D18" s="0">
        <v>116</v>
      </c>
    </row>
    <row r="19" ht="17" customHeight="1">
      <c r="A19" s="6">
        <v>113</v>
      </c>
      <c r="B19" s="6" t="inlineStr">
        <is>
          <t>2026-10-02 16:43:30.896</t>
        </is>
      </c>
      <c r="C19" s="6" t="inlineStr">
        <is>
          <t>Engaged</t>
        </is>
      </c>
      <c r="D19" s="6">
        <v>118</v>
      </c>
    </row>
    <row r="20" ht="17" customHeight="1">
      <c r="A20" s="0">
        <v>118</v>
      </c>
      <c r="B20" s="0" t="inlineStr">
        <is>
          <t>2026-10-02 16:43:35.894</t>
        </is>
      </c>
      <c r="C20" s="0" t="inlineStr">
        <is>
          <t>Idle</t>
        </is>
      </c>
      <c r="D20" s="0">
        <v>123</v>
      </c>
    </row>
    <row r="21" ht="17" customHeight="1">
      <c r="A21" s="6">
        <v>128</v>
      </c>
      <c r="B21" s="6" t="inlineStr">
        <is>
          <t>2026-10-02 16:43:51.792</t>
        </is>
      </c>
      <c r="C21" s="6" t="inlineStr">
        <is>
          <t>Engaged</t>
        </is>
      </c>
      <c r="D21" s="6">
        <v>133</v>
      </c>
    </row>
    <row r="22" ht="17" customHeight="1">
      <c r="A22" s="0">
        <v>134</v>
      </c>
      <c r="B22" s="0" t="inlineStr">
        <is>
          <t>2026-10-02 16:43:57.333</t>
        </is>
      </c>
      <c r="C22" s="0" t="inlineStr">
        <is>
          <t>Overloaded</t>
        </is>
      </c>
      <c r="D22" s="0">
        <v>139</v>
      </c>
    </row>
    <row r="23" ht="17" customHeight="1">
      <c r="A23" s="6">
        <v>136</v>
      </c>
      <c r="B23" s="6" t="inlineStr">
        <is>
          <t>2026-10-02 16:43:57.333</t>
        </is>
      </c>
      <c r="C23" s="6" t="inlineStr">
        <is>
          <t>Engaged</t>
        </is>
      </c>
      <c r="D23" s="6">
        <v>141</v>
      </c>
    </row>
    <row r="24" ht="17" customHeight="1">
      <c r="A24" s="0">
        <v>139</v>
      </c>
      <c r="B24" s="0" t="inlineStr">
        <is>
          <t>2026-10-02 16:44:01.151</t>
        </is>
      </c>
      <c r="C24" s="0" t="inlineStr">
        <is>
          <t>Idle</t>
        </is>
      </c>
      <c r="D24" s="0">
        <v>144</v>
      </c>
    </row>
    <row r="25" ht="17" customHeight="1">
      <c r="A25" s="6">
        <v>141</v>
      </c>
      <c r="B25" s="6" t="inlineStr">
        <is>
          <t>2026-10-02 16:44:01.539</t>
        </is>
      </c>
      <c r="C25" s="6" t="inlineStr">
        <is>
          <t>Engaged</t>
        </is>
      </c>
      <c r="D25" s="6">
        <v>146</v>
      </c>
    </row>
    <row r="26" ht="17" customHeight="1">
      <c r="A26" s="0">
        <v>148</v>
      </c>
      <c r="B26" s="0" t="inlineStr">
        <is>
          <t>2026-10-02 16:44:11.707</t>
        </is>
      </c>
      <c r="C26" s="0" t="inlineStr">
        <is>
          <t>Overloaded</t>
        </is>
      </c>
      <c r="D26" s="0">
        <v>153</v>
      </c>
    </row>
    <row r="27" ht="17" customHeight="1">
      <c r="A27" s="6">
        <v>156</v>
      </c>
      <c r="B27" s="6" t="inlineStr">
        <is>
          <t>2026-10-02 16:44:23.373</t>
        </is>
      </c>
      <c r="C27" s="6" t="inlineStr">
        <is>
          <t>Idle</t>
        </is>
      </c>
      <c r="D27" s="6">
        <v>161</v>
      </c>
    </row>
    <row r="28" ht="17" customHeight="1">
      <c r="A28" s="0">
        <v>158</v>
      </c>
      <c r="B28" s="0" t="inlineStr">
        <is>
          <t>2026-10-02 16:44:28.968</t>
        </is>
      </c>
      <c r="C28" s="0" t="inlineStr">
        <is>
          <t>Engaged</t>
        </is>
      </c>
      <c r="D28" s="0">
        <v>163</v>
      </c>
    </row>
    <row r="29" ht="17" customHeight="1">
      <c r="A29" s="6">
        <v>163</v>
      </c>
      <c r="B29" s="6" t="inlineStr">
        <is>
          <t>2026-10-02 16:44:38.761</t>
        </is>
      </c>
      <c r="C29" s="6" t="inlineStr">
        <is>
          <t>Overloaded</t>
        </is>
      </c>
      <c r="D29" s="6">
        <v>168</v>
      </c>
    </row>
    <row r="30" ht="17" customHeight="1">
      <c r="A30" s="0">
        <v>167</v>
      </c>
      <c r="B30" s="0" t="inlineStr">
        <is>
          <t>2026-10-02 16:44:50.216</t>
        </is>
      </c>
      <c r="C30" s="0" t="inlineStr">
        <is>
          <t>Idle</t>
        </is>
      </c>
      <c r="D30" s="0">
        <v>172</v>
      </c>
    </row>
  </sheetData>
  <autoFilter ref="A1:D30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68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16:41:43.524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16:41:43.524 | PlayerState: Idle</t>
        </is>
      </c>
    </row>
    <row r="3" ht="17" customHeight="1">
      <c r="A3" s="6">
        <v>2</v>
      </c>
      <c r="B3" s="6" t="inlineStr">
        <is>
          <t>2026-10-02 16:41:44.426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Failed</t>
        </is>
      </c>
      <c r="G3" s="6" t="inlineStr">
        <is>
          <t>Normal</t>
        </is>
      </c>
      <c r="M3" s="6">
        <v>7</v>
      </c>
      <c r="N3" s="6" t="inlineStr">
        <is>
          <t>2026-10-02 16:41:44.426 | Minigame: Alex | Type: HammerHit | Outcome: Failed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16:41:44.426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16:41:44.426 | PlayerState: Engaged</t>
        </is>
      </c>
    </row>
    <row r="5" ht="17" customHeight="1">
      <c r="A5" s="6">
        <v>4</v>
      </c>
      <c r="B5" s="6" t="inlineStr">
        <is>
          <t>2026-10-02 16:41:44.454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0.0477</v>
      </c>
      <c r="M5" s="6">
        <v>9</v>
      </c>
      <c r="N5" s="6" t="inlineStr">
        <is>
          <t>2026-10-02 16:41:44.454 | Minigame: Alex | Type: HammerHit | Outcome: Success | Difficulty: Normal | ExpectedTime: 0.8960 | ActualTime: 0.9437 | TimingOffset: 0.0477 | TimingError: 0.0477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16:41:45.174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K6" s="4">
        <v>0.0123</v>
      </c>
      <c r="M6" s="0">
        <v>10</v>
      </c>
      <c r="N6" s="0" t="inlineStr">
        <is>
          <t>2026-10-02 16:41:45.174 | Minigame: Alex | Type: HammerHit | Outcome: Success | Difficulty: Normal | ExpectedTime: 1.6640 | ActualTime: 1.6517 | TimingOffset: -0.0123 | TimingError: 0.0123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16:41:45.189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K7" s="4">
        <v>0.0014</v>
      </c>
      <c r="M7" s="6">
        <v>11</v>
      </c>
      <c r="N7" s="6" t="inlineStr">
        <is>
          <t>2026-10-02 16:41:45.189 | Minigame: Alex | Type: HammerHit | Outcome: Failed | Difficulty: Normal | ExpectedTime: 1.6640 | ActualTime: 1.6654 | TimingOffset: 0.0014 | TimingError: 0.0014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16:41:46.259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M8" s="0">
        <v>12</v>
      </c>
      <c r="N8" s="0" t="inlineStr">
        <is>
          <t>2026-10-02 16:41:46.259 | Minigame: Alex | Type: HammerTouch | Outcome: Missed | Difficulty: Normal | ExpectedTime: 2.4320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16:41:46.259</t>
        </is>
      </c>
      <c r="C9" s="6" t="inlineStr">
        <is>
          <t>PlayerState</t>
        </is>
      </c>
      <c r="H9" s="6" t="inlineStr">
        <is>
          <t>Overloaded</t>
        </is>
      </c>
      <c r="M9" s="6">
        <v>13</v>
      </c>
      <c r="N9" s="6" t="inlineStr">
        <is>
          <t>2026-10-02 16:41:46.259 | PlayerState: Overloaded</t>
        </is>
      </c>
    </row>
    <row r="10" ht="17" customHeight="1">
      <c r="A10" s="0">
        <v>9</v>
      </c>
      <c r="B10" s="0" t="inlineStr">
        <is>
          <t>2026-10-02 16:41:46.259</t>
        </is>
      </c>
      <c r="C10" s="0" t="inlineStr">
        <is>
          <t>DifficultyChanged</t>
        </is>
      </c>
      <c r="D10" s="0" t="inlineStr">
        <is>
          <t>Alex</t>
        </is>
      </c>
      <c r="I10" s="0" t="inlineStr">
        <is>
          <t>Normal -&gt; Easy</t>
        </is>
      </c>
      <c r="J10" s="0" t="inlineStr">
        <is>
          <t>PlayerState: Overloaded</t>
        </is>
      </c>
      <c r="M10" s="0">
        <v>14</v>
      </c>
      <c r="N10" s="0" t="inlineStr">
        <is>
          <t>2026-10-02 16:41:46.259 | DifficultyChanged: Normal -&gt; Easy | Reason: PlayerState: Overloaded | Minigame: Alex | RecentSuccessRate: 0.50</t>
        </is>
      </c>
    </row>
    <row r="11" ht="17" customHeight="1">
      <c r="A11" s="6">
        <v>10</v>
      </c>
      <c r="B11" s="6" t="inlineStr">
        <is>
          <t>2026-10-02 16:41:46.260</t>
        </is>
      </c>
      <c r="C11" s="6" t="inlineStr">
        <is>
          <t>PlayerState</t>
        </is>
      </c>
      <c r="H11" s="6" t="inlineStr">
        <is>
          <t>Engaged</t>
        </is>
      </c>
      <c r="M11" s="6">
        <v>15</v>
      </c>
      <c r="N11" s="6" t="inlineStr">
        <is>
          <t>2026-10-02 16:41:46.260 | PlayerState: Engaged</t>
        </is>
      </c>
    </row>
    <row r="12" ht="17" customHeight="1">
      <c r="A12" s="0">
        <v>11</v>
      </c>
      <c r="B12" s="0" t="inlineStr">
        <is>
          <t>2026-10-02 16:41:47.035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Easy</t>
        </is>
      </c>
      <c r="M12" s="0">
        <v>16</v>
      </c>
      <c r="N12" s="0" t="inlineStr">
        <is>
          <t>2026-10-02 16:41:47.035 | Minigame: Alex | Type: HammerTouch | Outcome: Missed | Difficulty: Easy | ExpectedTime: 3.2000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16:41:47.037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Easy</t>
        </is>
      </c>
      <c r="M13" s="6">
        <v>17</v>
      </c>
      <c r="N13" s="6" t="inlineStr">
        <is>
          <t>2026-10-02 16:41:47.037 | Minigame: Alex | Type: HammerTouch | Outcome: Missed | Difficulty: Easy | ExpectedTime: 3.2000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16:41:47.481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Failed</t>
        </is>
      </c>
      <c r="G14" s="0" t="inlineStr">
        <is>
          <t>Easy</t>
        </is>
      </c>
      <c r="K14" s="4">
        <v>0.0113</v>
      </c>
      <c r="M14" s="0">
        <v>18</v>
      </c>
      <c r="N14" s="0" t="inlineStr">
        <is>
          <t>2026-10-02 16:41:47.481 | Minigame: Alex | Type: HammerHit | Outcome: Failed | Difficulty: Easy | ExpectedTime: 3.9680 | ActualTime: 3.9567 | TimingOffset: -0.0113 | TimingError: 0.0113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16:41:47.481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M15" s="6">
        <v>19</v>
      </c>
      <c r="N15" s="6" t="inlineStr">
        <is>
          <t>2026-10-02 16:41:47.481 | Minigame: Alex | Type: HammerHit | Outcome: Failed | Difficulty: Easy | ExpectedTime: 3.9680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16:41:49.035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K16" s="4">
        <v>0.0207</v>
      </c>
      <c r="M16" s="0">
        <v>20</v>
      </c>
      <c r="N16" s="0" t="inlineStr">
        <is>
          <t>2026-10-02 16:41:49.035 | Minigame: Alex | Type: HammerHit | Outcome: Success | Difficulty: Easy | ExpectedTime: 5.5040 | ActualTime: 5.5247 | TimingOffset: 0.0207 | TimingError: 0.0207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16:41:49.036</t>
        </is>
      </c>
      <c r="C17" s="6" t="inlineStr">
        <is>
          <t>PlayerState</t>
        </is>
      </c>
      <c r="H17" s="6" t="inlineStr">
        <is>
          <t>Overloaded</t>
        </is>
      </c>
      <c r="M17" s="6">
        <v>21</v>
      </c>
      <c r="N17" s="6" t="inlineStr">
        <is>
          <t>2026-10-02 16:41:49.036 | PlayerState: Overloaded</t>
        </is>
      </c>
    </row>
    <row r="18" ht="17" customHeight="1">
      <c r="A18" s="0">
        <v>17</v>
      </c>
      <c r="B18" s="0" t="inlineStr">
        <is>
          <t>2026-10-02 16:41:49.036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K18" s="4">
        <v>0.0207</v>
      </c>
      <c r="M18" s="0">
        <v>22</v>
      </c>
      <c r="N18" s="0" t="inlineStr">
        <is>
          <t>2026-10-02 16:41:49.036 | Minigame: Alex | Type: HammerHit | Outcome: Success | Difficulty: Easy | ExpectedTime: 5.5040 | ActualTime: 5.5247 | TimingOffset: 0.0207 | TimingError: 0.0207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16:41:50.549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K19" s="4">
        <v>0.002</v>
      </c>
      <c r="M19" s="6">
        <v>23</v>
      </c>
      <c r="N19" s="6" t="inlineStr">
        <is>
          <t>2026-10-02 16:41:50.549 | Minigame: Alex | Type: HammerHit | Outcome: Success | Difficulty: Easy | ExpectedTime: 7.0400 | ActualTime: 7.0380 | TimingOffset: -0.0020 | TimingError: 0.0020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16:41:50.576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Easy</t>
        </is>
      </c>
      <c r="M20" s="0">
        <v>24</v>
      </c>
      <c r="N20" s="0" t="inlineStr">
        <is>
          <t>2026-10-02 16:41:50.576 | Minigame: Alex | Type: HammerHit | Outcome: Success | Difficulty: Easy | ExpectedTime: 7.0400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16:41:52.076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K21" s="4">
        <v>0.0108</v>
      </c>
      <c r="M21" s="6">
        <v>25</v>
      </c>
      <c r="N21" s="6" t="inlineStr">
        <is>
          <t>2026-10-02 16:41:52.076 | Minigame: Alex | Type: HammerHit | Outcome: Success | Difficulty: Easy | ExpectedTime: 8.5760 | ActualTime: 8.5652 | TimingOffset: -0.0108 | TimingError: 0.0108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16:41:52.103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Easy</t>
        </is>
      </c>
      <c r="K22" s="4">
        <v>0.0171</v>
      </c>
      <c r="M22" s="0">
        <v>26</v>
      </c>
      <c r="N22" s="0" t="inlineStr">
        <is>
          <t>2026-10-02 16:41:52.103 | Minigame: Alex | Type: HammerHit | Outcome: Success | Difficulty: Easy | ExpectedTime: 8.5760 | ActualTime: 8.5931 | TimingOffset: 0.0171 | TimingError: 0.0171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16:41:52.104</t>
        </is>
      </c>
      <c r="C23" s="6" t="inlineStr">
        <is>
          <t>PlayerState</t>
        </is>
      </c>
      <c r="H23" s="6" t="inlineStr">
        <is>
          <t>Engaged</t>
        </is>
      </c>
      <c r="M23" s="6">
        <v>27</v>
      </c>
      <c r="N23" s="6" t="inlineStr">
        <is>
          <t>2026-10-02 16:41:52.104 | PlayerState: Engaged</t>
        </is>
      </c>
    </row>
    <row r="24" ht="17" customHeight="1">
      <c r="A24" s="0">
        <v>23</v>
      </c>
      <c r="B24" s="0" t="inlineStr">
        <is>
          <t>2026-10-02 16:41:53.616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K24" s="4">
        <v>0.0051</v>
      </c>
      <c r="M24" s="0">
        <v>28</v>
      </c>
      <c r="N24" s="0" t="inlineStr">
        <is>
          <t>2026-10-02 16:41:53.616 | Minigame: Alex | Type: HammerHit | Outcome: Success | Difficulty: Easy | ExpectedTime: 10.1120 | ActualTime: 10.1069 | TimingOffset: -0.0051 | TimingError: 0.0051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16:41:53.618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M25" s="6">
        <v>29</v>
      </c>
      <c r="N25" s="6" t="inlineStr">
        <is>
          <t>2026-10-02 16:41:53.618 | Minigame: Alex | Type: HammerHit | Outcome: Success | Difficulty: Easy | ExpectedTime: 10.1120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16:41:53.618</t>
        </is>
      </c>
      <c r="C26" s="0" t="inlineStr">
        <is>
          <t>DifficultyChanged</t>
        </is>
      </c>
      <c r="D26" s="0" t="inlineStr">
        <is>
          <t>Alex</t>
        </is>
      </c>
      <c r="I26" s="0" t="inlineStr">
        <is>
          <t>Easy -&gt; Normal</t>
        </is>
      </c>
      <c r="J26" s="0" t="inlineStr">
        <is>
          <t>High recent performance</t>
        </is>
      </c>
      <c r="M26" s="0">
        <v>30</v>
      </c>
      <c r="N26" s="0" t="inlineStr">
        <is>
          <t>2026-10-02 16:41:53.618 | DifficultyChanged: Easy -&gt; Normal | Reason: High recent performance | Minigame: Alex | SuccessRate: 1.00</t>
        </is>
      </c>
    </row>
    <row r="27" ht="17" customHeight="1">
      <c r="A27" s="6">
        <v>26</v>
      </c>
      <c r="B27" s="6" t="inlineStr">
        <is>
          <t>2026-10-02 16:41:54.339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Normal</t>
        </is>
      </c>
      <c r="K27" s="4">
        <v>0.0505</v>
      </c>
      <c r="M27" s="6">
        <v>31</v>
      </c>
      <c r="N27" s="6" t="inlineStr">
        <is>
          <t>2026-10-02 16:41:54.339 | Minigame: Alex | Type: HammerHit | Outcome: Failed | Difficulty: Normal | ExpectedTime: 10.8800 | ActualTime: 10.8295 | TimingOffset: -0.0505 | TimingError: 0.0505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16:41:54.381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Normal</t>
        </is>
      </c>
      <c r="K28" s="4">
        <v>0.0091</v>
      </c>
      <c r="M28" s="0">
        <v>32</v>
      </c>
      <c r="N28" s="0" t="inlineStr">
        <is>
          <t>2026-10-02 16:41:54.381 | Minigame: Alex | Type: HammerHit | Outcome: Success | Difficulty: Normal | ExpectedTime: 10.8800 | ActualTime: 10.8709 | TimingOffset: -0.0091 | TimingError: 0.0091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16:41:55.159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Normal</t>
        </is>
      </c>
      <c r="M29" s="6">
        <v>33</v>
      </c>
      <c r="N29" s="6" t="inlineStr">
        <is>
          <t>2026-10-02 16:41:55.159 | Minigame: Alex | Type: HammerHit | Outcome: Failed | Difficulty: Normal | ExpectedTime: 11.6480 | ActualTime: N/A | TimingOffset: N/A | TimingError: N/A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16:41:55.159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Normal</t>
        </is>
      </c>
      <c r="K30" s="4">
        <v>0.0006</v>
      </c>
      <c r="M30" s="0">
        <v>34</v>
      </c>
      <c r="N30" s="0" t="inlineStr">
        <is>
          <t>2026-10-02 16:41:55.159 | Minigame: Alex | Type: HammerHit | Outcome: Success | Difficulty: Normal | ExpectedTime: 11.6480 | ActualTime: 11.6486 | TimingOffset: 0.0006 | TimingError: 0.0006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16:41:55.908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Normal</t>
        </is>
      </c>
      <c r="K31" s="4">
        <v>0.0172</v>
      </c>
      <c r="M31" s="6">
        <v>35</v>
      </c>
      <c r="N31" s="6" t="inlineStr">
        <is>
          <t>2026-10-02 16:41:55.908 | Minigame: Alex | Type: HammerHit | Outcome: Failed | Difficulty: Normal | ExpectedTime: 12.4160 | ActualTime: 12.3988 | TimingOffset: -0.0172 | TimingError: 0.0172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16:41:55.910</t>
        </is>
      </c>
      <c r="C32" s="0" t="inlineStr">
        <is>
          <t>PlayerState</t>
        </is>
      </c>
      <c r="H32" s="0" t="inlineStr">
        <is>
          <t>Overloaded</t>
        </is>
      </c>
      <c r="M32" s="0">
        <v>36</v>
      </c>
      <c r="N32" s="0" t="inlineStr">
        <is>
          <t>2026-10-02 16:41:55.910 | PlayerState: Overloaded</t>
        </is>
      </c>
    </row>
    <row r="33" ht="17" customHeight="1">
      <c r="A33" s="6">
        <v>32</v>
      </c>
      <c r="B33" s="6" t="inlineStr">
        <is>
          <t>2026-10-02 16:41:55.910</t>
        </is>
      </c>
      <c r="C33" s="6" t="inlineStr">
        <is>
          <t>DifficultyChanged</t>
        </is>
      </c>
      <c r="D33" s="6" t="inlineStr">
        <is>
          <t>Alex</t>
        </is>
      </c>
      <c r="I33" s="6" t="inlineStr">
        <is>
          <t>Normal -&gt; Easy</t>
        </is>
      </c>
      <c r="J33" s="6" t="inlineStr">
        <is>
          <t>PlayerState: Overloaded</t>
        </is>
      </c>
      <c r="M33" s="6">
        <v>37</v>
      </c>
      <c r="N33" s="6" t="inlineStr">
        <is>
          <t>2026-10-02 16:41:55.910 | DifficultyChanged: Normal -&gt; Easy | Reason: PlayerState: Overloaded | Minigame: Alex | RecentSuccessRate: 0.50</t>
        </is>
      </c>
    </row>
    <row r="34" ht="17" customHeight="1">
      <c r="A34" s="0">
        <v>33</v>
      </c>
      <c r="B34" s="0" t="inlineStr">
        <is>
          <t>2026-10-02 16:41:55.923</t>
        </is>
      </c>
      <c r="C34" s="0" t="inlineStr">
        <is>
          <t>PlayerState</t>
        </is>
      </c>
      <c r="H34" s="0" t="inlineStr">
        <is>
          <t>Engaged</t>
        </is>
      </c>
      <c r="M34" s="0">
        <v>38</v>
      </c>
      <c r="N34" s="0" t="inlineStr">
        <is>
          <t>2026-10-02 16:41:55.923 | PlayerState: Engaged</t>
        </is>
      </c>
    </row>
    <row r="35" ht="17" customHeight="1">
      <c r="A35" s="6">
        <v>34</v>
      </c>
      <c r="B35" s="6" t="inlineStr">
        <is>
          <t>2026-10-02 16:41:56.255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Easy</t>
        </is>
      </c>
      <c r="M35" s="6">
        <v>39</v>
      </c>
      <c r="N35" s="6" t="inlineStr">
        <is>
          <t>2026-10-02 16:41:56.255 | Minigame: Alex | Type: HammerTouch | Outcome: Missed | Difficulty: Easy | ExpectedTime: 12.4160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16:41:56.631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K36" s="4">
        <v>0.0631</v>
      </c>
      <c r="M36" s="0">
        <v>40</v>
      </c>
      <c r="N36" s="0" t="inlineStr">
        <is>
          <t>2026-10-02 16:41:56.631 | Minigame: Alex | Type: HammerHit | Outcome: Success | Difficulty: Easy | ExpectedTime: 13.1840 | ActualTime: 13.1209 | TimingOffset: -0.0631 | TimingError: 0.0631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16:41:56.659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M37" s="6">
        <v>41</v>
      </c>
      <c r="N37" s="6" t="inlineStr">
        <is>
          <t>2026-10-02 16:41:56.659 | Minigame: Alex | Type: HammerHit | Outcome: Failed | Difficulty: Easy | ExpectedTime: 13.1840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16:41:58.200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K38" s="4">
        <v>0.0303</v>
      </c>
      <c r="M38" s="0">
        <v>42</v>
      </c>
      <c r="N38" s="0" t="inlineStr">
        <is>
          <t>2026-10-02 16:41:58.200 | Minigame: Alex | Type: HammerHit | Outcome: Success | Difficulty: Easy | ExpectedTime: 14.7200 | ActualTime: 14.6897 | TimingOffset: -0.0303 | TimingError: 0.0303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16:41:58.214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Failed</t>
        </is>
      </c>
      <c r="G39" s="6" t="inlineStr">
        <is>
          <t>Easy</t>
        </is>
      </c>
      <c r="K39" s="4">
        <v>0.0156</v>
      </c>
      <c r="M39" s="6">
        <v>43</v>
      </c>
      <c r="N39" s="6" t="inlineStr">
        <is>
          <t>2026-10-02 16:41:58.214 | Minigame: Alex | Type: HammerHit | Outcome: Failed | Difficulty: Easy | ExpectedTime: 14.7200 | ActualTime: 14.7044 | TimingOffset: -0.0156 | TimingError: 0.0156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16:41:58.215</t>
        </is>
      </c>
      <c r="C40" s="0" t="inlineStr">
        <is>
          <t>PlayerState</t>
        </is>
      </c>
      <c r="H40" s="0" t="inlineStr">
        <is>
          <t>Overloaded</t>
        </is>
      </c>
      <c r="M40" s="0">
        <v>44</v>
      </c>
      <c r="N40" s="0" t="inlineStr">
        <is>
          <t>2026-10-02 16:41:58.215 | PlayerState: Overloaded</t>
        </is>
      </c>
    </row>
    <row r="41" ht="17" customHeight="1">
      <c r="A41" s="6">
        <v>40</v>
      </c>
      <c r="B41" s="6" t="inlineStr">
        <is>
          <t>2026-10-02 16:41:59.742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M41" s="6">
        <v>45</v>
      </c>
      <c r="N41" s="6" t="inlineStr">
        <is>
          <t>2026-10-02 16:41:59.742 | Minigame: Alex | Type: HammerHit | Outcome: Failed | Difficulty: Easy | ExpectedTime: 16.2560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16:41:59.756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K42" s="4">
        <v>0.0107</v>
      </c>
      <c r="M42" s="0">
        <v>46</v>
      </c>
      <c r="N42" s="0" t="inlineStr">
        <is>
          <t>2026-10-02 16:41:59.756 | Minigame: Alex | Type: HammerHit | Outcome: Success | Difficulty: Easy | ExpectedTime: 16.2560 | ActualTime: 16.2453 | TimingOffset: -0.0107 | TimingError: 0.0107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16:42:01.282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Easy</t>
        </is>
      </c>
      <c r="K43" s="4">
        <v>0.0198</v>
      </c>
      <c r="M43" s="6">
        <v>47</v>
      </c>
      <c r="N43" s="6" t="inlineStr">
        <is>
          <t>2026-10-02 16:42:01.282 | Minigame: Alex | Type: HammerHit | Outcome: Success | Difficulty: Easy | ExpectedTime: 17.7920 | ActualTime: 17.7722 | TimingOffset: -0.0198 | TimingError: 0.0198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16:42:01.296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Failed</t>
        </is>
      </c>
      <c r="G44" s="0" t="inlineStr">
        <is>
          <t>Easy</t>
        </is>
      </c>
      <c r="K44" s="4">
        <v>0.0056</v>
      </c>
      <c r="M44" s="0">
        <v>48</v>
      </c>
      <c r="N44" s="0" t="inlineStr">
        <is>
          <t>2026-10-02 16:42:01.296 | Minigame: Alex | Type: HammerHit | Outcome: Failed | Difficulty: Easy | ExpectedTime: 17.7920 | ActualTime: 17.7864 | TimingOffset: -0.0056 | TimingError: 0.0056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16:42:02.824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Failed</t>
        </is>
      </c>
      <c r="G45" s="6" t="inlineStr">
        <is>
          <t>Easy</t>
        </is>
      </c>
      <c r="K45" s="4">
        <v>0.0147</v>
      </c>
      <c r="M45" s="6">
        <v>49</v>
      </c>
      <c r="N45" s="6" t="inlineStr">
        <is>
          <t>2026-10-02 16:42:02.824 | Minigame: Alex | Type: HammerHit | Outcome: Failed | Difficulty: Easy | ExpectedTime: 19.3280 | ActualTime: 19.3133 | TimingOffset: -0.0147 | TimingError: 0.0147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16:42:02.837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M46" s="0">
        <v>50</v>
      </c>
      <c r="N46" s="0" t="inlineStr">
        <is>
          <t>2026-10-02 16:42:02.837 | Minigame: Alex | Type: HammerHit | Outcome: Success | Difficulty: Easy | ExpectedTime: 19.3280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16:42:04.365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Failed</t>
        </is>
      </c>
      <c r="G47" s="6" t="inlineStr">
        <is>
          <t>Easy</t>
        </is>
      </c>
      <c r="K47" s="4">
        <v>0.0091</v>
      </c>
      <c r="M47" s="6">
        <v>51</v>
      </c>
      <c r="N47" s="6" t="inlineStr">
        <is>
          <t>2026-10-02 16:42:04.365 | Minigame: Alex | Type: HammerHit | Outcome: Failed | Difficulty: Easy | ExpectedTime: 20.8640 | ActualTime: 20.8549 | TimingOffset: -0.0091 | TimingError: 0.0091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16:42:04.379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Easy</t>
        </is>
      </c>
      <c r="K48" s="4">
        <v>0.0051</v>
      </c>
      <c r="M48" s="0">
        <v>52</v>
      </c>
      <c r="N48" s="0" t="inlineStr">
        <is>
          <t>2026-10-02 16:42:04.379 | Minigame: Alex | Type: HammerHit | Outcome: Success | Difficulty: Easy | ExpectedTime: 20.8640 | ActualTime: 20.8691 | TimingOffset: 0.0051 | TimingError: 0.0051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16:42:05.879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Easy</t>
        </is>
      </c>
      <c r="K49" s="4">
        <v>0.0308</v>
      </c>
      <c r="M49" s="6">
        <v>53</v>
      </c>
      <c r="N49" s="6" t="inlineStr">
        <is>
          <t>2026-10-02 16:42:05.879 | Minigame: Alex | Type: HammerHit | Outcome: Success | Difficulty: Easy | ExpectedTime: 22.4000 | ActualTime: 22.3692 | TimingOffset: -0.0308 | TimingError: 0.0308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16:42:05.921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Easy</t>
        </is>
      </c>
      <c r="M50" s="0">
        <v>54</v>
      </c>
      <c r="N50" s="0" t="inlineStr">
        <is>
          <t>2026-10-02 16:42:05.921 | Minigame: Alex | Type: HammerHit | Outcome: Success | Difficulty: Easy | ExpectedTime: 22.4000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16:42:07.434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Easy</t>
        </is>
      </c>
      <c r="K51" s="4">
        <v>0.0111</v>
      </c>
      <c r="M51" s="6">
        <v>55</v>
      </c>
      <c r="N51" s="6" t="inlineStr">
        <is>
          <t>2026-10-02 16:42:07.434 | Minigame: Alex | Type: HammerHit | Outcome: Success | Difficulty: Easy | ExpectedTime: 23.9360 | ActualTime: 23.9249 | TimingOffset: -0.0111 | TimingError: 0.0111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16:42:07.449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Failed</t>
        </is>
      </c>
      <c r="G52" s="0" t="inlineStr">
        <is>
          <t>Easy</t>
        </is>
      </c>
      <c r="K52" s="4">
        <v>0.003</v>
      </c>
      <c r="M52" s="0">
        <v>56</v>
      </c>
      <c r="N52" s="0" t="inlineStr">
        <is>
          <t>2026-10-02 16:42:07.449 | Minigame: Alex | Type: HammerHit | Outcome: Failed | Difficulty: Easy | ExpectedTime: 23.9360 | ActualTime: 23.9390 | TimingOffset: 0.0030 | TimingError: 0.0030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16:42:08.962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K53" s="4">
        <v>0.019</v>
      </c>
      <c r="M53" s="6">
        <v>57</v>
      </c>
      <c r="N53" s="6" t="inlineStr">
        <is>
          <t>2026-10-02 16:42:08.962 | Minigame: Alex | Type: HammerHit | Outcome: Success | Difficulty: Easy | ExpectedTime: 25.4720 | ActualTime: 25.4530 | TimingOffset: -0.0190 | TimingError: 0.0190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16:42:08.964</t>
        </is>
      </c>
      <c r="C54" s="0" t="inlineStr">
        <is>
          <t>PlayerState</t>
        </is>
      </c>
      <c r="H54" s="0" t="inlineStr">
        <is>
          <t>Engaged</t>
        </is>
      </c>
      <c r="M54" s="0">
        <v>58</v>
      </c>
      <c r="N54" s="0" t="inlineStr">
        <is>
          <t>2026-10-02 16:42:08.964 | PlayerState: Engaged</t>
        </is>
      </c>
    </row>
    <row r="55" ht="17" customHeight="1">
      <c r="A55" s="6">
        <v>54</v>
      </c>
      <c r="B55" s="6" t="inlineStr">
        <is>
          <t>2026-10-02 16:42:08.976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Failed</t>
        </is>
      </c>
      <c r="G55" s="6" t="inlineStr">
        <is>
          <t>Easy</t>
        </is>
      </c>
      <c r="M55" s="6">
        <v>59</v>
      </c>
      <c r="N55" s="6" t="inlineStr">
        <is>
          <t>2026-10-02 16:42:08.976 | Minigame: Alex | Type: HammerHit | Outcome: Failed | Difficulty: Easy | ExpectedTime: 25.4720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16:42:10.520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Failed</t>
        </is>
      </c>
      <c r="G56" s="0" t="inlineStr">
        <is>
          <t>Easy</t>
        </is>
      </c>
      <c r="K56" s="4">
        <v>0.0011</v>
      </c>
      <c r="M56" s="0">
        <v>60</v>
      </c>
      <c r="N56" s="0" t="inlineStr">
        <is>
          <t>2026-10-02 16:42:10.520 | Minigame: Alex | Type: HammerHit | Outcome: Failed | Difficulty: Easy | ExpectedTime: 27.0080 | ActualTime: 27.0091 | TimingOffset: 0.0011 | TimingError: 0.0011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16:42:10.520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Easy</t>
        </is>
      </c>
      <c r="K57" s="4">
        <v>0.0011</v>
      </c>
      <c r="M57" s="6">
        <v>61</v>
      </c>
      <c r="N57" s="6" t="inlineStr">
        <is>
          <t>2026-10-02 16:42:10.520 | Minigame: Alex | Type: HammerHit | Outcome: Success | Difficulty: Easy | ExpectedTime: 27.0080 | ActualTime: 27.0091 | TimingOffset: 0.0011 | TimingError: 0.0011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16:42:12.046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Easy</t>
        </is>
      </c>
      <c r="K58" s="4">
        <v>0.0078</v>
      </c>
      <c r="M58" s="0">
        <v>62</v>
      </c>
      <c r="N58" s="0" t="inlineStr">
        <is>
          <t>2026-10-02 16:42:12.046 | Minigame: Alex | Type: HammerHit | Outcome: Success | Difficulty: Easy | ExpectedTime: 28.5440 | ActualTime: 28.5362 | TimingOffset: -0.0078 | TimingError: 0.0078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16:42:13.560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Easy</t>
        </is>
      </c>
      <c r="K59" s="4">
        <v>0.0301</v>
      </c>
      <c r="M59" s="6">
        <v>63</v>
      </c>
      <c r="N59" s="6" t="inlineStr">
        <is>
          <t>2026-10-02 16:42:13.560 | Minigame: Alex | Type: HammerHit | Outcome: Success | Difficulty: Easy | ExpectedTime: 30.0800 | ActualTime: 30.0499 | TimingOffset: -0.0301 | TimingError: 0.0301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16:42:13.587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Failed</t>
        </is>
      </c>
      <c r="G60" s="0" t="inlineStr">
        <is>
          <t>Easy</t>
        </is>
      </c>
      <c r="K60" s="4">
        <v>0.0156</v>
      </c>
      <c r="M60" s="0">
        <v>64</v>
      </c>
      <c r="N60" s="0" t="inlineStr">
        <is>
          <t>2026-10-02 16:42:13.587 | Minigame: Alex | Type: HammerHit | Outcome: Failed | Difficulty: Easy | ExpectedTime: 30.0800 | ActualTime: 30.0644 | TimingOffset: -0.0156 | TimingError: 0.0156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16:42:17.598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Easy</t>
        </is>
      </c>
      <c r="K61" s="4">
        <v>0.1546</v>
      </c>
      <c r="M61" s="6">
        <v>65</v>
      </c>
      <c r="N61" s="6" t="inlineStr">
        <is>
          <t>2026-10-02 16:42:17.598 | Minigame: Joaquin | Type: GuitarHit | Outcome: Success | Difficulty: Easy | ExpectedTime: 33.9200 | ActualTime: 34.0746 | TimingOffset: 0.1546 | TimingError: 0.1546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16:42:20.514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Easy</t>
        </is>
      </c>
      <c r="K62" s="4">
        <v>0.0007</v>
      </c>
      <c r="M62" s="0">
        <v>66</v>
      </c>
      <c r="N62" s="0" t="inlineStr">
        <is>
          <t>2026-10-02 16:42:20.514 | Minigame: Joaquin | Type: GuitarHit | Outcome: Success | Difficulty: Easy | ExpectedTime: 36.9920 | ActualTime: 36.9913 | TimingOffset: -0.0007 | TimingError: 0.0007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16:42:22.641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Easy</t>
        </is>
      </c>
      <c r="K63" s="4">
        <v>0.1799</v>
      </c>
      <c r="M63" s="6">
        <v>67</v>
      </c>
      <c r="N63" s="6" t="inlineStr">
        <is>
          <t>2026-10-02 16:42:22.641 | Minigame: Joaquin | Type: GuitarHit | Outcome: Success | Difficulty: Easy | ExpectedTime: 39.2960 | ActualTime: 39.1161 | TimingOffset: -0.1799 | TimingError: 0.1799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16:42:24.960</t>
        </is>
      </c>
      <c r="C64" s="0" t="inlineStr">
        <is>
          <t>Interaction</t>
        </is>
      </c>
      <c r="D64" s="0" t="inlineStr">
        <is>
          <t>Joaquin</t>
        </is>
      </c>
      <c r="E64" s="0" t="inlineStr">
        <is>
          <t>GuitarHit</t>
        </is>
      </c>
      <c r="F64" s="0" t="inlineStr">
        <is>
          <t>Success</t>
        </is>
      </c>
      <c r="G64" s="0" t="inlineStr">
        <is>
          <t>Easy</t>
        </is>
      </c>
      <c r="K64" s="4">
        <v>0.1645</v>
      </c>
      <c r="M64" s="0">
        <v>68</v>
      </c>
      <c r="N64" s="0" t="inlineStr">
        <is>
          <t>2026-10-02 16:42:24.960 | Minigame: Joaquin | Type: GuitarHit | Outcome: Success | Difficulty: Easy | ExpectedTime: 41.6000 | ActualTime: 41.4355 | TimingOffset: -0.1645 | TimingError: 0.1645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16:42:27.931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Easy</t>
        </is>
      </c>
      <c r="K65" s="4">
        <v>0.1188</v>
      </c>
      <c r="M65" s="6">
        <v>69</v>
      </c>
      <c r="N65" s="6" t="inlineStr">
        <is>
          <t>2026-10-02 16:42:27.931 | Minigame: Joaquin | Type: GuitarHit | Outcome: Success | Difficulty: Easy | ExpectedTime: 44.2880 | ActualTime: 44.4068 | TimingOffset: 0.1188 | TimingError: 0.1188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16:42:30.332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Easy</t>
        </is>
      </c>
      <c r="K66" s="4">
        <v>0.1669</v>
      </c>
      <c r="M66" s="0">
        <v>70</v>
      </c>
      <c r="N66" s="0" t="inlineStr">
        <is>
          <t>2026-10-02 16:42:30.332 | Minigame: Joaquin | Type: GuitarHit | Outcome: Success | Difficulty: Easy | ExpectedTime: 46.9760 | ActualTime: 46.8091 | TimingOffset: -0.1669 | TimingError: 0.1669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16:42:32.722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GuitarHit</t>
        </is>
      </c>
      <c r="F67" s="6" t="inlineStr">
        <is>
          <t>Success</t>
        </is>
      </c>
      <c r="G67" s="6" t="inlineStr">
        <is>
          <t>Easy</t>
        </is>
      </c>
      <c r="K67" s="4">
        <v>0.0828</v>
      </c>
      <c r="M67" s="6">
        <v>71</v>
      </c>
      <c r="N67" s="6" t="inlineStr">
        <is>
          <t>2026-10-02 16:42:32.722 | Minigame: Joaquin | Type: GuitarHit | Outcome: Success | Difficulty: Easy | ExpectedTime: 49.2800 | ActualTime: 49.1972 | TimingOffset: -0.0828 | TimingError: 0.0828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16:42:35.095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GuitarHit</t>
        </is>
      </c>
      <c r="F68" s="0" t="inlineStr">
        <is>
          <t>Success</t>
        </is>
      </c>
      <c r="G68" s="0" t="inlineStr">
        <is>
          <t>Easy</t>
        </is>
      </c>
      <c r="K68" s="4">
        <v>0.0117</v>
      </c>
      <c r="M68" s="0">
        <v>72</v>
      </c>
      <c r="N68" s="0" t="inlineStr">
        <is>
          <t>2026-10-02 16:42:35.095 | Minigame: Joaquin | Type: GuitarHit | Outcome: Success | Difficulty: Easy | ExpectedTime: 51.5840 | ActualTime: 51.5723 | TimingOffset: -0.0117 | TimingError: 0.0117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16:42:35.097</t>
        </is>
      </c>
      <c r="C69" s="6" t="inlineStr">
        <is>
          <t>DifficultyChanged</t>
        </is>
      </c>
      <c r="D69" s="6" t="inlineStr">
        <is>
          <t>Joaquin</t>
        </is>
      </c>
      <c r="I69" s="6" t="inlineStr">
        <is>
          <t>Easy -&gt; Normal</t>
        </is>
      </c>
      <c r="J69" s="6" t="inlineStr">
        <is>
          <t>High recent performance</t>
        </is>
      </c>
      <c r="M69" s="6">
        <v>73</v>
      </c>
      <c r="N69" s="6" t="inlineStr">
        <is>
          <t>2026-10-02 16:42:35.097 | DifficultyChanged: Easy -&gt; Normal | Reason: High recent performance | Minigame: Joaquin | SuccessRate: 1.00</t>
        </is>
      </c>
    </row>
    <row r="70" ht="17" customHeight="1">
      <c r="A70" s="0">
        <v>69</v>
      </c>
      <c r="B70" s="0" t="inlineStr">
        <is>
          <t>2026-10-02 16:42:35.375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GuitarHit</t>
        </is>
      </c>
      <c r="F70" s="0" t="inlineStr">
        <is>
          <t>Success</t>
        </is>
      </c>
      <c r="G70" s="0" t="inlineStr">
        <is>
          <t>Normal</t>
        </is>
      </c>
      <c r="K70" s="4">
        <v>0.1178</v>
      </c>
      <c r="M70" s="0">
        <v>74</v>
      </c>
      <c r="N70" s="0" t="inlineStr">
        <is>
          <t>2026-10-02 16:42:35.375 | Minigame: Joaquin | Type: GuitarHit | Outcome: Success | Difficulty: Normal | ExpectedTime: 51.9680 | ActualTime: 51.8502 | TimingOffset: -0.1178 | TimingError: 0.1178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16:42:37.694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GuitarHit</t>
        </is>
      </c>
      <c r="F71" s="6" t="inlineStr">
        <is>
          <t>Success</t>
        </is>
      </c>
      <c r="G71" s="6" t="inlineStr">
        <is>
          <t>Normal</t>
        </is>
      </c>
      <c r="K71" s="4">
        <v>0.1021</v>
      </c>
      <c r="M71" s="6">
        <v>75</v>
      </c>
      <c r="N71" s="6" t="inlineStr">
        <is>
          <t>2026-10-02 16:42:37.694 | Minigame: Joaquin | Type: GuitarHit | Outcome: Success | Difficulty: Normal | ExpectedTime: 54.2720 | ActualTime: 54.1699 | TimingOffset: -0.1021 | TimingError: 0.1021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16:42:40.153</t>
        </is>
      </c>
      <c r="C72" s="0" t="inlineStr">
        <is>
          <t>Interaction</t>
        </is>
      </c>
      <c r="D72" s="0" t="inlineStr">
        <is>
          <t>Joaquin</t>
        </is>
      </c>
      <c r="E72" s="0" t="inlineStr">
        <is>
          <t>GuitarHit</t>
        </is>
      </c>
      <c r="F72" s="0" t="inlineStr">
        <is>
          <t>Success</t>
        </is>
      </c>
      <c r="G72" s="0" t="inlineStr">
        <is>
          <t>Normal</t>
        </is>
      </c>
      <c r="K72" s="4">
        <v>0.0528</v>
      </c>
      <c r="M72" s="0">
        <v>76</v>
      </c>
      <c r="N72" s="0" t="inlineStr">
        <is>
          <t>2026-10-02 16:42:40.153 | Minigame: Joaquin | Type: GuitarHit | Outcome: Success | Difficulty: Normal | ExpectedTime: 56.5760 | ActualTime: 56.6288 | TimingOffset: 0.0528 | TimingError: 0.0528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16:42:42.861</t>
        </is>
      </c>
      <c r="C73" s="6" t="inlineStr">
        <is>
          <t>Interaction</t>
        </is>
      </c>
      <c r="D73" s="6" t="inlineStr">
        <is>
          <t>Joaquin</t>
        </is>
      </c>
      <c r="E73" s="6" t="inlineStr">
        <is>
          <t>GuitarHit</t>
        </is>
      </c>
      <c r="F73" s="6" t="inlineStr">
        <is>
          <t>Success</t>
        </is>
      </c>
      <c r="G73" s="6" t="inlineStr">
        <is>
          <t>Normal</t>
        </is>
      </c>
      <c r="K73" s="4">
        <v>0.0724</v>
      </c>
      <c r="M73" s="6">
        <v>77</v>
      </c>
      <c r="N73" s="6" t="inlineStr">
        <is>
          <t>2026-10-02 16:42:42.861 | Minigame: Joaquin | Type: GuitarHit | Outcome: Success | Difficulty: Normal | ExpectedTime: 59.2640 | ActualTime: 59.3364 | TimingOffset: 0.0724 | TimingError: 0.0724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16:42:44.956</t>
        </is>
      </c>
      <c r="C74" s="0" t="inlineStr">
        <is>
          <t>Interaction</t>
        </is>
      </c>
      <c r="D74" s="0" t="inlineStr">
        <is>
          <t>Joaquin</t>
        </is>
      </c>
      <c r="E74" s="0" t="inlineStr">
        <is>
          <t>GuitarHit</t>
        </is>
      </c>
      <c r="F74" s="0" t="inlineStr">
        <is>
          <t>Success</t>
        </is>
      </c>
      <c r="G74" s="0" t="inlineStr">
        <is>
          <t>Normal</t>
        </is>
      </c>
      <c r="K74" s="4">
        <v>0.1353</v>
      </c>
      <c r="M74" s="0">
        <v>78</v>
      </c>
      <c r="N74" s="0" t="inlineStr">
        <is>
          <t>2026-10-02 16:42:44.956 | Minigame: Joaquin | Type: GuitarHit | Outcome: Success | Difficulty: Normal | ExpectedTime: 61.5680 | ActualTime: 61.4327 | TimingOffset: -0.1353 | TimingError: 0.1353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16:42:49.956</t>
        </is>
      </c>
      <c r="C75" s="6" t="inlineStr">
        <is>
          <t>PlayerState</t>
        </is>
      </c>
      <c r="H75" s="6" t="inlineStr">
        <is>
          <t>Idle</t>
        </is>
      </c>
      <c r="M75" s="6">
        <v>79</v>
      </c>
      <c r="N75" s="6" t="inlineStr">
        <is>
          <t>2026-10-02 16:42:49.956 | PlayerState: Idle</t>
        </is>
      </c>
    </row>
    <row r="76" ht="17" customHeight="1">
      <c r="A76" s="0">
        <v>75</v>
      </c>
      <c r="B76" s="0" t="inlineStr">
        <is>
          <t>2026-10-02 16:42:50.471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Missed</t>
        </is>
      </c>
      <c r="G76" s="0" t="inlineStr">
        <is>
          <t>Normal</t>
        </is>
      </c>
      <c r="M76" s="0">
        <v>80</v>
      </c>
      <c r="N76" s="0" t="inlineStr">
        <is>
          <t>2026-10-02 16:42:50.471 | Minigame: Shipi | Type: FoodCut | Outcome: Missed | Difficulty: Normal | ExpectedTime: 66.2528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16:42:51.373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Normal</t>
        </is>
      </c>
      <c r="K77" s="4">
        <v>0.0602</v>
      </c>
      <c r="L77" s="4">
        <v>0.905</v>
      </c>
      <c r="M77" s="6">
        <v>81</v>
      </c>
      <c r="N77" s="6" t="inlineStr">
        <is>
          <t>2026-10-02 16:42:51.373 | Minigame: Shipi | Type: FoodCut | Outcome: Success | Difficulty: Normal | ExpectedTime: 67.7888 | ActualTime: 67.8490 | TimingOffset: 0.0602 | TimingError: 0.0602 | ReactionTime: 0.9050 | SpatialAccuracy: N/A | DirectionAccuracy: 1.0000 | CorrectHand: N/A</t>
        </is>
      </c>
    </row>
    <row r="78" ht="17" customHeight="1">
      <c r="A78" s="0">
        <v>77</v>
      </c>
      <c r="B78" s="0" t="inlineStr">
        <is>
          <t>2026-10-02 16:42:51.373</t>
        </is>
      </c>
      <c r="C78" s="0" t="inlineStr">
        <is>
          <t>PlayerState</t>
        </is>
      </c>
      <c r="H78" s="0" t="inlineStr">
        <is>
          <t>Engaged</t>
        </is>
      </c>
      <c r="M78" s="0">
        <v>82</v>
      </c>
      <c r="N78" s="0" t="inlineStr">
        <is>
          <t>2026-10-02 16:42:51.373 | PlayerState: Engaged</t>
        </is>
      </c>
    </row>
    <row r="79" ht="17" customHeight="1">
      <c r="A79" s="6">
        <v>78</v>
      </c>
      <c r="B79" s="6" t="inlineStr">
        <is>
          <t>2026-10-02 16:42:52.748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Success</t>
        </is>
      </c>
      <c r="G79" s="6" t="inlineStr">
        <is>
          <t>Normal</t>
        </is>
      </c>
      <c r="K79" s="4">
        <v>0.1007</v>
      </c>
      <c r="L79" s="4">
        <v>0.7441</v>
      </c>
      <c r="M79" s="6">
        <v>83</v>
      </c>
      <c r="N79" s="6" t="inlineStr">
        <is>
          <t>2026-10-02 16:42:52.748 | Minigame: Shipi | Type: FoodCut | Outcome: Success | Difficulty: Normal | ExpectedTime: 69.3248 | ActualTime: 69.2241 | TimingOffset: -0.1007 | TimingError: 0.1007 | ReactionTime: 0.7441 | SpatialAccuracy: N/A | DirectionAccuracy: 1.0000 | CorrectHand: N/A</t>
        </is>
      </c>
    </row>
    <row r="80" ht="17" customHeight="1">
      <c r="A80" s="0">
        <v>79</v>
      </c>
      <c r="B80" s="0" t="inlineStr">
        <is>
          <t>2026-10-02 16:42:54.219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Normal</t>
        </is>
      </c>
      <c r="K80" s="4">
        <v>0.165</v>
      </c>
      <c r="L80" s="4">
        <v>0.6798</v>
      </c>
      <c r="M80" s="0">
        <v>84</v>
      </c>
      <c r="N80" s="0" t="inlineStr">
        <is>
          <t>2026-10-02 16:42:54.219 | Minigame: Shipi | Type: FoodCut | Outcome: Success | Difficulty: Normal | ExpectedTime: 70.8608 | ActualTime: 70.6958 | TimingOffset: -0.1650 | TimingError: 0.1650 | ReactionTime: 0.6798 | SpatialAccuracy: N/A | DirectionAccuracy: 1.0000 | CorrectHand: N/A</t>
        </is>
      </c>
    </row>
    <row r="81" ht="17" customHeight="1">
      <c r="A81" s="6">
        <v>80</v>
      </c>
      <c r="B81" s="6" t="inlineStr">
        <is>
          <t>2026-10-02 16:42:56.621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FoodClear</t>
        </is>
      </c>
      <c r="F81" s="6" t="inlineStr">
        <is>
          <t>Success</t>
        </is>
      </c>
      <c r="G81" s="6" t="inlineStr">
        <is>
          <t>Normal</t>
        </is>
      </c>
      <c r="M81" s="6">
        <v>85</v>
      </c>
      <c r="N81" s="6" t="inlineStr">
        <is>
          <t>2026-10-02 16:42:56.621 | Minigame: Shipi | Type: FoodClear | Outcome: Success | Difficulty: Normal | ExpectedTime: 72.3968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16:42:58.149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FoodClear</t>
        </is>
      </c>
      <c r="F82" s="0" t="inlineStr">
        <is>
          <t>Success</t>
        </is>
      </c>
      <c r="G82" s="0" t="inlineStr">
        <is>
          <t>Normal</t>
        </is>
      </c>
      <c r="M82" s="0">
        <v>86</v>
      </c>
      <c r="N82" s="0" t="inlineStr">
        <is>
          <t>2026-10-02 16:42:58.149 | Minigame: Shipi | Type: FoodClear | Outcome: Success | Difficulty: Normal | ExpectedTime: 73.9328 | ActualTime: N/A | TimingOffset: N/A | TimingError: N/A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16:42:59.217</t>
        </is>
      </c>
      <c r="C83" s="6" t="inlineStr">
        <is>
          <t>PlayerState</t>
        </is>
      </c>
      <c r="H83" s="6" t="inlineStr">
        <is>
          <t>Idle</t>
        </is>
      </c>
      <c r="M83" s="6">
        <v>87</v>
      </c>
      <c r="N83" s="6" t="inlineStr">
        <is>
          <t>2026-10-02 16:42:59.217 | PlayerState: Idle</t>
        </is>
      </c>
    </row>
    <row r="84" ht="17" customHeight="1">
      <c r="A84" s="0">
        <v>83</v>
      </c>
      <c r="B84" s="0" t="inlineStr">
        <is>
          <t>2026-10-02 16:42:59.495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Normal</t>
        </is>
      </c>
      <c r="K84" s="4">
        <v>0.5036</v>
      </c>
      <c r="L84" s="4">
        <v>1.3484</v>
      </c>
      <c r="M84" s="0">
        <v>88</v>
      </c>
      <c r="N84" s="0" t="inlineStr">
        <is>
          <t>2026-10-02 16:42:59.495 | Minigame: Shipi | Type: FoodCut | Outcome: Success | Difficulty: Normal | ExpectedTime: 75.4688 | ActualTime: 75.9724 | TimingOffset: 0.5036 | TimingError: 0.5036 | ReactionTime: 1.3484 | SpatialAccuracy: N/A | DirectionAccuracy: 1.0000 | CorrectHand: N/A</t>
        </is>
      </c>
    </row>
    <row r="85" ht="17" customHeight="1">
      <c r="A85" s="6">
        <v>84</v>
      </c>
      <c r="B85" s="6" t="inlineStr">
        <is>
          <t>2026-10-02 16:42:59.497</t>
        </is>
      </c>
      <c r="C85" s="6" t="inlineStr">
        <is>
          <t>PlayerState</t>
        </is>
      </c>
      <c r="H85" s="6" t="inlineStr">
        <is>
          <t>Engaged</t>
        </is>
      </c>
      <c r="M85" s="6">
        <v>89</v>
      </c>
      <c r="N85" s="6" t="inlineStr">
        <is>
          <t>2026-10-02 16:42:59.497 | PlayerState: Engaged</t>
        </is>
      </c>
    </row>
    <row r="86" ht="17" customHeight="1">
      <c r="A86" s="0">
        <v>85</v>
      </c>
      <c r="B86" s="0" t="inlineStr">
        <is>
          <t>2026-10-02 16:43:00.468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Success</t>
        </is>
      </c>
      <c r="G86" s="0" t="inlineStr">
        <is>
          <t>Normal</t>
        </is>
      </c>
      <c r="K86" s="4">
        <v>0.0603</v>
      </c>
      <c r="L86" s="4">
        <v>0.7845</v>
      </c>
      <c r="M86" s="0">
        <v>90</v>
      </c>
      <c r="N86" s="0" t="inlineStr">
        <is>
          <t>2026-10-02 16:43:00.468 | Minigame: Shipi | Type: FoodCut | Outcome: Success | Difficulty: Normal | ExpectedTime: 77.0048 | ActualTime: 76.9445 | TimingOffset: -0.0603 | TimingError: 0.0603 | ReactionTime: 0.7845 | SpatialAccuracy: N/A | DirectionAccuracy: 1.0000 | CorrectHand: N/A</t>
        </is>
      </c>
    </row>
    <row r="87" ht="17" customHeight="1">
      <c r="A87" s="6">
        <v>86</v>
      </c>
      <c r="B87" s="6" t="inlineStr">
        <is>
          <t>2026-10-02 16:43:01.995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Success</t>
        </is>
      </c>
      <c r="G87" s="6" t="inlineStr">
        <is>
          <t>Normal</t>
        </is>
      </c>
      <c r="K87" s="4">
        <v>0.0685</v>
      </c>
      <c r="L87" s="4">
        <v>0.7763</v>
      </c>
      <c r="M87" s="6">
        <v>91</v>
      </c>
      <c r="N87" s="6" t="inlineStr">
        <is>
          <t>2026-10-02 16:43:01.995 | Minigame: Shipi | Type: FoodCut | Outcome: Success | Difficulty: Normal | ExpectedTime: 78.5408 | ActualTime: 78.4723 | TimingOffset: -0.0685 | TimingError: 0.0685 | ReactionTime: 0.7763 | SpatialAccuracy: N/A | DirectionAccuracy: 1.0000 | CorrectHand: N/A</t>
        </is>
      </c>
    </row>
    <row r="88" ht="17" customHeight="1">
      <c r="A88" s="0">
        <v>87</v>
      </c>
      <c r="B88" s="0" t="inlineStr">
        <is>
          <t>2026-10-02 16:43:03.717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Success</t>
        </is>
      </c>
      <c r="G88" s="0" t="inlineStr">
        <is>
          <t>Normal</t>
        </is>
      </c>
      <c r="K88" s="4">
        <v>0.1164</v>
      </c>
      <c r="L88" s="4">
        <v>0.9612</v>
      </c>
      <c r="M88" s="0">
        <v>92</v>
      </c>
      <c r="N88" s="0" t="inlineStr">
        <is>
          <t>2026-10-02 16:43:03.717 | Minigame: Shipi | Type: FoodCut | Outcome: Success | Difficulty: Normal | ExpectedTime: 80.0768 | ActualTime: 80.1932 | TimingOffset: 0.1164 | TimingError: 0.1164 | ReactionTime: 0.9612 | SpatialAccuracy: N/A | DirectionAccuracy: 1.0000 | CorrectHand: N/A</t>
        </is>
      </c>
    </row>
    <row r="89" ht="17" customHeight="1">
      <c r="A89" s="6">
        <v>88</v>
      </c>
      <c r="B89" s="6" t="inlineStr">
        <is>
          <t>2026-10-02 16:43:05.675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Failed</t>
        </is>
      </c>
      <c r="G89" s="6" t="inlineStr">
        <is>
          <t>Normal</t>
        </is>
      </c>
      <c r="K89" s="4">
        <v>0.5392</v>
      </c>
      <c r="L89" s="4">
        <v>1.384</v>
      </c>
      <c r="M89" s="6">
        <v>93</v>
      </c>
      <c r="N89" s="6" t="inlineStr">
        <is>
          <t>2026-10-02 16:43:05.675 | Minigame: Shipi | Type: FoodCut | Outcome: Failed | Difficulty: Normal | ExpectedTime: 81.6128 | ActualTime: 82.1520 | TimingOffset: 0.5392 | TimingError: 0.5392 | ReactionTime: 1.3840 | SpatialAccuracy: N/A | DirectionAccuracy: 0.0000 | CorrectHand: N/A</t>
        </is>
      </c>
    </row>
    <row r="90" ht="17" customHeight="1">
      <c r="A90" s="0">
        <v>89</v>
      </c>
      <c r="B90" s="0" t="inlineStr">
        <is>
          <t>2026-10-02 16:43:06.509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FoodCut</t>
        </is>
      </c>
      <c r="F90" s="0" t="inlineStr">
        <is>
          <t>Success</t>
        </is>
      </c>
      <c r="G90" s="0" t="inlineStr">
        <is>
          <t>Normal</t>
        </is>
      </c>
      <c r="K90" s="4">
        <v>0.1634</v>
      </c>
      <c r="L90" s="4">
        <v>0.6814</v>
      </c>
      <c r="M90" s="0">
        <v>94</v>
      </c>
      <c r="N90" s="0" t="inlineStr">
        <is>
          <t>2026-10-02 16:43:06.509 | Minigame: Shipi | Type: FoodCut | Outcome: Success | Difficulty: Normal | ExpectedTime: 83.1488 | ActualTime: 82.9854 | TimingOffset: -0.1634 | TimingError: 0.1634 | ReactionTime: 0.6814 | SpatialAccuracy: N/A | DirectionAccuracy: 1.0000 | CorrectHand: N/A</t>
        </is>
      </c>
    </row>
    <row r="91" ht="17" customHeight="1">
      <c r="A91" s="6">
        <v>90</v>
      </c>
      <c r="B91" s="6" t="inlineStr">
        <is>
          <t>2026-10-02 16:43:08.579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FoodCut</t>
        </is>
      </c>
      <c r="F91" s="6" t="inlineStr">
        <is>
          <t>Success</t>
        </is>
      </c>
      <c r="G91" s="6" t="inlineStr">
        <is>
          <t>Normal</t>
        </is>
      </c>
      <c r="K91" s="4">
        <v>0.3705</v>
      </c>
      <c r="L91" s="4">
        <v>1.2153</v>
      </c>
      <c r="M91" s="6">
        <v>95</v>
      </c>
      <c r="N91" s="6" t="inlineStr">
        <is>
          <t>2026-10-02 16:43:08.579 | Minigame: Shipi | Type: FoodCut | Outcome: Success | Difficulty: Normal | ExpectedTime: 84.6848 | ActualTime: 85.0553 | TimingOffset: 0.3705 | TimingError: 0.3705 | ReactionTime: 1.2153 | SpatialAccuracy: N/A | DirectionAccuracy: 1.0000 | CorrectHand: N/A</t>
        </is>
      </c>
    </row>
    <row r="92" ht="17" customHeight="1">
      <c r="A92" s="0">
        <v>91</v>
      </c>
      <c r="B92" s="0" t="inlineStr">
        <is>
          <t>2026-10-02 16:43:09.608</t>
        </is>
      </c>
      <c r="C92" s="0" t="inlineStr">
        <is>
          <t>Interaction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Success</t>
        </is>
      </c>
      <c r="G92" s="0" t="inlineStr">
        <is>
          <t>Normal</t>
        </is>
      </c>
      <c r="K92" s="4">
        <v>0.1373</v>
      </c>
      <c r="L92" s="4">
        <v>0.7075</v>
      </c>
      <c r="M92" s="0">
        <v>96</v>
      </c>
      <c r="N92" s="0" t="inlineStr">
        <is>
          <t>2026-10-02 16:43:09.608 | Minigame: Shipi | Type: FoodCut | Outcome: Success | Difficulty: Normal | ExpectedTime: 86.2208 | ActualTime: 86.0835 | TimingOffset: -0.1373 | TimingError: 0.1373 | ReactionTime: 0.7075 | SpatialAccuracy: N/A | DirectionAccuracy: 1.0000 | CorrectHand: N/A</t>
        </is>
      </c>
    </row>
    <row r="93" ht="17" customHeight="1">
      <c r="A93" s="6">
        <v>92</v>
      </c>
      <c r="B93" s="6" t="inlineStr">
        <is>
          <t>2026-10-02 16:43:09.608</t>
        </is>
      </c>
      <c r="C93" s="6" t="inlineStr">
        <is>
          <t>DifficultyChanged</t>
        </is>
      </c>
      <c r="D93" s="6" t="inlineStr">
        <is>
          <t>Shipi</t>
        </is>
      </c>
      <c r="I93" s="6" t="inlineStr">
        <is>
          <t>Normal -&gt; Hard</t>
        </is>
      </c>
      <c r="J93" s="6" t="inlineStr">
        <is>
          <t>High recent performance</t>
        </is>
      </c>
      <c r="M93" s="6">
        <v>97</v>
      </c>
      <c r="N93" s="6" t="inlineStr">
        <is>
          <t>2026-10-02 16:43:09.608 | DifficultyChanged: Normal -&gt; Hard | Reason: High recent performance | Minigame: Shipi | SuccessRate: 0.88</t>
        </is>
      </c>
    </row>
    <row r="94" ht="17" customHeight="1">
      <c r="A94" s="0">
        <v>93</v>
      </c>
      <c r="B94" s="0" t="inlineStr">
        <is>
          <t>2026-10-02 16:43:10.857</t>
        </is>
      </c>
      <c r="C94" s="0" t="inlineStr">
        <is>
          <t>Interaction</t>
        </is>
      </c>
      <c r="D94" s="0" t="inlineStr">
        <is>
          <t>Shipi</t>
        </is>
      </c>
      <c r="E94" s="0" t="inlineStr">
        <is>
          <t>FoodCut</t>
        </is>
      </c>
      <c r="F94" s="0" t="inlineStr">
        <is>
          <t>Success</t>
        </is>
      </c>
      <c r="G94" s="0" t="inlineStr">
        <is>
          <t>Normal</t>
        </is>
      </c>
      <c r="K94" s="4">
        <v>0.1719</v>
      </c>
      <c r="L94" s="4">
        <v>0.8055</v>
      </c>
      <c r="M94" s="0">
        <v>98</v>
      </c>
      <c r="N94" s="0" t="inlineStr">
        <is>
          <t>2026-10-02 16:43:10.857 | Minigame: Shipi | Type: FoodCut | Outcome: Success | Difficulty: Normal | ExpectedTime: 87.1616 | ActualTime: 87.3335 | TimingOffset: 0.1719 | TimingError: 0.1719 | ReactionTime: 0.8055 | SpatialAccuracy: N/A | DirectionAccuracy: 1.0000 | CorrectHand: N/A</t>
        </is>
      </c>
    </row>
    <row r="95" ht="17" customHeight="1">
      <c r="A95" s="6">
        <v>94</v>
      </c>
      <c r="B95" s="6" t="inlineStr">
        <is>
          <t>2026-10-02 16:43:12.358</t>
        </is>
      </c>
      <c r="C95" s="6" t="inlineStr">
        <is>
          <t>Interaction</t>
        </is>
      </c>
      <c r="D95" s="6" t="inlineStr">
        <is>
          <t>Shipi</t>
        </is>
      </c>
      <c r="E95" s="6" t="inlineStr">
        <is>
          <t>FoodCut</t>
        </is>
      </c>
      <c r="F95" s="6" t="inlineStr">
        <is>
          <t>Missed</t>
        </is>
      </c>
      <c r="G95" s="6" t="inlineStr">
        <is>
          <t>Normal</t>
        </is>
      </c>
      <c r="M95" s="6">
        <v>99</v>
      </c>
      <c r="N95" s="6" t="inlineStr">
        <is>
          <t>2026-10-02 16:43:12.358 | Minigame: Shipi | Type: FoodCut | Outcome: Missed | Difficulty: Normal | ExpectedTime: 88.3136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16:43:12.539</t>
        </is>
      </c>
      <c r="C96" s="0" t="inlineStr">
        <is>
          <t>Interaction</t>
        </is>
      </c>
      <c r="D96" s="0" t="inlineStr">
        <is>
          <t>Shipi</t>
        </is>
      </c>
      <c r="E96" s="0" t="inlineStr">
        <is>
          <t>FoodCut</t>
        </is>
      </c>
      <c r="F96" s="0" t="inlineStr">
        <is>
          <t>Success</t>
        </is>
      </c>
      <c r="G96" s="0" t="inlineStr">
        <is>
          <t>Hard</t>
        </is>
      </c>
      <c r="K96" s="4">
        <v>0.4516</v>
      </c>
      <c r="L96" s="4">
        <v>0.182</v>
      </c>
      <c r="M96" s="0">
        <v>100</v>
      </c>
      <c r="N96" s="0" t="inlineStr">
        <is>
          <t>2026-10-02 16:43:12.539 | Minigame: Shipi | Type: FoodCut | Outcome: Success | Difficulty: Hard | ExpectedTime: 89.4656 | ActualTime: 89.0140 | TimingOffset: -0.4516 | TimingError: 0.4516 | ReactionTime: 0.1820 | SpatialAccuracy: N/A | DirectionAccuracy: 1.0000 | CorrectHand: N/A</t>
        </is>
      </c>
    </row>
    <row r="97" ht="17" customHeight="1">
      <c r="A97" s="6">
        <v>96</v>
      </c>
      <c r="B97" s="6" t="inlineStr">
        <is>
          <t>2026-10-02 16:43:14.092</t>
        </is>
      </c>
      <c r="C97" s="6" t="inlineStr">
        <is>
          <t>Interaction</t>
        </is>
      </c>
      <c r="D97" s="6" t="inlineStr">
        <is>
          <t>Shipi</t>
        </is>
      </c>
      <c r="E97" s="6" t="inlineStr">
        <is>
          <t>FoodCut</t>
        </is>
      </c>
      <c r="F97" s="6" t="inlineStr">
        <is>
          <t>Failed</t>
        </is>
      </c>
      <c r="G97" s="6" t="inlineStr">
        <is>
          <t>Hard</t>
        </is>
      </c>
      <c r="K97" s="4">
        <v>0.0487</v>
      </c>
      <c r="L97" s="4">
        <v>0.5849</v>
      </c>
      <c r="M97" s="6">
        <v>101</v>
      </c>
      <c r="N97" s="6" t="inlineStr">
        <is>
          <t>2026-10-02 16:43:14.092 | Minigame: Shipi | Type: FoodCut | Outcome: Failed | Difficulty: Hard | ExpectedTime: 90.6176 | ActualTime: 90.5689 | TimingOffset: -0.0487 | TimingError: 0.0487 | ReactionTime: 0.5849 | SpatialAccuracy: N/A | DirectionAccuracy: 0.0000 | CorrectHand: N/A</t>
        </is>
      </c>
    </row>
    <row r="98" ht="17" customHeight="1">
      <c r="A98" s="0">
        <v>97</v>
      </c>
      <c r="B98" s="0" t="inlineStr">
        <is>
          <t>2026-10-02 16:43:15.259</t>
        </is>
      </c>
      <c r="C98" s="0" t="inlineStr">
        <is>
          <t>Interaction</t>
        </is>
      </c>
      <c r="D98" s="0" t="inlineStr">
        <is>
          <t>Shipi</t>
        </is>
      </c>
      <c r="E98" s="0" t="inlineStr">
        <is>
          <t>FoodCut</t>
        </is>
      </c>
      <c r="F98" s="0" t="inlineStr">
        <is>
          <t>Success</t>
        </is>
      </c>
      <c r="G98" s="0" t="inlineStr">
        <is>
          <t>Hard</t>
        </is>
      </c>
      <c r="K98" s="4">
        <v>0.0348</v>
      </c>
      <c r="L98" s="4">
        <v>0.5988</v>
      </c>
      <c r="M98" s="0">
        <v>102</v>
      </c>
      <c r="N98" s="0" t="inlineStr">
        <is>
          <t>2026-10-02 16:43:15.259 | Minigame: Shipi | Type: FoodCut | Outcome: Success | Difficulty: Hard | ExpectedTime: 91.7696 | ActualTime: 91.7348 | TimingOffset: -0.0348 | TimingError: 0.0348 | ReactionTime: 0.5988 | SpatialAccuracy: N/A | DirectionAccuracy: 1.0000 | CorrectHand: N/A</t>
        </is>
      </c>
    </row>
    <row r="99" ht="17" customHeight="1">
      <c r="A99" s="6">
        <v>98</v>
      </c>
      <c r="B99" s="6" t="inlineStr">
        <is>
          <t>2026-10-02 16:43:16.494</t>
        </is>
      </c>
      <c r="C99" s="6" t="inlineStr">
        <is>
          <t>Interaction</t>
        </is>
      </c>
      <c r="D99" s="6" t="inlineStr">
        <is>
          <t>Shipi</t>
        </is>
      </c>
      <c r="E99" s="6" t="inlineStr">
        <is>
          <t>FoodCut</t>
        </is>
      </c>
      <c r="F99" s="6" t="inlineStr">
        <is>
          <t>Success</t>
        </is>
      </c>
      <c r="G99" s="6" t="inlineStr">
        <is>
          <t>Hard</t>
        </is>
      </c>
      <c r="K99" s="4">
        <v>0.049</v>
      </c>
      <c r="L99" s="4">
        <v>0.6826</v>
      </c>
      <c r="M99" s="6">
        <v>103</v>
      </c>
      <c r="N99" s="6" t="inlineStr">
        <is>
          <t>2026-10-02 16:43:16.494 | Minigame: Shipi | Type: FoodCut | Outcome: Success | Difficulty: Hard | ExpectedTime: 92.9216 | ActualTime: 92.9706 | TimingOffset: 0.0490 | TimingError: 0.0490 | ReactionTime: 0.6826 | SpatialAccuracy: N/A | DirectionAccuracy: 1.0000 | CorrectHand: N/A</t>
        </is>
      </c>
    </row>
    <row r="100" ht="17" customHeight="1">
      <c r="A100" s="0">
        <v>99</v>
      </c>
      <c r="B100" s="0" t="inlineStr">
        <is>
          <t>2026-10-02 16:43:20.840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Hard</t>
        </is>
      </c>
      <c r="K100" s="4">
        <v>1.0214</v>
      </c>
      <c r="M100" s="0">
        <v>104</v>
      </c>
      <c r="N100" s="0" t="inlineStr">
        <is>
          <t>2026-10-02 16:43:20.840 | Minigame: JuanAndres | Type: GroomStroke | Outcome: Success | Difficulty: Hard | ExpectedTime: 96.1280 | ActualTime: 97.1494 | TimingOffset: 1.0214 | TimingError: 1.0214 | ReactionTime: N/A | SpatialAccuracy: N/A | DirectionAccuracy: 1.0000 | CorrectHand: True</t>
        </is>
      </c>
    </row>
    <row r="101" ht="17" customHeight="1">
      <c r="A101" s="6">
        <v>100</v>
      </c>
      <c r="B101" s="6" t="inlineStr">
        <is>
          <t>2026-10-02 16:43:22.117</t>
        </is>
      </c>
      <c r="C101" s="6" t="inlineStr">
        <is>
          <t>Interaction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Missed</t>
        </is>
      </c>
      <c r="G101" s="6" t="inlineStr">
        <is>
          <t>Hard</t>
        </is>
      </c>
      <c r="M101" s="6">
        <v>105</v>
      </c>
      <c r="N101" s="6" t="inlineStr">
        <is>
          <t>2026-10-02 16:43:22.117 | Minigame: JuanAndres | Type: GroomStroke | Outcome: Missed | Difficulty: Hard | ExpectedTime: 94.5920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16:43:22.505</t>
        </is>
      </c>
      <c r="C102" s="0" t="inlineStr">
        <is>
          <t>Interaction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Missed</t>
        </is>
      </c>
      <c r="G102" s="0" t="inlineStr">
        <is>
          <t>Hard</t>
        </is>
      </c>
      <c r="M102" s="0">
        <v>106</v>
      </c>
      <c r="N102" s="0" t="inlineStr">
        <is>
          <t>2026-10-02 16:43:22.505 | Minigame: JuanAndres | Type: GroomStroke | Outcome: Missed | Difficulty: Hard | ExpectedTime: 94.9760 | ActualTime: N/A | TimingOffset: N/A | TimingError: N/A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16:43:23.658</t>
        </is>
      </c>
      <c r="C103" s="6" t="inlineStr">
        <is>
          <t>Interaction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Missed</t>
        </is>
      </c>
      <c r="G103" s="6" t="inlineStr">
        <is>
          <t>Hard</t>
        </is>
      </c>
      <c r="M103" s="6">
        <v>107</v>
      </c>
      <c r="N103" s="6" t="inlineStr">
        <is>
          <t>2026-10-02 16:43:23.658 | Minigame: JuanAndres | Type: GroomStroke | Outcome: Missed | Difficulty: Hard | ExpectedTime: 96.1280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16:43:25.838</t>
        </is>
      </c>
      <c r="C104" s="0" t="inlineStr">
        <is>
          <t>PlayerState</t>
        </is>
      </c>
      <c r="H104" s="0" t="inlineStr">
        <is>
          <t>Idle</t>
        </is>
      </c>
      <c r="M104" s="0">
        <v>108</v>
      </c>
      <c r="N104" s="0" t="inlineStr">
        <is>
          <t>2026-10-02 16:43:25.838 | PlayerState: Idle</t>
        </is>
      </c>
    </row>
    <row r="105" ht="17" customHeight="1">
      <c r="A105" s="6">
        <v>104</v>
      </c>
      <c r="B105" s="6" t="inlineStr">
        <is>
          <t>2026-10-02 16:43:25.963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Missed</t>
        </is>
      </c>
      <c r="G105" s="6" t="inlineStr">
        <is>
          <t>Hard</t>
        </is>
      </c>
      <c r="M105" s="6">
        <v>109</v>
      </c>
      <c r="N105" s="6" t="inlineStr">
        <is>
          <t>2026-10-02 16:43:25.963 | Minigame: JuanAndres | Type: GroomStroke | Outcome: Missed | Difficulty: Hard | ExpectedTime: 98.4320 | ActualTime: N/A | TimingOffset: N/A | TimingError: N/A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16:43:26.407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Failed</t>
        </is>
      </c>
      <c r="G106" s="0" t="inlineStr">
        <is>
          <t>Hard</t>
        </is>
      </c>
      <c r="K106" s="4">
        <v>3.2443</v>
      </c>
      <c r="M106" s="0">
        <v>110</v>
      </c>
      <c r="N106" s="0" t="inlineStr">
        <is>
          <t>2026-10-02 16:43:26.407 | Minigame: JuanAndres | Type: GroomStroke | Outcome: Failed | Difficulty: Hard | ExpectedTime: 99.5840 | ActualTime: 102.8283 | TimingOffset: 3.2443 | TimingError: 3.2443 | ReactionTime: N/A | SpatialAccuracy: N/A | DirectionAccuracy: 0.0000 | CorrectHand: False</t>
        </is>
      </c>
    </row>
    <row r="107" ht="17" customHeight="1">
      <c r="A107" s="6">
        <v>106</v>
      </c>
      <c r="B107" s="6" t="inlineStr">
        <is>
          <t>2026-10-02 16:43:26.409</t>
        </is>
      </c>
      <c r="C107" s="6" t="inlineStr">
        <is>
          <t>PlayerState</t>
        </is>
      </c>
      <c r="H107" s="6" t="inlineStr">
        <is>
          <t>Engaged</t>
        </is>
      </c>
      <c r="M107" s="6">
        <v>111</v>
      </c>
      <c r="N107" s="6" t="inlineStr">
        <is>
          <t>2026-10-02 16:43:26.409 | PlayerState: Engaged</t>
        </is>
      </c>
    </row>
    <row r="108" ht="17" customHeight="1">
      <c r="A108" s="0">
        <v>107</v>
      </c>
      <c r="B108" s="0" t="inlineStr">
        <is>
          <t>2026-10-02 16:43:28.644</t>
        </is>
      </c>
      <c r="C108" s="0" t="inlineStr">
        <is>
          <t>Interaction</t>
        </is>
      </c>
      <c r="D108" s="0" t="inlineStr">
        <is>
          <t>JuanAndres</t>
        </is>
      </c>
      <c r="E108" s="0" t="inlineStr">
        <is>
          <t>GroomStroke</t>
        </is>
      </c>
      <c r="F108" s="0" t="inlineStr">
        <is>
          <t>Missed</t>
        </is>
      </c>
      <c r="G108" s="0" t="inlineStr">
        <is>
          <t>Hard</t>
        </is>
      </c>
      <c r="M108" s="0">
        <v>112</v>
      </c>
      <c r="N108" s="0" t="inlineStr">
        <is>
          <t>2026-10-02 16:43:28.644 | Minigame: JuanAndres | Type: GroomStroke | Outcome: Missed | Difficulty: Hard | ExpectedTime: 101.1200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16:43:28.644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Missed</t>
        </is>
      </c>
      <c r="G109" s="6" t="inlineStr">
        <is>
          <t>Hard</t>
        </is>
      </c>
      <c r="M109" s="6">
        <v>113</v>
      </c>
      <c r="N109" s="6" t="inlineStr">
        <is>
          <t>2026-10-02 16:43:28.644 | Minigame: JuanAndres | Type: GroomStroke | Outcome: Missed | Difficulty: Hard | ExpectedTime: 101.1200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16:43:29.034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Failed</t>
        </is>
      </c>
      <c r="G110" s="0" t="inlineStr">
        <is>
          <t>Hard</t>
        </is>
      </c>
      <c r="K110" s="4">
        <v>1.563</v>
      </c>
      <c r="M110" s="0">
        <v>114</v>
      </c>
      <c r="N110" s="0" t="inlineStr">
        <is>
          <t>2026-10-02 16:43:29.034 | Minigame: JuanAndres | Type: GroomStroke | Outcome: Failed | Difficulty: Hard | ExpectedTime: 103.8080 | ActualTime: 105.3710 | TimingOffset: 1.5630 | TimingError: 1.5630 | ReactionTime: N/A | SpatialAccuracy: N/A | DirectionAccuracy: 0.0000 | CorrectHand: True</t>
        </is>
      </c>
    </row>
    <row r="111" ht="17" customHeight="1">
      <c r="A111" s="6">
        <v>110</v>
      </c>
      <c r="B111" s="6" t="inlineStr">
        <is>
          <t>2026-10-02 16:43:30.895</t>
        </is>
      </c>
      <c r="C111" s="6" t="inlineStr">
        <is>
          <t>Interaction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Hard</t>
        </is>
      </c>
      <c r="K111" s="4">
        <v>1.1614</v>
      </c>
      <c r="M111" s="6">
        <v>115</v>
      </c>
      <c r="N111" s="6" t="inlineStr">
        <is>
          <t>2026-10-02 16:43:30.895 | Minigame: JuanAndres | Type: GroomStroke | Outcome: Failed | Difficulty: Hard | ExpectedTime: 106.1120 | ActualTime: 107.2734 | TimingOffset: 1.1614 | TimingError: 1.1614 | ReactionTime: N/A | SpatialAccuracy: N/A | DirectionAccuracy: 0.0000 | CorrectHand: False</t>
        </is>
      </c>
    </row>
    <row r="112" ht="17" customHeight="1">
      <c r="A112" s="0">
        <v>111</v>
      </c>
      <c r="B112" s="0" t="inlineStr">
        <is>
          <t>2026-10-02 16:43:30.895</t>
        </is>
      </c>
      <c r="C112" s="0" t="inlineStr">
        <is>
          <t>PlayerState</t>
        </is>
      </c>
      <c r="H112" s="0" t="inlineStr">
        <is>
          <t>Overloaded</t>
        </is>
      </c>
      <c r="M112" s="0">
        <v>116</v>
      </c>
      <c r="N112" s="0" t="inlineStr">
        <is>
          <t>2026-10-02 16:43:30.895 | PlayerState: Overloaded</t>
        </is>
      </c>
    </row>
    <row r="113" ht="17" customHeight="1">
      <c r="A113" s="6">
        <v>112</v>
      </c>
      <c r="B113" s="6" t="inlineStr">
        <is>
          <t>2026-10-02 16:43:30.896</t>
        </is>
      </c>
      <c r="C113" s="6" t="inlineStr">
        <is>
          <t>DifficultyChanged</t>
        </is>
      </c>
      <c r="D113" s="6" t="inlineStr">
        <is>
          <t>JuanAndres</t>
        </is>
      </c>
      <c r="I113" s="6" t="inlineStr">
        <is>
          <t>Hard -&gt; Normal</t>
        </is>
      </c>
      <c r="J113" s="6" t="inlineStr">
        <is>
          <t>PlayerState: Overloaded</t>
        </is>
      </c>
      <c r="M113" s="6">
        <v>117</v>
      </c>
      <c r="N113" s="6" t="inlineStr">
        <is>
          <t>2026-10-02 16:43:30.896 | DifficultyChanged: Hard -&gt; Normal | Reason: PlayerState: Overloaded | Minigame: JuanAndres | RecentSuccessRate: 0.00</t>
        </is>
      </c>
    </row>
    <row r="114" ht="17" customHeight="1">
      <c r="A114" s="0">
        <v>113</v>
      </c>
      <c r="B114" s="0" t="inlineStr">
        <is>
          <t>2026-10-02 16:43:30.896</t>
        </is>
      </c>
      <c r="C114" s="0" t="inlineStr">
        <is>
          <t>PlayerState</t>
        </is>
      </c>
      <c r="H114" s="0" t="inlineStr">
        <is>
          <t>Engaged</t>
        </is>
      </c>
      <c r="M114" s="0">
        <v>118</v>
      </c>
      <c r="N114" s="0" t="inlineStr">
        <is>
          <t>2026-10-02 16:43:30.896 | PlayerState: Engaged</t>
        </is>
      </c>
    </row>
    <row r="115" ht="17" customHeight="1">
      <c r="A115" s="6">
        <v>114</v>
      </c>
      <c r="B115" s="6" t="inlineStr">
        <is>
          <t>2026-10-02 16:43:32.491</t>
        </is>
      </c>
      <c r="C115" s="6" t="inlineStr">
        <is>
          <t>Interaction</t>
        </is>
      </c>
      <c r="D115" s="6" t="inlineStr">
        <is>
          <t>JuanAndres</t>
        </is>
      </c>
      <c r="E115" s="6" t="inlineStr">
        <is>
          <t>GroomStroke</t>
        </is>
      </c>
      <c r="F115" s="6" t="inlineStr">
        <is>
          <t>Missed</t>
        </is>
      </c>
      <c r="G115" s="6" t="inlineStr">
        <is>
          <t>Hard</t>
        </is>
      </c>
      <c r="M115" s="6">
        <v>119</v>
      </c>
      <c r="N115" s="6" t="inlineStr">
        <is>
          <t>2026-10-02 16:43:32.491 | Minigame: JuanAndres | Type: GroomStroke | Outcome: Missed | Difficulty: Hard | ExpectedTime: 104.9600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16:43:34.407</t>
        </is>
      </c>
      <c r="C116" s="0" t="inlineStr">
        <is>
          <t>Interaction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Missed</t>
        </is>
      </c>
      <c r="G116" s="0" t="inlineStr">
        <is>
          <t>Hard</t>
        </is>
      </c>
      <c r="M116" s="0">
        <v>120</v>
      </c>
      <c r="N116" s="0" t="inlineStr">
        <is>
          <t>2026-10-02 16:43:34.407 | Minigame: JuanAndres | Type: GroomStroke | Outcome: Missed | Difficulty: Hard | ExpectedTime: 106.8800 | ActualTime: N/A | TimingOffset: N/A | TimingError: N/A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16:43:35.560</t>
        </is>
      </c>
      <c r="C117" s="6" t="inlineStr">
        <is>
          <t>Interaction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Missed</t>
        </is>
      </c>
      <c r="G117" s="6" t="inlineStr">
        <is>
          <t>Hard</t>
        </is>
      </c>
      <c r="M117" s="6">
        <v>121</v>
      </c>
      <c r="N117" s="6" t="inlineStr">
        <is>
          <t>2026-10-02 16:43:35.560 | Minigame: JuanAndres | Type: GroomStroke | Outcome: Missed | Difficulty: Hard | ExpectedTime: 108.0320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16:43:35.561</t>
        </is>
      </c>
      <c r="C118" s="0" t="inlineStr">
        <is>
          <t>Interaction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Missed</t>
        </is>
      </c>
      <c r="G118" s="0" t="inlineStr">
        <is>
          <t>Hard</t>
        </is>
      </c>
      <c r="M118" s="0">
        <v>122</v>
      </c>
      <c r="N118" s="0" t="inlineStr">
        <is>
          <t>2026-10-02 16:43:35.561 | Minigame: JuanAndres | Type: GroomStroke | Outcome: Missed | Difficulty: Hard | ExpectedTime: 108.0320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16:43:35.894</t>
        </is>
      </c>
      <c r="C119" s="6" t="inlineStr">
        <is>
          <t>PlayerState</t>
        </is>
      </c>
      <c r="H119" s="6" t="inlineStr">
        <is>
          <t>Idle</t>
        </is>
      </c>
      <c r="M119" s="6">
        <v>123</v>
      </c>
      <c r="N119" s="6" t="inlineStr">
        <is>
          <t>2026-10-02 16:43:35.894 | PlayerState: Idle</t>
        </is>
      </c>
    </row>
    <row r="120" ht="17" customHeight="1">
      <c r="A120" s="0">
        <v>119</v>
      </c>
      <c r="B120" s="0" t="inlineStr">
        <is>
          <t>2026-10-02 16:43:36.894</t>
        </is>
      </c>
      <c r="C120" s="0" t="inlineStr">
        <is>
          <t>Interaction</t>
        </is>
      </c>
      <c r="D120" s="0" t="inlineStr">
        <is>
          <t>JuanAndres</t>
        </is>
      </c>
      <c r="E120" s="0" t="inlineStr">
        <is>
          <t>GroomStroke</t>
        </is>
      </c>
      <c r="F120" s="0" t="inlineStr">
        <is>
          <t>Failed</t>
        </is>
      </c>
      <c r="G120" s="0" t="inlineStr">
        <is>
          <t>Hard</t>
        </is>
      </c>
      <c r="K120" s="4">
        <v>0.4634</v>
      </c>
      <c r="M120" s="0">
        <v>124</v>
      </c>
      <c r="N120" s="0" t="inlineStr">
        <is>
          <t>2026-10-02 16:43:36.894 | Minigame: JuanAndres | Type: GroomStroke | Outcome: Failed | Difficulty: Hard | ExpectedTime: 113.7920 | ActualTime: 113.3286 | TimingOffset: -0.4634 | TimingError: 0.4634 | ReactionTime: N/A | SpatialAccuracy: N/A | DirectionAccuracy: 0.0000 | CorrectHand: True</t>
        </is>
      </c>
    </row>
    <row r="121" ht="17" customHeight="1">
      <c r="A121" s="6">
        <v>120</v>
      </c>
      <c r="B121" s="6" t="inlineStr">
        <is>
          <t>2026-10-02 16:43:37.477</t>
        </is>
      </c>
      <c r="C121" s="6" t="inlineStr">
        <is>
          <t>Interaction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Missed</t>
        </is>
      </c>
      <c r="G121" s="6" t="inlineStr">
        <is>
          <t>Hard</t>
        </is>
      </c>
      <c r="M121" s="6">
        <v>125</v>
      </c>
      <c r="N121" s="6" t="inlineStr">
        <is>
          <t>2026-10-02 16:43:37.477 | Minigame: JuanAndres | Type: GroomStroke | Outcome: Missed | Difficulty: Hard | ExpectedTime: 109.9520 | ActualTime: N/A | TimingOffset: N/A | TimingError: N/A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16:43:38.311</t>
        </is>
      </c>
      <c r="C122" s="0" t="inlineStr">
        <is>
          <t>Interaction</t>
        </is>
      </c>
      <c r="D122" s="0" t="inlineStr">
        <is>
          <t>JuanAndres</t>
        </is>
      </c>
      <c r="E122" s="0" t="inlineStr">
        <is>
          <t>GroomStroke</t>
        </is>
      </c>
      <c r="F122" s="0" t="inlineStr">
        <is>
          <t>Failed</t>
        </is>
      </c>
      <c r="G122" s="0" t="inlineStr">
        <is>
          <t>Hard</t>
        </is>
      </c>
      <c r="K122" s="4">
        <v>0.8979</v>
      </c>
      <c r="M122" s="0">
        <v>126</v>
      </c>
      <c r="N122" s="0" t="inlineStr">
        <is>
          <t>2026-10-02 16:43:38.311 | Minigame: JuanAndres | Type: GroomStroke | Outcome: Failed | Difficulty: Hard | ExpectedTime: 113.7920 | ActualTime: 114.6899 | TimingOffset: 0.8979 | TimingError: 0.8979 | ReactionTime: N/A | SpatialAccuracy: N/A | DirectionAccuracy: 0.0000 | CorrectHand: False</t>
        </is>
      </c>
    </row>
    <row r="123" ht="17" customHeight="1">
      <c r="A123" s="6">
        <v>122</v>
      </c>
      <c r="B123" s="6" t="inlineStr">
        <is>
          <t>2026-10-02 16:43:40.562</t>
        </is>
      </c>
      <c r="C123" s="6" t="inlineStr">
        <is>
          <t>Interaction</t>
        </is>
      </c>
      <c r="D123" s="6" t="inlineStr">
        <is>
          <t>JuanAndres</t>
        </is>
      </c>
      <c r="E123" s="6" t="inlineStr">
        <is>
          <t>GroomStroke</t>
        </is>
      </c>
      <c r="F123" s="6" t="inlineStr">
        <is>
          <t>Missed</t>
        </is>
      </c>
      <c r="G123" s="6" t="inlineStr">
        <is>
          <t>Hard</t>
        </is>
      </c>
      <c r="M123" s="6">
        <v>127</v>
      </c>
      <c r="N123" s="6" t="inlineStr">
        <is>
          <t>2026-10-02 16:43:40.562 | Minigame: JuanAndres | Type: GroomStroke | Outcome: Missed | Difficulty: Hard | ExpectedTime: 113.0240 | ActualTime: N/A | TimingOffset: N/A | TimingError: N/A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16:43:44.241</t>
        </is>
      </c>
      <c r="C124" s="0" t="inlineStr">
        <is>
          <t>Interaction</t>
        </is>
      </c>
      <c r="D124" s="0" t="inlineStr">
        <is>
          <t>JuanAndres</t>
        </is>
      </c>
      <c r="E124" s="0" t="inlineStr">
        <is>
          <t>GroomStroke</t>
        </is>
      </c>
      <c r="F124" s="0" t="inlineStr">
        <is>
          <t>Missed</t>
        </is>
      </c>
      <c r="G124" s="0" t="inlineStr">
        <is>
          <t>Normal</t>
        </is>
      </c>
      <c r="M124" s="0">
        <v>128</v>
      </c>
      <c r="N124" s="0" t="inlineStr">
        <is>
          <t>2026-10-02 16:43:44.241 | Minigame: JuanAndres | Type: GroomStroke | Outcome: Missed | Difficulty: Normal | ExpectedTime: 115.7120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16:43:45.783</t>
        </is>
      </c>
      <c r="C125" s="6" t="inlineStr">
        <is>
          <t>Interaction</t>
        </is>
      </c>
      <c r="D125" s="6" t="inlineStr">
        <is>
          <t>JuanAndres</t>
        </is>
      </c>
      <c r="E125" s="6" t="inlineStr">
        <is>
          <t>GroomStroke</t>
        </is>
      </c>
      <c r="F125" s="6" t="inlineStr">
        <is>
          <t>Missed</t>
        </is>
      </c>
      <c r="G125" s="6" t="inlineStr">
        <is>
          <t>Normal</t>
        </is>
      </c>
      <c r="M125" s="6">
        <v>129</v>
      </c>
      <c r="N125" s="6" t="inlineStr">
        <is>
          <t>2026-10-02 16:43:45.783 | Minigame: JuanAndres | Type: GroomStroke | Outcome: Missed | Difficulty: Normal | ExpectedTime: 117.2480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16:43:46.935</t>
        </is>
      </c>
      <c r="C126" s="0" t="inlineStr">
        <is>
          <t>Interaction</t>
        </is>
      </c>
      <c r="D126" s="0" t="inlineStr">
        <is>
          <t>JuanAndres</t>
        </is>
      </c>
      <c r="E126" s="0" t="inlineStr">
        <is>
          <t>GroomStroke</t>
        </is>
      </c>
      <c r="F126" s="0" t="inlineStr">
        <is>
          <t>Missed</t>
        </is>
      </c>
      <c r="G126" s="0" t="inlineStr">
        <is>
          <t>Normal</t>
        </is>
      </c>
      <c r="M126" s="0">
        <v>130</v>
      </c>
      <c r="N126" s="0" t="inlineStr">
        <is>
          <t>2026-10-02 16:43:46.935 | Minigame: JuanAndres | Type: GroomStroke | Outcome: Missed | Difficulty: Normal | ExpectedTime: 118.4000 | ActualTime: N/A | TimingOffset: N/A | TimingError: N/A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16:43:51.556</t>
        </is>
      </c>
      <c r="C127" s="6" t="inlineStr">
        <is>
          <t>Interaction</t>
        </is>
      </c>
      <c r="D127" s="6" t="inlineStr">
        <is>
          <t>Danniel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M127" s="6">
        <v>131</v>
      </c>
      <c r="N127" s="6" t="inlineStr">
        <is>
          <t>2026-10-02 16:43:51.556 | Minigame: Danniel | Type: PlayerHit | Outcome: Failed | Difficulty: Normal | ExpectedTime: 128.0318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16:43:51.791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Success</t>
        </is>
      </c>
      <c r="G128" s="0" t="inlineStr">
        <is>
          <t>Normal</t>
        </is>
      </c>
      <c r="K128" s="4">
        <v>0.1516</v>
      </c>
      <c r="M128" s="0">
        <v>132</v>
      </c>
      <c r="N128" s="0" t="inlineStr">
        <is>
          <t>2026-10-02 16:43:51.791 | Minigame: Danniel | Type: GunShoot | Outcome: Success | Difficulty: Normal | ExpectedTime: 127.6160 | ActualTime: 127.7676 | TimingOffset: 0.1516 | TimingError: 0.1516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16:43:51.792</t>
        </is>
      </c>
      <c r="C129" s="6" t="inlineStr">
        <is>
          <t>PlayerState</t>
        </is>
      </c>
      <c r="H129" s="6" t="inlineStr">
        <is>
          <t>Engaged</t>
        </is>
      </c>
      <c r="M129" s="6">
        <v>133</v>
      </c>
      <c r="N129" s="6" t="inlineStr">
        <is>
          <t>2026-10-02 16:43:51.792 | PlayerState: Engaged</t>
        </is>
      </c>
    </row>
    <row r="130" ht="17" customHeight="1">
      <c r="A130" s="0">
        <v>129</v>
      </c>
      <c r="B130" s="0" t="inlineStr">
        <is>
          <t>2026-10-02 16:43:53.361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Success</t>
        </is>
      </c>
      <c r="G130" s="0" t="inlineStr">
        <is>
          <t>Normal</t>
        </is>
      </c>
      <c r="K130" s="4">
        <v>0.0787</v>
      </c>
      <c r="M130" s="0">
        <v>134</v>
      </c>
      <c r="N130" s="0" t="inlineStr">
        <is>
          <t>2026-10-02 16:43:53.361 | Minigame: Danniel | Type: GunShoot | Outcome: Success | Difficulty: Normal | ExpectedTime: 129.1520 | ActualTime: 129.0733 | TimingOffset: -0.0787 | TimingError: 0.0787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16:43:55.193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Normal</t>
        </is>
      </c>
      <c r="K131" s="4">
        <v>0.0682</v>
      </c>
      <c r="M131" s="6">
        <v>135</v>
      </c>
      <c r="N131" s="6" t="inlineStr">
        <is>
          <t>2026-10-02 16:43:55.193 | Minigame: Danniel | Type: GunShoot | Outcome: Success | Difficulty: Normal | ExpectedTime: 131.0720 | ActualTime: 131.0038 | TimingOffset: -0.0682 | TimingError: 0.0682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16:43:56.152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Failed</t>
        </is>
      </c>
      <c r="G132" s="0" t="inlineStr">
        <is>
          <t>Normal</t>
        </is>
      </c>
      <c r="M132" s="0">
        <v>136</v>
      </c>
      <c r="N132" s="0" t="inlineStr">
        <is>
          <t>2026-10-02 16:43:56.152 | Minigame: Danniel | Type: GunShoot | Outcome: Failed | Difficulty: Normal | ExpectedTime: 132.6286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16:43:57.152</t>
        </is>
      </c>
      <c r="C133" s="6" t="inlineStr">
        <is>
          <t>Interaction</t>
        </is>
      </c>
      <c r="D133" s="6" t="inlineStr">
        <is>
          <t>Danniel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Normal</t>
        </is>
      </c>
      <c r="M133" s="6">
        <v>137</v>
      </c>
      <c r="N133" s="6" t="inlineStr">
        <is>
          <t>2026-10-02 16:43:57.152 | Minigame: Danniel | Type: PlayerHit | Outcome: Failed | Difficulty: Normal | ExpectedTime: 133.6278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16:43:57.331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PlayerHit</t>
        </is>
      </c>
      <c r="F134" s="0" t="inlineStr">
        <is>
          <t>Failed</t>
        </is>
      </c>
      <c r="G134" s="0" t="inlineStr">
        <is>
          <t>Normal</t>
        </is>
      </c>
      <c r="M134" s="0">
        <v>138</v>
      </c>
      <c r="N134" s="0" t="inlineStr">
        <is>
          <t>2026-10-02 16:43:57.331 | Minigame: Danniel | Type: PlayerHit | Outcome: Failed | Difficulty: Normal | ExpectedTime: 133.8083 | ActualTime: N/A | TimingOffset: N/A | TimingError: N/A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16:43:57.333</t>
        </is>
      </c>
      <c r="C135" s="6" t="inlineStr">
        <is>
          <t>PlayerState</t>
        </is>
      </c>
      <c r="H135" s="6" t="inlineStr">
        <is>
          <t>Overloaded</t>
        </is>
      </c>
      <c r="M135" s="6">
        <v>139</v>
      </c>
      <c r="N135" s="6" t="inlineStr">
        <is>
          <t>2026-10-02 16:43:57.333 | PlayerState: Overloaded</t>
        </is>
      </c>
    </row>
    <row r="136" ht="17" customHeight="1">
      <c r="A136" s="0">
        <v>135</v>
      </c>
      <c r="B136" s="0" t="inlineStr">
        <is>
          <t>2026-10-02 16:43:57.333</t>
        </is>
      </c>
      <c r="C136" s="0" t="inlineStr">
        <is>
          <t>DifficultyChanged</t>
        </is>
      </c>
      <c r="D136" s="0" t="inlineStr">
        <is>
          <t>Danniel</t>
        </is>
      </c>
      <c r="I136" s="0" t="inlineStr">
        <is>
          <t>Normal -&gt; Easy</t>
        </is>
      </c>
      <c r="J136" s="0" t="inlineStr">
        <is>
          <t>PlayerState: Overloaded</t>
        </is>
      </c>
      <c r="M136" s="0">
        <v>140</v>
      </c>
      <c r="N136" s="0" t="inlineStr">
        <is>
          <t>2026-10-02 16:43:57.333 | DifficultyChanged: Normal -&gt; Easy | Reason: PlayerState: Overloaded | Minigame: Danniel | RecentSuccessRate: 0.60</t>
        </is>
      </c>
    </row>
    <row r="137" ht="17" customHeight="1">
      <c r="A137" s="6">
        <v>136</v>
      </c>
      <c r="B137" s="6" t="inlineStr">
        <is>
          <t>2026-10-02 16:43:57.333</t>
        </is>
      </c>
      <c r="C137" s="6" t="inlineStr">
        <is>
          <t>PlayerState</t>
        </is>
      </c>
      <c r="H137" s="6" t="inlineStr">
        <is>
          <t>Engaged</t>
        </is>
      </c>
      <c r="M137" s="6">
        <v>141</v>
      </c>
      <c r="N137" s="6" t="inlineStr">
        <is>
          <t>2026-10-02 16:43:57.333 | PlayerState: Engaged</t>
        </is>
      </c>
    </row>
    <row r="138" ht="17" customHeight="1">
      <c r="A138" s="0">
        <v>137</v>
      </c>
      <c r="B138" s="0" t="inlineStr">
        <is>
          <t>2026-10-02 16:43:58.054</t>
        </is>
      </c>
      <c r="C138" s="0" t="inlineStr">
        <is>
          <t>Interaction</t>
        </is>
      </c>
      <c r="D138" s="0" t="inlineStr">
        <is>
          <t>Danniel</t>
        </is>
      </c>
      <c r="E138" s="0" t="inlineStr">
        <is>
          <t>GunShoot</t>
        </is>
      </c>
      <c r="F138" s="0" t="inlineStr">
        <is>
          <t>Success</t>
        </is>
      </c>
      <c r="G138" s="0" t="inlineStr">
        <is>
          <t>Normal</t>
        </is>
      </c>
      <c r="K138" s="4">
        <v>0.1736</v>
      </c>
      <c r="M138" s="0">
        <v>142</v>
      </c>
      <c r="N138" s="0" t="inlineStr">
        <is>
          <t>2026-10-02 16:43:58.054 | Minigame: Danniel | Type: GunShoot | Outcome: Success | Difficulty: Normal | ExpectedTime: 133.7600 | ActualTime: 133.5864 | TimingOffset: -0.1736 | TimingError: 0.1736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16:43:58.608</t>
        </is>
      </c>
      <c r="C139" s="6" t="inlineStr">
        <is>
          <t>Interaction</t>
        </is>
      </c>
      <c r="D139" s="6" t="inlineStr">
        <is>
          <t>Danniel</t>
        </is>
      </c>
      <c r="E139" s="6" t="inlineStr">
        <is>
          <t>PlayerHit</t>
        </is>
      </c>
      <c r="F139" s="6" t="inlineStr">
        <is>
          <t>Failed</t>
        </is>
      </c>
      <c r="G139" s="6" t="inlineStr">
        <is>
          <t>Easy</t>
        </is>
      </c>
      <c r="M139" s="6">
        <v>143</v>
      </c>
      <c r="N139" s="6" t="inlineStr">
        <is>
          <t>2026-10-02 16:43:58.608 | Minigame: Danniel | Type: PlayerHit | Outcome: Failed | Difficulty: Easy | ExpectedTime: 135.0855 | ActualTime: N/A | TimingOffset: N/A | TimingError: N/A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16:44:01.151</t>
        </is>
      </c>
      <c r="C140" s="0" t="inlineStr">
        <is>
          <t>PlayerState</t>
        </is>
      </c>
      <c r="H140" s="0" t="inlineStr">
        <is>
          <t>Idle</t>
        </is>
      </c>
      <c r="M140" s="0">
        <v>144</v>
      </c>
      <c r="N140" s="0" t="inlineStr">
        <is>
          <t>2026-10-02 16:44:01.151 | PlayerState: Idle</t>
        </is>
      </c>
    </row>
    <row r="141" ht="17" customHeight="1">
      <c r="A141" s="6">
        <v>140</v>
      </c>
      <c r="B141" s="6" t="inlineStr">
        <is>
          <t>2026-10-02 16:44:01.539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Success</t>
        </is>
      </c>
      <c r="G141" s="6" t="inlineStr">
        <is>
          <t>Easy</t>
        </is>
      </c>
      <c r="K141" s="4">
        <v>0.0568</v>
      </c>
      <c r="M141" s="6">
        <v>145</v>
      </c>
      <c r="N141" s="6" t="inlineStr">
        <is>
          <t>2026-10-02 16:44:01.539 | Minigame: Danniel | Type: GunShoot | Outcome: Success | Difficulty: Easy | ExpectedTime: 137.6000 | ActualTime: 137.5432 | TimingOffset: -0.0568 | TimingError: 0.0568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16:44:01.539</t>
        </is>
      </c>
      <c r="C142" s="0" t="inlineStr">
        <is>
          <t>PlayerState</t>
        </is>
      </c>
      <c r="H142" s="0" t="inlineStr">
        <is>
          <t>Engaged</t>
        </is>
      </c>
      <c r="M142" s="0">
        <v>146</v>
      </c>
      <c r="N142" s="0" t="inlineStr">
        <is>
          <t>2026-10-02 16:44:01.539 | PlayerState: Engaged</t>
        </is>
      </c>
    </row>
    <row r="143" ht="17" customHeight="1">
      <c r="A143" s="6">
        <v>142</v>
      </c>
      <c r="B143" s="6" t="inlineStr">
        <is>
          <t>2026-10-02 16:44:02.372</t>
        </is>
      </c>
      <c r="C143" s="6" t="inlineStr">
        <is>
          <t>Interaction</t>
        </is>
      </c>
      <c r="D143" s="6" t="inlineStr">
        <is>
          <t>Danniel</t>
        </is>
      </c>
      <c r="E143" s="6" t="inlineStr">
        <is>
          <t>GunShoot</t>
        </is>
      </c>
      <c r="F143" s="6" t="inlineStr">
        <is>
          <t>Failed</t>
        </is>
      </c>
      <c r="G143" s="6" t="inlineStr">
        <is>
          <t>Easy</t>
        </is>
      </c>
      <c r="M143" s="6">
        <v>147</v>
      </c>
      <c r="N143" s="6" t="inlineStr">
        <is>
          <t>2026-10-02 16:44:02.372 | Minigame: Danniel | Type: GunShoot | Outcome: Failed | Difficulty: Easy | ExpectedTime: 138.8484 | ActualTime: N/A | TimingOffset: N/A | TimingError: N/A | ReactionTime: N/A | SpatialAccuracy: N/A | DirectionAccuracy: N/A | CorrectHand: N/A</t>
        </is>
      </c>
    </row>
    <row r="144" ht="17" customHeight="1">
      <c r="A144" s="0">
        <v>143</v>
      </c>
      <c r="B144" s="0" t="inlineStr">
        <is>
          <t>2026-10-02 16:44:03.081</t>
        </is>
      </c>
      <c r="C144" s="0" t="inlineStr">
        <is>
          <t>Interaction</t>
        </is>
      </c>
      <c r="D144" s="0" t="inlineStr">
        <is>
          <t>Danniel</t>
        </is>
      </c>
      <c r="E144" s="0" t="inlineStr">
        <is>
          <t>GunShoot</t>
        </is>
      </c>
      <c r="F144" s="0" t="inlineStr">
        <is>
          <t>Success</t>
        </is>
      </c>
      <c r="G144" s="0" t="inlineStr">
        <is>
          <t>Easy</t>
        </is>
      </c>
      <c r="K144" s="4">
        <v>0.0933</v>
      </c>
      <c r="M144" s="0">
        <v>148</v>
      </c>
      <c r="N144" s="0" t="inlineStr">
        <is>
          <t>2026-10-02 16:44:03.081 | Minigame: Danniel | Type: GunShoot | Outcome: Success | Difficulty: Easy | ExpectedTime: 139.1360 | ActualTime: 139.0427 | TimingOffset: -0.0933 | TimingError: 0.0933 | ReactionTime: N/A | SpatialAccuracy: N/A | DirectionAccuracy: N/A | CorrectHand: N/A</t>
        </is>
      </c>
    </row>
    <row r="145" ht="17" customHeight="1">
      <c r="A145" s="6">
        <v>144</v>
      </c>
      <c r="B145" s="6" t="inlineStr">
        <is>
          <t>2026-10-02 16:44:04.191</t>
        </is>
      </c>
      <c r="C145" s="6" t="inlineStr">
        <is>
          <t>Interaction</t>
        </is>
      </c>
      <c r="D145" s="6" t="inlineStr">
        <is>
          <t>Danniel</t>
        </is>
      </c>
      <c r="E145" s="6" t="inlineStr">
        <is>
          <t>GunShoot</t>
        </is>
      </c>
      <c r="F145" s="6" t="inlineStr">
        <is>
          <t>Success</t>
        </is>
      </c>
      <c r="G145" s="6" t="inlineStr">
        <is>
          <t>Easy</t>
        </is>
      </c>
      <c r="K145" s="4">
        <v>0.1807</v>
      </c>
      <c r="M145" s="6">
        <v>149</v>
      </c>
      <c r="N145" s="6" t="inlineStr">
        <is>
          <t>2026-10-02 16:44:04.191 | Minigame: Danniel | Type: GunShoot | Outcome: Success | Difficulty: Easy | ExpectedTime: 139.9040 | ActualTime: 140.0847 | TimingOffset: 0.1807 | TimingError: 0.1807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16:44:05.414</t>
        </is>
      </c>
      <c r="C146" s="0" t="inlineStr">
        <is>
          <t>Interaction</t>
        </is>
      </c>
      <c r="D146" s="0" t="inlineStr">
        <is>
          <t>Danniel</t>
        </is>
      </c>
      <c r="E146" s="0" t="inlineStr">
        <is>
          <t>GunShoot</t>
        </is>
      </c>
      <c r="F146" s="0" t="inlineStr">
        <is>
          <t>Failed</t>
        </is>
      </c>
      <c r="G146" s="0" t="inlineStr">
        <is>
          <t>Easy</t>
        </is>
      </c>
      <c r="M146" s="0">
        <v>150</v>
      </c>
      <c r="N146" s="0" t="inlineStr">
        <is>
          <t>2026-10-02 16:44:05.414 | Minigame: Danniel | Type: GunShoot | Outcome: Failed | Difficulty: Easy | ExpectedTime: 141.8907 | ActualTime: N/A | TimingOffset: N/A | TimingError: N/A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16:44:08.541</t>
        </is>
      </c>
      <c r="C147" s="6" t="inlineStr">
        <is>
          <t>Interaction</t>
        </is>
      </c>
      <c r="D147" s="6" t="inlineStr">
        <is>
          <t>Danniel</t>
        </is>
      </c>
      <c r="E147" s="6" t="inlineStr">
        <is>
          <t>GunShoot</t>
        </is>
      </c>
      <c r="F147" s="6" t="inlineStr">
        <is>
          <t>Failed</t>
        </is>
      </c>
      <c r="G147" s="6" t="inlineStr">
        <is>
          <t>Easy</t>
        </is>
      </c>
      <c r="M147" s="6">
        <v>151</v>
      </c>
      <c r="N147" s="6" t="inlineStr">
        <is>
          <t>2026-10-02 16:44:08.541 | Minigame: Danniel | Type: GunShoot | Outcome: Failed | Difficulty: Easy | ExpectedTime: 145.0163 | ActualTime: N/A | TimingOffset: N/A | TimingError: N/A | ReactionTime: N/A | SpatialAccuracy: N/A | DirectionAccuracy: N/A | CorrectHand: N/A</t>
        </is>
      </c>
    </row>
    <row r="148" ht="17" customHeight="1">
      <c r="A148" s="0">
        <v>147</v>
      </c>
      <c r="B148" s="0" t="inlineStr">
        <is>
          <t>2026-10-02 16:44:11.707</t>
        </is>
      </c>
      <c r="C148" s="0" t="inlineStr">
        <is>
          <t>Interaction</t>
        </is>
      </c>
      <c r="D148" s="0" t="inlineStr">
        <is>
          <t>Danniel</t>
        </is>
      </c>
      <c r="E148" s="0" t="inlineStr">
        <is>
          <t>GunShoot</t>
        </is>
      </c>
      <c r="F148" s="0" t="inlineStr">
        <is>
          <t>Failed</t>
        </is>
      </c>
      <c r="G148" s="0" t="inlineStr">
        <is>
          <t>Easy</t>
        </is>
      </c>
      <c r="M148" s="0">
        <v>152</v>
      </c>
      <c r="N148" s="0" t="inlineStr">
        <is>
          <t>2026-10-02 16:44:11.707 | Minigame: Danniel | Type: GunShoot | Outcome: Failed | Difficulty: Easy | ExpectedTime: 148.1838 | ActualTime: N/A | TimingOffset: N/A | TimingError: N/A | ReactionTime: N/A | SpatialAccuracy: N/A | DirectionAccuracy: N/A | CorrectHand: N/A</t>
        </is>
      </c>
    </row>
    <row r="149" ht="17" customHeight="1">
      <c r="A149" s="6">
        <v>148</v>
      </c>
      <c r="B149" s="6" t="inlineStr">
        <is>
          <t>2026-10-02 16:44:11.707</t>
        </is>
      </c>
      <c r="C149" s="6" t="inlineStr">
        <is>
          <t>PlayerState</t>
        </is>
      </c>
      <c r="H149" s="6" t="inlineStr">
        <is>
          <t>Overloaded</t>
        </is>
      </c>
      <c r="M149" s="6">
        <v>153</v>
      </c>
      <c r="N149" s="6" t="inlineStr">
        <is>
          <t>2026-10-02 16:44:11.707 | PlayerState: Overloaded</t>
        </is>
      </c>
    </row>
    <row r="150" ht="17" customHeight="1">
      <c r="A150" s="0">
        <v>149</v>
      </c>
      <c r="B150" s="0" t="inlineStr">
        <is>
          <t>2026-10-02 16:44:12.041</t>
        </is>
      </c>
      <c r="C150" s="0" t="inlineStr">
        <is>
          <t>Interaction</t>
        </is>
      </c>
      <c r="D150" s="0" t="inlineStr">
        <is>
          <t>Danniel</t>
        </is>
      </c>
      <c r="E150" s="0" t="inlineStr">
        <is>
          <t>GunShoot</t>
        </is>
      </c>
      <c r="F150" s="0" t="inlineStr">
        <is>
          <t>Success</t>
        </is>
      </c>
      <c r="G150" s="0" t="inlineStr">
        <is>
          <t>Easy</t>
        </is>
      </c>
      <c r="K150" s="4">
        <v>0.0304</v>
      </c>
      <c r="M150" s="0">
        <v>154</v>
      </c>
      <c r="N150" s="0" t="inlineStr">
        <is>
          <t>2026-10-02 16:44:12.041 | Minigame: Danniel | Type: GunShoot | Outcome: Success | Difficulty: Easy | ExpectedTime: 147.5840 | ActualTime: 147.6144 | TimingOffset: 0.0304 | TimingError: 0.0304 | ReactionTime: N/A | SpatialAccuracy: N/A | DirectionAccuracy: N/A | CorrectHand: N/A</t>
        </is>
      </c>
    </row>
    <row r="151" ht="17" customHeight="1">
      <c r="A151" s="6">
        <v>150</v>
      </c>
      <c r="B151" s="6" t="inlineStr">
        <is>
          <t>2026-10-02 16:44:14.652</t>
        </is>
      </c>
      <c r="C151" s="6" t="inlineStr">
        <is>
          <t>Interaction</t>
        </is>
      </c>
      <c r="D151" s="6" t="inlineStr">
        <is>
          <t>Danniel</t>
        </is>
      </c>
      <c r="E151" s="6" t="inlineStr">
        <is>
          <t>GunShoot</t>
        </is>
      </c>
      <c r="F151" s="6" t="inlineStr">
        <is>
          <t>Success</t>
        </is>
      </c>
      <c r="G151" s="6" t="inlineStr">
        <is>
          <t>Easy</t>
        </is>
      </c>
      <c r="K151" s="4">
        <v>0.1763</v>
      </c>
      <c r="M151" s="6">
        <v>155</v>
      </c>
      <c r="N151" s="6" t="inlineStr">
        <is>
          <t>2026-10-02 16:44:14.652 | Minigame: Danniel | Type: GunShoot | Outcome: Success | Difficulty: Easy | ExpectedTime: 150.2720 | ActualTime: 150.4483 | TimingOffset: 0.1763 | TimingError: 0.1763 | ReactionTime: N/A | SpatialAccuracy: N/A | DirectionAccuracy: N/A | CorrectHand: N/A</t>
        </is>
      </c>
    </row>
    <row r="152" ht="17" customHeight="1">
      <c r="A152" s="0">
        <v>151</v>
      </c>
      <c r="B152" s="0" t="inlineStr">
        <is>
          <t>2026-10-02 16:44:15.014</t>
        </is>
      </c>
      <c r="C152" s="0" t="inlineStr">
        <is>
          <t>Interaction</t>
        </is>
      </c>
      <c r="D152" s="0" t="inlineStr">
        <is>
          <t>Danniel</t>
        </is>
      </c>
      <c r="E152" s="0" t="inlineStr">
        <is>
          <t>GunShoot</t>
        </is>
      </c>
      <c r="F152" s="0" t="inlineStr">
        <is>
          <t>Failed</t>
        </is>
      </c>
      <c r="G152" s="0" t="inlineStr">
        <is>
          <t>Easy</t>
        </is>
      </c>
      <c r="M152" s="0">
        <v>156</v>
      </c>
      <c r="N152" s="0" t="inlineStr">
        <is>
          <t>2026-10-02 16:44:15.014 | Minigame: Danniel | Type: GunShoot | Outcome: Failed | Difficulty: Easy | ExpectedTime: 151.4899 | ActualTime: N/A | TimingOffset: N/A | TimingError: N/A | ReactionTime: N/A | SpatialAccuracy: N/A | DirectionAccuracy: N/A | CorrectHand: N/A</t>
        </is>
      </c>
    </row>
    <row r="153" ht="17" customHeight="1">
      <c r="A153" s="6">
        <v>152</v>
      </c>
      <c r="B153" s="6" t="inlineStr">
        <is>
          <t>2026-10-02 16:44:16.069</t>
        </is>
      </c>
      <c r="C153" s="6" t="inlineStr">
        <is>
          <t>Interaction</t>
        </is>
      </c>
      <c r="D153" s="6" t="inlineStr">
        <is>
          <t>Danniel</t>
        </is>
      </c>
      <c r="E153" s="6" t="inlineStr">
        <is>
          <t>GunShoot</t>
        </is>
      </c>
      <c r="F153" s="6" t="inlineStr">
        <is>
          <t>Success</t>
        </is>
      </c>
      <c r="G153" s="6" t="inlineStr">
        <is>
          <t>Easy</t>
        </is>
      </c>
      <c r="K153" s="4">
        <v>0.1098</v>
      </c>
      <c r="M153" s="6">
        <v>157</v>
      </c>
      <c r="N153" s="6" t="inlineStr">
        <is>
          <t>2026-10-02 16:44:16.069 | Minigame: Danniel | Type: GunShoot | Outcome: Success | Difficulty: Easy | ExpectedTime: 151.8080 | ActualTime: 151.6982 | TimingOffset: -0.1098 | TimingError: 0.1098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16:44:16.444</t>
        </is>
      </c>
      <c r="C154" s="0" t="inlineStr">
        <is>
          <t>Interaction</t>
        </is>
      </c>
      <c r="D154" s="0" t="inlineStr">
        <is>
          <t>Danniel</t>
        </is>
      </c>
      <c r="E154" s="0" t="inlineStr">
        <is>
          <t>GunShoot</t>
        </is>
      </c>
      <c r="F154" s="0" t="inlineStr">
        <is>
          <t>Missed</t>
        </is>
      </c>
      <c r="G154" s="0" t="inlineStr">
        <is>
          <t>Normal</t>
        </is>
      </c>
      <c r="M154" s="0">
        <v>158</v>
      </c>
      <c r="N154" s="0" t="inlineStr">
        <is>
          <t>2026-10-02 16:44:16.444 | Minigame: Danniel | Type: GunShoot | Outcome: Missed | Difficulty: Normal | ExpectedTime: 152.9205 | ActualTime: N/A | TimingOffset: N/A | TimingError: N/A | ReactionTime: N/A | SpatialAccuracy: N/A | DirectionAccuracy: N/A | CorrectHand: N/A</t>
        </is>
      </c>
    </row>
    <row r="155" ht="17" customHeight="1">
      <c r="A155" s="6">
        <v>154</v>
      </c>
      <c r="B155" s="6" t="inlineStr">
        <is>
          <t>2026-10-02 16:44:16.444</t>
        </is>
      </c>
      <c r="C155" s="6" t="inlineStr">
        <is>
          <t>Interaction</t>
        </is>
      </c>
      <c r="D155" s="6" t="inlineStr">
        <is>
          <t>Danniel</t>
        </is>
      </c>
      <c r="E155" s="6" t="inlineStr">
        <is>
          <t>GunShoot</t>
        </is>
      </c>
      <c r="F155" s="6" t="inlineStr">
        <is>
          <t>Missed</t>
        </is>
      </c>
      <c r="G155" s="6" t="inlineStr">
        <is>
          <t>Normal</t>
        </is>
      </c>
      <c r="M155" s="6">
        <v>159</v>
      </c>
      <c r="N155" s="6" t="inlineStr">
        <is>
          <t>2026-10-02 16:44:16.444 | Minigame: Danniel | Type: GunShoot | Outcome: Missed | Difficulty: Normal | ExpectedTime: 152.9205 | ActualTime: N/A | TimingOffset: N/A | TimingError: N/A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16:44:18.373</t>
        </is>
      </c>
      <c r="C156" s="0" t="inlineStr">
        <is>
          <t>Interaction</t>
        </is>
      </c>
      <c r="D156" s="0" t="inlineStr">
        <is>
          <t>Danniel</t>
        </is>
      </c>
      <c r="E156" s="0" t="inlineStr">
        <is>
          <t>GunShoot</t>
        </is>
      </c>
      <c r="F156" s="0" t="inlineStr">
        <is>
          <t>Failed</t>
        </is>
      </c>
      <c r="G156" s="0" t="inlineStr">
        <is>
          <t>Easy</t>
        </is>
      </c>
      <c r="M156" s="0">
        <v>160</v>
      </c>
      <c r="N156" s="0" t="inlineStr">
        <is>
          <t>2026-10-02 16:44:18.373 | Minigame: Danniel | Type: GunShoot | Outcome: Failed | Difficulty: Easy | ExpectedTime: 154.8491 | ActualTime: N/A | TimingOffset: N/A | TimingError: N/A | ReactionTime: N/A | SpatialAccuracy: N/A | DirectionAccuracy: N/A | CorrectHand: N/A</t>
        </is>
      </c>
    </row>
    <row r="157" ht="17" customHeight="1">
      <c r="A157" s="6">
        <v>156</v>
      </c>
      <c r="B157" s="6" t="inlineStr">
        <is>
          <t>2026-10-02 16:44:23.373</t>
        </is>
      </c>
      <c r="C157" s="6" t="inlineStr">
        <is>
          <t>PlayerState</t>
        </is>
      </c>
      <c r="H157" s="6" t="inlineStr">
        <is>
          <t>Idle</t>
        </is>
      </c>
      <c r="M157" s="6">
        <v>161</v>
      </c>
      <c r="N157" s="6" t="inlineStr">
        <is>
          <t>2026-10-02 16:44:23.373 | PlayerState: Idle</t>
        </is>
      </c>
    </row>
    <row r="158" ht="17" customHeight="1">
      <c r="A158" s="0">
        <v>157</v>
      </c>
      <c r="B158" s="0" t="inlineStr">
        <is>
          <t>2026-10-02 16:44:28.968</t>
        </is>
      </c>
      <c r="C158" s="0" t="inlineStr">
        <is>
          <t>Interaction</t>
        </is>
      </c>
      <c r="D158" s="0" t="inlineStr">
        <is>
          <t>Jeremy</t>
        </is>
      </c>
      <c r="E158" s="0" t="inlineStr">
        <is>
          <t>SwordCut</t>
        </is>
      </c>
      <c r="F158" s="0" t="inlineStr">
        <is>
          <t>Success</t>
        </is>
      </c>
      <c r="G158" s="0" t="inlineStr">
        <is>
          <t>Easy</t>
        </is>
      </c>
      <c r="K158" s="4">
        <v>0.0371</v>
      </c>
      <c r="M158" s="0">
        <v>162</v>
      </c>
      <c r="N158" s="0" t="inlineStr">
        <is>
          <t>2026-10-02 16:44:28.968 | Minigame: Jeremy | Type: SwordCut | Outcome: Success | Difficulty: Easy | ExpectedTime: 165.4073 | ActualTime: 165.4444 | TimingOffset: 0.0371 | TimingError: 0.0371 | ReactionTime: N/A | SpatialAccuracy: N/A | DirectionAccuracy: 1.0000 | CorrectHand: True</t>
        </is>
      </c>
    </row>
    <row r="159" ht="17" customHeight="1">
      <c r="A159" s="6">
        <v>158</v>
      </c>
      <c r="B159" s="6" t="inlineStr">
        <is>
          <t>2026-10-02 16:44:28.968</t>
        </is>
      </c>
      <c r="C159" s="6" t="inlineStr">
        <is>
          <t>PlayerState</t>
        </is>
      </c>
      <c r="H159" s="6" t="inlineStr">
        <is>
          <t>Engaged</t>
        </is>
      </c>
      <c r="M159" s="6">
        <v>163</v>
      </c>
      <c r="N159" s="6" t="inlineStr">
        <is>
          <t>2026-10-02 16:44:28.968 | PlayerState: Engaged</t>
        </is>
      </c>
    </row>
    <row r="160" ht="17" customHeight="1">
      <c r="A160" s="0">
        <v>159</v>
      </c>
      <c r="B160" s="0" t="inlineStr">
        <is>
          <t>2026-10-02 16:44:31.355</t>
        </is>
      </c>
      <c r="C160" s="0" t="inlineStr">
        <is>
          <t>Interaction</t>
        </is>
      </c>
      <c r="D160" s="0" t="inlineStr">
        <is>
          <t>Jeremy</t>
        </is>
      </c>
      <c r="E160" s="0" t="inlineStr">
        <is>
          <t>SwordCut</t>
        </is>
      </c>
      <c r="F160" s="0" t="inlineStr">
        <is>
          <t>Success</t>
        </is>
      </c>
      <c r="G160" s="0" t="inlineStr">
        <is>
          <t>Easy</t>
        </is>
      </c>
      <c r="K160" s="4">
        <v>0.1266</v>
      </c>
      <c r="M160" s="0">
        <v>164</v>
      </c>
      <c r="N160" s="0" t="inlineStr">
        <is>
          <t>2026-10-02 16:44:31.355 | Minigame: Jeremy | Type: SwordCut | Outcome: Success | Difficulty: Easy | ExpectedTime: 167.7061 | ActualTime: 167.8327 | TimingOffset: 0.1266 | TimingError: 0.1266 | ReactionTime: N/A | SpatialAccuracy: N/A | DirectionAccuracy: 1.0000 | CorrectHand: True</t>
        </is>
      </c>
    </row>
    <row r="161" ht="17" customHeight="1">
      <c r="A161" s="6">
        <v>160</v>
      </c>
      <c r="B161" s="6" t="inlineStr">
        <is>
          <t>2026-10-02 16:44:33.716</t>
        </is>
      </c>
      <c r="C161" s="6" t="inlineStr">
        <is>
          <t>Interaction</t>
        </is>
      </c>
      <c r="D161" s="6" t="inlineStr">
        <is>
          <t>Jeremy</t>
        </is>
      </c>
      <c r="E161" s="6" t="inlineStr">
        <is>
          <t>SwordCut</t>
        </is>
      </c>
      <c r="F161" s="6" t="inlineStr">
        <is>
          <t>Failed</t>
        </is>
      </c>
      <c r="G161" s="6" t="inlineStr">
        <is>
          <t>Easy</t>
        </is>
      </c>
      <c r="K161" s="4">
        <v>0.1886</v>
      </c>
      <c r="M161" s="6">
        <v>165</v>
      </c>
      <c r="N161" s="6" t="inlineStr">
        <is>
          <t>2026-10-02 16:44:33.716 | Minigame: Jeremy | Type: SwordCut | Outcome: Failed | Difficulty: Easy | ExpectedTime: 170.0049 | ActualTime: 170.1935 | TimingOffset: 0.1886 | TimingError: 0.1886 | ReactionTime: N/A | SpatialAccuracy: N/A | DirectionAccuracy: 0.0000 | CorrectHand: True</t>
        </is>
      </c>
    </row>
    <row r="162" ht="17" customHeight="1">
      <c r="A162" s="0">
        <v>161</v>
      </c>
      <c r="B162" s="0" t="inlineStr">
        <is>
          <t>2026-10-02 16:44:36.079</t>
        </is>
      </c>
      <c r="C162" s="0" t="inlineStr">
        <is>
          <t>Interaction</t>
        </is>
      </c>
      <c r="D162" s="0" t="inlineStr">
        <is>
          <t>Jeremy</t>
        </is>
      </c>
      <c r="E162" s="0" t="inlineStr">
        <is>
          <t>SwordCut</t>
        </is>
      </c>
      <c r="F162" s="0" t="inlineStr">
        <is>
          <t>Failed</t>
        </is>
      </c>
      <c r="G162" s="0" t="inlineStr">
        <is>
          <t>Easy</t>
        </is>
      </c>
      <c r="K162" s="4">
        <v>0.2513</v>
      </c>
      <c r="M162" s="0">
        <v>166</v>
      </c>
      <c r="N162" s="0" t="inlineStr">
        <is>
          <t>2026-10-02 16:44:36.079 | Minigame: Jeremy | Type: SwordCut | Outcome: Failed | Difficulty: Easy | ExpectedTime: 172.3037 | ActualTime: 172.5549 | TimingOffset: 0.2513 | TimingError: 0.2513 | ReactionTime: N/A | SpatialAccuracy: N/A | DirectionAccuracy: 1.0000 | CorrectHand: False</t>
        </is>
      </c>
    </row>
    <row r="163" ht="17" customHeight="1">
      <c r="A163" s="6">
        <v>162</v>
      </c>
      <c r="B163" s="6" t="inlineStr">
        <is>
          <t>2026-10-02 16:44:38.760</t>
        </is>
      </c>
      <c r="C163" s="6" t="inlineStr">
        <is>
          <t>Interaction</t>
        </is>
      </c>
      <c r="D163" s="6" t="inlineStr">
        <is>
          <t>Jeremy</t>
        </is>
      </c>
      <c r="E163" s="6" t="inlineStr">
        <is>
          <t>SwordCut</t>
        </is>
      </c>
      <c r="F163" s="6" t="inlineStr">
        <is>
          <t>Missed</t>
        </is>
      </c>
      <c r="G163" s="6" t="inlineStr">
        <is>
          <t>Easy</t>
        </is>
      </c>
      <c r="M163" s="6">
        <v>167</v>
      </c>
      <c r="N163" s="6" t="inlineStr">
        <is>
          <t>2026-10-02 16:44:38.760 | Minigame: Jeremy | Type: SwordCut | Outcome: Missed | Difficulty: Easy | ExpectedTime: 174.6024 | ActualTime: N/A | TimingOffset: N/A | TimingError: N/A | ReactionTime: N/A | SpatialAccuracy: N/A | DirectionAccuracy: N/A | CorrectHand: N/A</t>
        </is>
      </c>
    </row>
    <row r="164" ht="17" customHeight="1">
      <c r="A164" s="0">
        <v>163</v>
      </c>
      <c r="B164" s="0" t="inlineStr">
        <is>
          <t>2026-10-02 16:44:38.761</t>
        </is>
      </c>
      <c r="C164" s="0" t="inlineStr">
        <is>
          <t>PlayerState</t>
        </is>
      </c>
      <c r="H164" s="0" t="inlineStr">
        <is>
          <t>Overloaded</t>
        </is>
      </c>
      <c r="M164" s="0">
        <v>168</v>
      </c>
      <c r="N164" s="0" t="inlineStr">
        <is>
          <t>2026-10-02 16:44:38.761 | PlayerState: Overloaded</t>
        </is>
      </c>
    </row>
    <row r="165" ht="17" customHeight="1">
      <c r="A165" s="6">
        <v>164</v>
      </c>
      <c r="B165" s="6" t="inlineStr">
        <is>
          <t>2026-10-02 16:44:40.538</t>
        </is>
      </c>
      <c r="C165" s="6" t="inlineStr">
        <is>
          <t>Interaction</t>
        </is>
      </c>
      <c r="D165" s="6" t="inlineStr">
        <is>
          <t>Jeremy</t>
        </is>
      </c>
      <c r="E165" s="6" t="inlineStr">
        <is>
          <t>SwordCut</t>
        </is>
      </c>
      <c r="F165" s="6" t="inlineStr">
        <is>
          <t>Success</t>
        </is>
      </c>
      <c r="G165" s="6" t="inlineStr">
        <is>
          <t>Easy</t>
        </is>
      </c>
      <c r="K165" s="4">
        <v>0.1128</v>
      </c>
      <c r="M165" s="6">
        <v>169</v>
      </c>
      <c r="N165" s="6" t="inlineStr">
        <is>
          <t>2026-10-02 16:44:40.538 | Minigame: Jeremy | Type: SwordCut | Outcome: Success | Difficulty: Easy | ExpectedTime: 176.9012 | ActualTime: 177.0141 | TimingOffset: 0.1128 | TimingError: 0.1128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16:44:42.830</t>
        </is>
      </c>
      <c r="C166" s="0" t="inlineStr">
        <is>
          <t>Interaction</t>
        </is>
      </c>
      <c r="D166" s="0" t="inlineStr">
        <is>
          <t>Jeremy</t>
        </is>
      </c>
      <c r="E166" s="0" t="inlineStr">
        <is>
          <t>SwordCut</t>
        </is>
      </c>
      <c r="F166" s="0" t="inlineStr">
        <is>
          <t>Failed</t>
        </is>
      </c>
      <c r="G166" s="0" t="inlineStr">
        <is>
          <t>Easy</t>
        </is>
      </c>
      <c r="K166" s="4">
        <v>0.1056</v>
      </c>
      <c r="M166" s="0">
        <v>170</v>
      </c>
      <c r="N166" s="0" t="inlineStr">
        <is>
          <t>2026-10-02 16:44:42.830 | Minigame: Jeremy | Type: SwordCut | Outcome: Failed | Difficulty: Easy | ExpectedTime: 179.2000 | ActualTime: 179.3056 | TimingOffset: 0.1056 | TimingError: 0.1056 | ReactionTime: N/A | SpatialAccuracy: N/A | DirectionAccuracy: 0.0000 | CorrectHand: True</t>
        </is>
      </c>
    </row>
    <row r="167" ht="17" customHeight="1">
      <c r="A167" s="6">
        <v>166</v>
      </c>
      <c r="B167" s="6" t="inlineStr">
        <is>
          <t>2026-10-02 16:44:45.217</t>
        </is>
      </c>
      <c r="C167" s="6" t="inlineStr">
        <is>
          <t>Interaction</t>
        </is>
      </c>
      <c r="D167" s="6" t="inlineStr">
        <is>
          <t>Jeremy</t>
        </is>
      </c>
      <c r="E167" s="6" t="inlineStr">
        <is>
          <t>SwordCut</t>
        </is>
      </c>
      <c r="F167" s="6" t="inlineStr">
        <is>
          <t>Success</t>
        </is>
      </c>
      <c r="G167" s="6" t="inlineStr">
        <is>
          <t>Easy</t>
        </is>
      </c>
      <c r="K167" s="4">
        <v>0.1948</v>
      </c>
      <c r="M167" s="6">
        <v>171</v>
      </c>
      <c r="N167" s="6" t="inlineStr">
        <is>
          <t>2026-10-02 16:44:45.217 | Minigame: Jeremy | Type: SwordCut | Outcome: Success | Difficulty: Easy | ExpectedTime: 181.4988 | ActualTime: 181.6936 | TimingOffset: 0.1948 | TimingError: 0.1948 | ReactionTime: N/A | SpatialAccuracy: N/A | DirectionAccuracy: 1.0000 | CorrectHand: True</t>
        </is>
      </c>
    </row>
    <row r="168" ht="17" customHeight="1">
      <c r="A168" s="0">
        <v>167</v>
      </c>
      <c r="B168" s="0" t="inlineStr">
        <is>
          <t>2026-10-02 16:44:50.216</t>
        </is>
      </c>
      <c r="C168" s="0" t="inlineStr">
        <is>
          <t>PlayerState</t>
        </is>
      </c>
      <c r="H168" s="0" t="inlineStr">
        <is>
          <t>Idle</t>
        </is>
      </c>
      <c r="M168" s="0">
        <v>172</v>
      </c>
      <c r="N168" s="0" t="inlineStr">
        <is>
          <t>2026-10-02 16:44:50.216 | PlayerState: Idle</t>
        </is>
      </c>
    </row>
  </sheetData>
  <autoFilter ref="A1:N168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