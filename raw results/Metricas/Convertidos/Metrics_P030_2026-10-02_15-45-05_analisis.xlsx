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P030</t>
        </is>
      </c>
    </row>
    <row r="2" ht="17" customHeight="1"/>
    <row r="3" ht="17" customHeight="1">
      <c r="A3" s="6" t="inlineStr">
        <is>
          <t>Inicio: 2026-10-02 15:45:05     |     Fuente: Metrics_P030_2026-10-02_15-45-05.txt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135.0</v>
      </c>
      <c r="C6" s="0">
        <f>COUNTA('Interacciones'!$A$2:$A$136)</f>
        <v>135</v>
      </c>
      <c r="E6" s="0" t="inlineStr">
        <is>
          <t>Cambios de dificultad</t>
        </is>
      </c>
      <c r="F6" s="0">
        <v>9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87.0</v>
      </c>
      <c r="C7" s="6">
        <f>COUNTIF('Interacciones'!$F$2:$F$136,"Success")</f>
        <v>87</v>
      </c>
      <c r="E7" s="6" t="inlineStr">
        <is>
          <t>Estados del jugador</t>
        </is>
      </c>
      <c r="F7" s="6">
        <v>29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32.0</v>
      </c>
      <c r="C8" s="0">
        <f>COUNTIF('Interacciones'!$F$2:$F$136,"Failed")</f>
        <v>32</v>
      </c>
      <c r="E8" s="0" t="inlineStr">
        <is>
          <t>Eventos totales</t>
        </is>
      </c>
      <c r="F8" s="0">
        <v>173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16.0</v>
      </c>
      <c r="C9" s="6">
        <f>COUNTIF('Interacciones'!$F$2:$F$136,"Missed")</f>
        <v>16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0.6444</v>
      </c>
      <c r="C10" s="0">
        <f>IFERROR(C7/C6,0)</f>
        <v>0.6444444444444445</v>
      </c>
    </row>
    <row r="11" ht="17" customHeight="1">
      <c r="A11" s="6" t="inlineStr">
        <is>
          <t>Error timing medio (s)</t>
        </is>
      </c>
      <c r="B11" s="6">
        <v>0.2458</v>
      </c>
      <c r="C11" s="6">
        <f>IFERROR(AVERAGE('Interacciones'!$K$2:$K$136),"")</f>
        <v>0.24584479166666667</v>
      </c>
    </row>
    <row r="12" ht="17" customHeight="1">
      <c r="A12" s="0" t="inlineStr">
        <is>
          <t>Reacción media (s)</t>
        </is>
      </c>
      <c r="B12" s="0">
        <v>0.7501</v>
      </c>
      <c r="C12" s="0">
        <f>IFERROR(AVERAGE('Interacciones'!$L$2:$L$136),"")</f>
        <v>0.7501416666666667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IFERROR(AVERAGE('Interacciones'!$M$2:$M$136),"")</f>
        <v/>
      </c>
    </row>
    <row r="14" ht="17" customHeight="1">
      <c r="A14" s="0" t="inlineStr">
        <is>
          <t>Precisión dirección media</t>
        </is>
      </c>
      <c r="B14" s="0">
        <v>0.5714</v>
      </c>
      <c r="C14" s="0">
        <f>IFERROR(AVERAGE('Interacciones'!$N$2:$N$136),"")</f>
        <v>0.5714285714285714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COUNTIF('Interacciones'!$D$2:$D$136,$A5)</f>
        <v>68</v>
      </c>
      <c r="C5" s="6">
        <f>COUNTIFS('Interacciones'!$D$2:$D$136,$A5,'Interacciones'!$F$2:$F$136,"Success")</f>
        <v>43</v>
      </c>
      <c r="D5" s="6">
        <f>COUNTIFS('Interacciones'!$D$2:$D$136,$A5,'Interacciones'!$F$2:$F$136,"Failed")</f>
        <v>11</v>
      </c>
      <c r="E5" s="6">
        <f>COUNTIFS('Interacciones'!$D$2:$D$136,$A5,'Interacciones'!$F$2:$F$136,"Missed")</f>
        <v>14</v>
      </c>
      <c r="F5" s="3">
        <f>IFERROR(C5/B5,0)</f>
        <v>0.6323529411764706</v>
      </c>
      <c r="G5" s="4">
        <f>IFERROR(AVERAGEIF('Interacciones'!$D$2:$D$136,$A5,'Interacciones'!$K$2:$K$136),"")</f>
        <v>0.01961282051282051</v>
      </c>
      <c r="H5" s="4" t="str">
        <f>IFERROR(AVERAGEIF('Interacciones'!$D$2:$D$136,$A5,'Interacciones'!$L$2:$L$136),"")</f>
        <v/>
      </c>
      <c r="I5" s="6">
        <f>COUNTIF('Adaptaciones'!$C$2:$C$10,$A5)</f>
        <v>7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COUNTIF('Interacciones'!$D$2:$D$136,$A6)</f>
        <v>12</v>
      </c>
      <c r="C6" s="0">
        <f>COUNTIFS('Interacciones'!$D$2:$D$136,$A6,'Interacciones'!$F$2:$F$136,"Success")</f>
        <v>10</v>
      </c>
      <c r="D6" s="0">
        <f>COUNTIFS('Interacciones'!$D$2:$D$136,$A6,'Interacciones'!$F$2:$F$136,"Failed")</f>
        <v>2</v>
      </c>
      <c r="E6" s="0">
        <f>COUNTIFS('Interacciones'!$D$2:$D$136,$A6,'Interacciones'!$F$2:$F$136,"Missed")</f>
        <v>0</v>
      </c>
      <c r="F6" s="3">
        <f>IFERROR(C6/B6,0)</f>
        <v>0.8333333333333334</v>
      </c>
      <c r="G6" s="4">
        <f>IFERROR(AVERAGEIF('Interacciones'!$D$2:$D$136,$A6,'Interacciones'!$K$2:$K$136),"")</f>
        <v>0.08725</v>
      </c>
      <c r="H6" s="4" t="str">
        <f>IFERROR(AVERAGEIF('Interacciones'!$D$2:$D$136,$A6,'Interacciones'!$L$2:$L$136),"")</f>
        <v/>
      </c>
      <c r="I6" s="0">
        <f>COUNTIF('Adaptaciones'!$C$2:$C$10,$A6)</f>
        <v>0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COUNTIF('Interacciones'!$D$2:$D$136,$A7)</f>
        <v>8</v>
      </c>
      <c r="C7" s="6">
        <f>COUNTIFS('Interacciones'!$D$2:$D$136,$A7,'Interacciones'!$F$2:$F$136,"Success")</f>
        <v>6</v>
      </c>
      <c r="D7" s="6">
        <f>COUNTIFS('Interacciones'!$D$2:$D$136,$A7,'Interacciones'!$F$2:$F$136,"Failed")</f>
        <v>1</v>
      </c>
      <c r="E7" s="6">
        <f>COUNTIFS('Interacciones'!$D$2:$D$136,$A7,'Interacciones'!$F$2:$F$136,"Missed")</f>
        <v>1</v>
      </c>
      <c r="F7" s="3">
        <f>IFERROR(C7/B7,0)</f>
        <v>0.75</v>
      </c>
      <c r="G7" s="4">
        <f>IFERROR(AVERAGEIF('Interacciones'!$D$2:$D$136,$A7,'Interacciones'!$K$2:$K$136),"")</f>
        <v>0.166</v>
      </c>
      <c r="H7" s="4" t="str">
        <f>IFERROR(AVERAGEIF('Interacciones'!$D$2:$D$136,$A7,'Interacciones'!$L$2:$L$136),"")</f>
        <v/>
      </c>
      <c r="I7" s="6">
        <f>COUNTIF('Adaptaciones'!$C$2:$C$10,$A7)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COUNTIF('Interacciones'!$D$2:$D$136,$A8)</f>
        <v>14</v>
      </c>
      <c r="C8" s="0">
        <f>COUNTIFS('Interacciones'!$D$2:$D$136,$A8,'Interacciones'!$F$2:$F$136,"Success")</f>
        <v>12</v>
      </c>
      <c r="D8" s="0">
        <f>COUNTIFS('Interacciones'!$D$2:$D$136,$A8,'Interacciones'!$F$2:$F$136,"Failed")</f>
        <v>2</v>
      </c>
      <c r="E8" s="0">
        <f>COUNTIFS('Interacciones'!$D$2:$D$136,$A8,'Interacciones'!$F$2:$F$136,"Missed")</f>
        <v>0</v>
      </c>
      <c r="F8" s="3">
        <f>IFERROR(C8/B8,0)</f>
        <v>0.8571428571428571</v>
      </c>
      <c r="G8" s="4">
        <f>IFERROR(AVERAGEIF('Interacciones'!$D$2:$D$136,$A8,'Interacciones'!$K$2:$K$136),"")</f>
        <v>0.12395833333333334</v>
      </c>
      <c r="H8" s="4" t="str">
        <f>IFERROR(AVERAGEIF('Interacciones'!$D$2:$D$136,$A8,'Interacciones'!$L$2:$L$136),"")</f>
        <v/>
      </c>
      <c r="I8" s="0">
        <f>COUNTIF('Adaptaciones'!$C$2:$C$10,$A8)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COUNTIF('Interacciones'!$D$2:$D$136,$A9)</f>
        <v>17</v>
      </c>
      <c r="C9" s="6">
        <f>COUNTIFS('Interacciones'!$D$2:$D$136,$A9,'Interacciones'!$F$2:$F$136,"Success")</f>
        <v>8</v>
      </c>
      <c r="D9" s="6">
        <f>COUNTIFS('Interacciones'!$D$2:$D$136,$A9,'Interacciones'!$F$2:$F$136,"Failed")</f>
        <v>8</v>
      </c>
      <c r="E9" s="6">
        <f>COUNTIFS('Interacciones'!$D$2:$D$136,$A9,'Interacciones'!$F$2:$F$136,"Missed")</f>
        <v>1</v>
      </c>
      <c r="F9" s="3">
        <f>IFERROR(C9/B9,0)</f>
        <v>0.47058823529411764</v>
      </c>
      <c r="G9" s="4">
        <f>IFERROR(AVERAGEIF('Interacciones'!$D$2:$D$136,$A9,'Interacciones'!$K$2:$K$136),"")</f>
        <v>1.00285625</v>
      </c>
      <c r="H9" s="4" t="str">
        <f>IFERROR(AVERAGEIF('Interacciones'!$D$2:$D$136,$A9,'Interacciones'!$L$2:$L$136),"")</f>
        <v/>
      </c>
      <c r="I9" s="6">
        <f>COUNTIF('Adaptaciones'!$C$2:$C$10,$A9)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COUNTIF('Interacciones'!$D$2:$D$136,$A10)</f>
        <v>16</v>
      </c>
      <c r="C10" s="0">
        <f>COUNTIFS('Interacciones'!$D$2:$D$136,$A10,'Interacciones'!$F$2:$F$136,"Success")</f>
        <v>8</v>
      </c>
      <c r="D10" s="0">
        <f>COUNTIFS('Interacciones'!$D$2:$D$136,$A10,'Interacciones'!$F$2:$F$136,"Failed")</f>
        <v>8</v>
      </c>
      <c r="E10" s="0">
        <f>COUNTIFS('Interacciones'!$D$2:$D$136,$A10,'Interacciones'!$F$2:$F$136,"Missed")</f>
        <v>0</v>
      </c>
      <c r="F10" s="3">
        <f>IFERROR(C10/B10,0)</f>
        <v>0.5</v>
      </c>
      <c r="G10" s="4">
        <f>IFERROR(AVERAGEIF('Interacciones'!$D$2:$D$136,$A10,'Interacciones'!$K$2:$K$136),"")</f>
        <v>0.272375</v>
      </c>
      <c r="H10" s="4">
        <f>IFERROR(AVERAGEIF('Interacciones'!$D$2:$D$136,$A10,'Interacciones'!$L$2:$L$136),"")</f>
        <v>0.7501416666666667</v>
      </c>
      <c r="I10" s="0">
        <f>COUNTIF('Adaptaciones'!$C$2:$C$10,$A10)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COUNTIFS('Interacciones'!$D$2:$D$136,$A5,'Interacciones'!$E$2:$E$136,$B5)</f>
        <v>44</v>
      </c>
      <c r="D5" s="6">
        <f>COUNTIFS('Interacciones'!$D$2:$D$136,$A5,'Interacciones'!$E$2:$E$136,$B5,'Interacciones'!$F$2:$F$136,"Success")</f>
        <v>33</v>
      </c>
      <c r="E5" s="6">
        <f>COUNTIFS('Interacciones'!$D$2:$D$136,$A5,'Interacciones'!$E$2:$E$136,$B5,'Interacciones'!$F$2:$F$136,"Failed")</f>
        <v>11</v>
      </c>
      <c r="F5" s="6">
        <f>COUNTIFS('Interacciones'!$D$2:$D$136,$A5,'Interacciones'!$E$2:$E$136,$B5,'Interacciones'!$F$2:$F$136,"Missed")</f>
        <v>0</v>
      </c>
      <c r="G5" s="3">
        <f>IFERROR(D5/C5,0)</f>
        <v>0.75</v>
      </c>
      <c r="H5" s="4">
        <f>IFERROR(AVERAGEIFS('Interacciones'!$K$2:$K$136,'Interacciones'!$D$2:$D$136,$A5,'Interacciones'!$E$2:$E$136,$B5),"")</f>
        <v>0.01961282051282051</v>
      </c>
      <c r="I5" s="4" t="str">
        <f>IFERROR(AVERAGEIFS('Interacciones'!$L$2:$L$136,'Interacciones'!$D$2:$D$136,$A5,'Interacciones'!$E$2:$E$136,$B5),"")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COUNTIFS('Interacciones'!$D$2:$D$136,$A6,'Interacciones'!$E$2:$E$136,$B6)</f>
        <v>24</v>
      </c>
      <c r="D6" s="0">
        <f>COUNTIFS('Interacciones'!$D$2:$D$136,$A6,'Interacciones'!$E$2:$E$136,$B6,'Interacciones'!$F$2:$F$136,"Success")</f>
        <v>10</v>
      </c>
      <c r="E6" s="0">
        <f>COUNTIFS('Interacciones'!$D$2:$D$136,$A6,'Interacciones'!$E$2:$E$136,$B6,'Interacciones'!$F$2:$F$136,"Failed")</f>
        <v>0</v>
      </c>
      <c r="F6" s="0">
        <f>COUNTIFS('Interacciones'!$D$2:$D$136,$A6,'Interacciones'!$E$2:$E$136,$B6,'Interacciones'!$F$2:$F$136,"Missed")</f>
        <v>14</v>
      </c>
      <c r="G6" s="3">
        <f>IFERROR(D6/C6,0)</f>
        <v>0.4166666666666667</v>
      </c>
      <c r="H6" s="4" t="str">
        <f>IFERROR(AVERAGEIFS('Interacciones'!$K$2:$K$136,'Interacciones'!$D$2:$D$136,$A6,'Interacciones'!$E$2:$E$136,$B6),"")</f>
        <v/>
      </c>
      <c r="I6" s="4" t="str">
        <f>IFERROR(AVERAGEIFS('Interacciones'!$L$2:$L$136,'Interacciones'!$D$2:$D$136,$A6,'Interacciones'!$E$2:$E$136,$B6),"")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COUNTIFS('Interacciones'!$D$2:$D$136,$A7,'Interacciones'!$E$2:$E$136,$B7)</f>
        <v>12</v>
      </c>
      <c r="D7" s="6">
        <f>COUNTIFS('Interacciones'!$D$2:$D$136,$A7,'Interacciones'!$E$2:$E$136,$B7,'Interacciones'!$F$2:$F$136,"Success")</f>
        <v>10</v>
      </c>
      <c r="E7" s="6">
        <f>COUNTIFS('Interacciones'!$D$2:$D$136,$A7,'Interacciones'!$E$2:$E$136,$B7,'Interacciones'!$F$2:$F$136,"Failed")</f>
        <v>2</v>
      </c>
      <c r="F7" s="6">
        <f>COUNTIFS('Interacciones'!$D$2:$D$136,$A7,'Interacciones'!$E$2:$E$136,$B7,'Interacciones'!$F$2:$F$136,"Missed")</f>
        <v>0</v>
      </c>
      <c r="G7" s="3">
        <f>IFERROR(D7/C7,0)</f>
        <v>0.8333333333333334</v>
      </c>
      <c r="H7" s="4">
        <f>IFERROR(AVERAGEIFS('Interacciones'!$K$2:$K$136,'Interacciones'!$D$2:$D$136,$A7,'Interacciones'!$E$2:$E$136,$B7),"")</f>
        <v>0.08725</v>
      </c>
      <c r="I7" s="4" t="str">
        <f>IFERROR(AVERAGEIFS('Interacciones'!$L$2:$L$136,'Interacciones'!$D$2:$D$136,$A7,'Interacciones'!$E$2:$E$136,$B7),"")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COUNTIFS('Interacciones'!$D$2:$D$136,$A8,'Interacciones'!$E$2:$E$136,$B8)</f>
        <v>8</v>
      </c>
      <c r="D8" s="0">
        <f>COUNTIFS('Interacciones'!$D$2:$D$136,$A8,'Interacciones'!$E$2:$E$136,$B8,'Interacciones'!$F$2:$F$136,"Success")</f>
        <v>6</v>
      </c>
      <c r="E8" s="0">
        <f>COUNTIFS('Interacciones'!$D$2:$D$136,$A8,'Interacciones'!$E$2:$E$136,$B8,'Interacciones'!$F$2:$F$136,"Failed")</f>
        <v>1</v>
      </c>
      <c r="F8" s="0">
        <f>COUNTIFS('Interacciones'!$D$2:$D$136,$A8,'Interacciones'!$E$2:$E$136,$B8,'Interacciones'!$F$2:$F$136,"Missed")</f>
        <v>1</v>
      </c>
      <c r="G8" s="3">
        <f>IFERROR(D8/C8,0)</f>
        <v>0.75</v>
      </c>
      <c r="H8" s="4">
        <f>IFERROR(AVERAGEIFS('Interacciones'!$K$2:$K$136,'Interacciones'!$D$2:$D$136,$A8,'Interacciones'!$E$2:$E$136,$B8),"")</f>
        <v>0.166</v>
      </c>
      <c r="I8" s="4" t="str">
        <f>IFERROR(AVERAGEIFS('Interacciones'!$L$2:$L$136,'Interacciones'!$D$2:$D$136,$A8,'Interacciones'!$E$2:$E$136,$B8),"")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COUNTIFS('Interacciones'!$D$2:$D$136,$A9,'Interacciones'!$E$2:$E$136,$B9)</f>
        <v>12</v>
      </c>
      <c r="D9" s="6">
        <f>COUNTIFS('Interacciones'!$D$2:$D$136,$A9,'Interacciones'!$E$2:$E$136,$B9,'Interacciones'!$F$2:$F$136,"Success")</f>
        <v>12</v>
      </c>
      <c r="E9" s="6">
        <f>COUNTIFS('Interacciones'!$D$2:$D$136,$A9,'Interacciones'!$E$2:$E$136,$B9,'Interacciones'!$F$2:$F$136,"Failed")</f>
        <v>0</v>
      </c>
      <c r="F9" s="6">
        <f>COUNTIFS('Interacciones'!$D$2:$D$136,$A9,'Interacciones'!$E$2:$E$136,$B9,'Interacciones'!$F$2:$F$136,"Missed")</f>
        <v>0</v>
      </c>
      <c r="G9" s="3">
        <f>IFERROR(D9/C9,0)</f>
        <v>1.0</v>
      </c>
      <c r="H9" s="4">
        <f>IFERROR(AVERAGEIFS('Interacciones'!$K$2:$K$136,'Interacciones'!$D$2:$D$136,$A9,'Interacciones'!$E$2:$E$136,$B9),"")</f>
        <v>0.12395833333333334</v>
      </c>
      <c r="I9" s="4" t="str">
        <f>IFERROR(AVERAGEIFS('Interacciones'!$L$2:$L$136,'Interacciones'!$D$2:$D$136,$A9,'Interacciones'!$E$2:$E$136,$B9),"")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COUNTIFS('Interacciones'!$D$2:$D$136,$A10,'Interacciones'!$E$2:$E$136,$B10)</f>
        <v>2</v>
      </c>
      <c r="D10" s="0">
        <f>COUNTIFS('Interacciones'!$D$2:$D$136,$A10,'Interacciones'!$E$2:$E$136,$B10,'Interacciones'!$F$2:$F$136,"Success")</f>
        <v>0</v>
      </c>
      <c r="E10" s="0">
        <f>COUNTIFS('Interacciones'!$D$2:$D$136,$A10,'Interacciones'!$E$2:$E$136,$B10,'Interacciones'!$F$2:$F$136,"Failed")</f>
        <v>2</v>
      </c>
      <c r="F10" s="0">
        <f>COUNTIFS('Interacciones'!$D$2:$D$136,$A10,'Interacciones'!$E$2:$E$136,$B10,'Interacciones'!$F$2:$F$136,"Missed")</f>
        <v>0</v>
      </c>
      <c r="G10" s="3">
        <f>IFERROR(D10/C10,0)</f>
        <v>0.0</v>
      </c>
      <c r="H10" s="4" t="str">
        <f>IFERROR(AVERAGEIFS('Interacciones'!$K$2:$K$136,'Interacciones'!$D$2:$D$136,$A10,'Interacciones'!$E$2:$E$136,$B10),"")</f>
        <v/>
      </c>
      <c r="I10" s="4" t="str">
        <f>IFERROR(AVERAGEIFS('Interacciones'!$L$2:$L$136,'Interacciones'!$D$2:$D$136,$A10,'Interacciones'!$E$2:$E$136,$B10),"")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COUNTIFS('Interacciones'!$D$2:$D$136,$A11,'Interacciones'!$E$2:$E$136,$B11)</f>
        <v>17</v>
      </c>
      <c r="D11" s="6">
        <f>COUNTIFS('Interacciones'!$D$2:$D$136,$A11,'Interacciones'!$E$2:$E$136,$B11,'Interacciones'!$F$2:$F$136,"Success")</f>
        <v>8</v>
      </c>
      <c r="E11" s="6">
        <f>COUNTIFS('Interacciones'!$D$2:$D$136,$A11,'Interacciones'!$E$2:$E$136,$B11,'Interacciones'!$F$2:$F$136,"Failed")</f>
        <v>8</v>
      </c>
      <c r="F11" s="6">
        <f>COUNTIFS('Interacciones'!$D$2:$D$136,$A11,'Interacciones'!$E$2:$E$136,$B11,'Interacciones'!$F$2:$F$136,"Missed")</f>
        <v>1</v>
      </c>
      <c r="G11" s="3">
        <f>IFERROR(D11/C11,0)</f>
        <v>0.47058823529411764</v>
      </c>
      <c r="H11" s="4">
        <f>IFERROR(AVERAGEIFS('Interacciones'!$K$2:$K$136,'Interacciones'!$D$2:$D$136,$A11,'Interacciones'!$E$2:$E$136,$B11),"")</f>
        <v>1.00285625</v>
      </c>
      <c r="I11" s="4" t="str">
        <f>IFERROR(AVERAGEIFS('Interacciones'!$L$2:$L$136,'Interacciones'!$D$2:$D$136,$A11,'Interacciones'!$E$2:$E$136,$B11),"")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COUNTIFS('Interacciones'!$D$2:$D$136,$A12,'Interacciones'!$E$2:$E$136,$B12)</f>
        <v>3</v>
      </c>
      <c r="D12" s="0">
        <f>COUNTIFS('Interacciones'!$D$2:$D$136,$A12,'Interacciones'!$E$2:$E$136,$B12,'Interacciones'!$F$2:$F$136,"Success")</f>
        <v>3</v>
      </c>
      <c r="E12" s="0">
        <f>COUNTIFS('Interacciones'!$D$2:$D$136,$A12,'Interacciones'!$E$2:$E$136,$B12,'Interacciones'!$F$2:$F$136,"Failed")</f>
        <v>0</v>
      </c>
      <c r="F12" s="0">
        <f>COUNTIFS('Interacciones'!$D$2:$D$136,$A12,'Interacciones'!$E$2:$E$136,$B12,'Interacciones'!$F$2:$F$136,"Missed")</f>
        <v>0</v>
      </c>
      <c r="G12" s="3">
        <f>IFERROR(D12/C12,0)</f>
        <v>1.0</v>
      </c>
      <c r="H12" s="4" t="str">
        <f>IFERROR(AVERAGEIFS('Interacciones'!$K$2:$K$136,'Interacciones'!$D$2:$D$136,$A12,'Interacciones'!$E$2:$E$136,$B12),"")</f>
        <v/>
      </c>
      <c r="I12" s="4" t="str">
        <f>IFERROR(AVERAGEIFS('Interacciones'!$L$2:$L$136,'Interacciones'!$D$2:$D$136,$A12,'Interacciones'!$E$2:$E$136,$B12),"")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COUNTIFS('Interacciones'!$D$2:$D$136,$A13,'Interacciones'!$E$2:$E$136,$B13)</f>
        <v>13</v>
      </c>
      <c r="D13" s="6">
        <f>COUNTIFS('Interacciones'!$D$2:$D$136,$A13,'Interacciones'!$E$2:$E$136,$B13,'Interacciones'!$F$2:$F$136,"Success")</f>
        <v>5</v>
      </c>
      <c r="E13" s="6">
        <f>COUNTIFS('Interacciones'!$D$2:$D$136,$A13,'Interacciones'!$E$2:$E$136,$B13,'Interacciones'!$F$2:$F$136,"Failed")</f>
        <v>8</v>
      </c>
      <c r="F13" s="6">
        <f>COUNTIFS('Interacciones'!$D$2:$D$136,$A13,'Interacciones'!$E$2:$E$136,$B13,'Interacciones'!$F$2:$F$136,"Missed")</f>
        <v>0</v>
      </c>
      <c r="G13" s="3">
        <f>IFERROR(D13/C13,0)</f>
        <v>0.38461538461538464</v>
      </c>
      <c r="H13" s="4">
        <f>IFERROR(AVERAGEIFS('Interacciones'!$K$2:$K$136,'Interacciones'!$D$2:$D$136,$A13,'Interacciones'!$E$2:$E$136,$B13),"")</f>
        <v>0.272375</v>
      </c>
      <c r="I13" s="4">
        <f>IFERROR(AVERAGEIFS('Interacciones'!$L$2:$L$136,'Interacciones'!$D$2:$D$136,$A13,'Interacciones'!$E$2:$E$136,$B13),"")</f>
        <v>0.7501416666666667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P030</t>
        </is>
      </c>
      <c r="C2" s="0" t="inlineStr">
        <is>
          <t>2026-10-02 15:45:08.222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P030</t>
        </is>
      </c>
      <c r="C3" s="6" t="inlineStr">
        <is>
          <t>2026-10-02 15:45:08.943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Failed</t>
        </is>
      </c>
      <c r="G3" s="6" t="inlineStr">
        <is>
          <t>Normal</t>
        </is>
      </c>
      <c r="H3" s="4">
        <v>1.664</v>
      </c>
      <c r="I3" s="4">
        <v>1.6387</v>
      </c>
      <c r="J3" s="4">
        <v>-0.0253</v>
      </c>
      <c r="K3" s="4">
        <v>0.0253</v>
      </c>
      <c r="P3" s="6">
        <v>9</v>
      </c>
    </row>
    <row r="4" ht="17" customHeight="1">
      <c r="A4" s="0">
        <v>5</v>
      </c>
      <c r="B4" s="0" t="inlineStr">
        <is>
          <t>P030</t>
        </is>
      </c>
      <c r="C4" s="0" t="inlineStr">
        <is>
          <t>2026-10-02 15:45:08.972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I4" s="4">
        <v>1.6805</v>
      </c>
      <c r="J4" s="4">
        <v>0.0165</v>
      </c>
      <c r="K4" s="4">
        <v>0.0165</v>
      </c>
      <c r="P4" s="0">
        <v>10</v>
      </c>
    </row>
    <row r="5" ht="17" customHeight="1">
      <c r="A5" s="6">
        <v>6</v>
      </c>
      <c r="B5" s="6" t="inlineStr">
        <is>
          <t>P030</t>
        </is>
      </c>
      <c r="C5" s="6" t="inlineStr">
        <is>
          <t>2026-10-02 15:45:09.778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2.4864</v>
      </c>
      <c r="J5" s="4">
        <v>0.0544</v>
      </c>
      <c r="K5" s="4">
        <v>0.0544</v>
      </c>
      <c r="P5" s="6">
        <v>11</v>
      </c>
    </row>
    <row r="6" ht="17" customHeight="1">
      <c r="A6" s="0">
        <v>7</v>
      </c>
      <c r="B6" s="0" t="inlineStr">
        <is>
          <t>P030</t>
        </is>
      </c>
      <c r="C6" s="0" t="inlineStr">
        <is>
          <t>2026-10-02 15:45:10.528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P030</t>
        </is>
      </c>
      <c r="C7" s="6" t="inlineStr">
        <is>
          <t>2026-10-02 15:45:10.806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P030</t>
        </is>
      </c>
      <c r="C8" s="0" t="inlineStr">
        <is>
          <t>2026-10-02 15:45:11.251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I8" s="4">
        <v>3.9592</v>
      </c>
      <c r="J8" s="4">
        <v>-0.0088</v>
      </c>
      <c r="K8" s="4">
        <v>0.0088</v>
      </c>
      <c r="P8" s="0">
        <v>14</v>
      </c>
    </row>
    <row r="9" ht="17" customHeight="1">
      <c r="A9" s="6">
        <v>10</v>
      </c>
      <c r="B9" s="6" t="inlineStr">
        <is>
          <t>P030</t>
        </is>
      </c>
      <c r="C9" s="6" t="inlineStr">
        <is>
          <t>2026-10-02 15:45:11.988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H9" s="4">
        <v>4.736</v>
      </c>
      <c r="I9" s="4">
        <v>4.696</v>
      </c>
      <c r="J9" s="4">
        <v>-0.04</v>
      </c>
      <c r="K9" s="4">
        <v>0.04</v>
      </c>
      <c r="P9" s="6">
        <v>15</v>
      </c>
    </row>
    <row r="10" ht="17" customHeight="1">
      <c r="A10" s="0">
        <v>11</v>
      </c>
      <c r="B10" s="0" t="inlineStr">
        <is>
          <t>P030</t>
        </is>
      </c>
      <c r="C10" s="0" t="inlineStr">
        <is>
          <t>2026-10-02 15:45:12.001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H10" s="4">
        <v>4.736</v>
      </c>
      <c r="I10" s="4">
        <v>4.696</v>
      </c>
      <c r="J10" s="4">
        <v>-0.04</v>
      </c>
      <c r="K10" s="4">
        <v>0.04</v>
      </c>
      <c r="P10" s="0">
        <v>16</v>
      </c>
    </row>
    <row r="11" ht="17" customHeight="1">
      <c r="A11" s="6">
        <v>12</v>
      </c>
      <c r="B11" s="6" t="inlineStr">
        <is>
          <t>P030</t>
        </is>
      </c>
      <c r="C11" s="6" t="inlineStr">
        <is>
          <t>2026-10-02 15:45:12.792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5.504</v>
      </c>
      <c r="I11" s="4">
        <v>5.5009</v>
      </c>
      <c r="J11" s="4">
        <v>-0.0031</v>
      </c>
      <c r="K11" s="4">
        <v>0.0031</v>
      </c>
      <c r="P11" s="6">
        <v>17</v>
      </c>
    </row>
    <row r="12" ht="17" customHeight="1">
      <c r="A12" s="0">
        <v>13</v>
      </c>
      <c r="B12" s="0" t="inlineStr">
        <is>
          <t>P030</t>
        </is>
      </c>
      <c r="C12" s="0" t="inlineStr">
        <is>
          <t>2026-10-02 15:45:13.571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6.272</v>
      </c>
      <c r="I12" s="4">
        <v>6.279</v>
      </c>
      <c r="J12" s="4">
        <v>0.007</v>
      </c>
      <c r="K12" s="4">
        <v>0.007</v>
      </c>
      <c r="P12" s="0">
        <v>18</v>
      </c>
    </row>
    <row r="13" ht="17" customHeight="1">
      <c r="A13" s="6">
        <v>14</v>
      </c>
      <c r="B13" s="6" t="inlineStr">
        <is>
          <t>P030</t>
        </is>
      </c>
      <c r="C13" s="6" t="inlineStr">
        <is>
          <t>2026-10-02 15:45:13.598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Normal</t>
        </is>
      </c>
      <c r="H13" s="4">
        <v>6.272</v>
      </c>
      <c r="P13" s="6">
        <v>19</v>
      </c>
    </row>
    <row r="14" ht="17" customHeight="1">
      <c r="A14" s="0">
        <v>15</v>
      </c>
      <c r="B14" s="0" t="inlineStr">
        <is>
          <t>P030</t>
        </is>
      </c>
      <c r="C14" s="0" t="inlineStr">
        <is>
          <t>2026-10-02 15:45:14.320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H14" s="4">
        <v>7.04</v>
      </c>
      <c r="I14" s="4">
        <v>7.0289</v>
      </c>
      <c r="J14" s="4">
        <v>-0.0111</v>
      </c>
      <c r="K14" s="4">
        <v>0.0111</v>
      </c>
      <c r="P14" s="0">
        <v>20</v>
      </c>
    </row>
    <row r="15" ht="17" customHeight="1">
      <c r="A15" s="6">
        <v>16</v>
      </c>
      <c r="B15" s="6" t="inlineStr">
        <is>
          <t>P030</t>
        </is>
      </c>
      <c r="C15" s="6" t="inlineStr">
        <is>
          <t>2026-10-02 15:45:14.431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H15" s="4">
        <v>7.04</v>
      </c>
      <c r="P15" s="6">
        <v>21</v>
      </c>
    </row>
    <row r="16" ht="17" customHeight="1">
      <c r="A16" s="0">
        <v>18</v>
      </c>
      <c r="B16" s="0" t="inlineStr">
        <is>
          <t>P030</t>
        </is>
      </c>
      <c r="C16" s="0" t="inlineStr">
        <is>
          <t>2026-10-02 15:45:15.085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7.808</v>
      </c>
      <c r="I16" s="4">
        <v>7.7928</v>
      </c>
      <c r="J16" s="4">
        <v>-0.0152</v>
      </c>
      <c r="K16" s="4">
        <v>0.0152</v>
      </c>
      <c r="P16" s="0">
        <v>23</v>
      </c>
    </row>
    <row r="17" ht="17" customHeight="1">
      <c r="A17" s="6">
        <v>19</v>
      </c>
      <c r="B17" s="6" t="inlineStr">
        <is>
          <t>P030</t>
        </is>
      </c>
      <c r="C17" s="6" t="inlineStr">
        <is>
          <t>2026-10-02 15:45:15.126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Hard</t>
        </is>
      </c>
      <c r="H17" s="4">
        <v>7.808</v>
      </c>
      <c r="I17" s="4">
        <v>7.8208</v>
      </c>
      <c r="J17" s="4">
        <v>0.0128</v>
      </c>
      <c r="K17" s="4">
        <v>0.0128</v>
      </c>
      <c r="P17" s="6">
        <v>24</v>
      </c>
    </row>
    <row r="18" ht="17" customHeight="1">
      <c r="A18" s="0">
        <v>20</v>
      </c>
      <c r="B18" s="0" t="inlineStr">
        <is>
          <t>P030</t>
        </is>
      </c>
      <c r="C18" s="0" t="inlineStr">
        <is>
          <t>2026-10-02 15:45:15.571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H18" s="4">
        <v>8.192</v>
      </c>
      <c r="P18" s="0">
        <v>25</v>
      </c>
    </row>
    <row r="19" ht="17" customHeight="1">
      <c r="A19" s="6">
        <v>21</v>
      </c>
      <c r="B19" s="6" t="inlineStr">
        <is>
          <t>P030</t>
        </is>
      </c>
      <c r="C19" s="6" t="inlineStr">
        <is>
          <t>2026-10-02 15:45:15.806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Hard</t>
        </is>
      </c>
      <c r="H19" s="4">
        <v>8.192</v>
      </c>
      <c r="P19" s="6">
        <v>26</v>
      </c>
    </row>
    <row r="20" ht="17" customHeight="1">
      <c r="A20" s="0">
        <v>22</v>
      </c>
      <c r="B20" s="0" t="inlineStr">
        <is>
          <t>P030</t>
        </is>
      </c>
      <c r="C20" s="0" t="inlineStr">
        <is>
          <t>2026-10-02 15:45:16.209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H20" s="4">
        <v>8.576</v>
      </c>
      <c r="P20" s="0">
        <v>27</v>
      </c>
    </row>
    <row r="21" ht="17" customHeight="1">
      <c r="A21" s="6">
        <v>25</v>
      </c>
      <c r="B21" s="6" t="inlineStr">
        <is>
          <t>P030</t>
        </is>
      </c>
      <c r="C21" s="6" t="inlineStr">
        <is>
          <t>2026-10-02 15:45:16.210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Normal</t>
        </is>
      </c>
      <c r="H21" s="4">
        <v>8.576</v>
      </c>
      <c r="P21" s="6">
        <v>30</v>
      </c>
    </row>
    <row r="22" ht="17" customHeight="1">
      <c r="A22" s="0">
        <v>27</v>
      </c>
      <c r="B22" s="0" t="inlineStr">
        <is>
          <t>P030</t>
        </is>
      </c>
      <c r="C22" s="0" t="inlineStr">
        <is>
          <t>2026-10-02 15:45:16.251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H22" s="4">
        <v>8.96</v>
      </c>
      <c r="I22" s="4">
        <v>8.9593</v>
      </c>
      <c r="J22" s="4">
        <v>-0.0007</v>
      </c>
      <c r="K22" s="4">
        <v>0.0007</v>
      </c>
      <c r="P22" s="0">
        <v>32</v>
      </c>
    </row>
    <row r="23" ht="17" customHeight="1">
      <c r="A23" s="6">
        <v>28</v>
      </c>
      <c r="B23" s="6" t="inlineStr">
        <is>
          <t>P030</t>
        </is>
      </c>
      <c r="C23" s="6" t="inlineStr">
        <is>
          <t>2026-10-02 15:45:16.668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Normal</t>
        </is>
      </c>
      <c r="H23" s="4">
        <v>9.344</v>
      </c>
      <c r="I23" s="4">
        <v>9.3763</v>
      </c>
      <c r="J23" s="4">
        <v>0.0323</v>
      </c>
      <c r="K23" s="4">
        <v>0.0323</v>
      </c>
      <c r="P23" s="6">
        <v>33</v>
      </c>
    </row>
    <row r="24" ht="17" customHeight="1">
      <c r="A24" s="0">
        <v>29</v>
      </c>
      <c r="B24" s="0" t="inlineStr">
        <is>
          <t>P030</t>
        </is>
      </c>
      <c r="C24" s="0" t="inlineStr">
        <is>
          <t>2026-10-02 15:45:16.958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Normal</t>
        </is>
      </c>
      <c r="H24" s="4">
        <v>9.344</v>
      </c>
      <c r="P24" s="0">
        <v>34</v>
      </c>
    </row>
    <row r="25" ht="17" customHeight="1">
      <c r="A25" s="6">
        <v>30</v>
      </c>
      <c r="B25" s="6" t="inlineStr">
        <is>
          <t>P030</t>
        </is>
      </c>
      <c r="C25" s="6" t="inlineStr">
        <is>
          <t>2026-10-02 15:45:17.390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H25" s="4">
        <v>10.112</v>
      </c>
      <c r="I25" s="4">
        <v>10.0983</v>
      </c>
      <c r="J25" s="4">
        <v>-0.0137</v>
      </c>
      <c r="K25" s="4">
        <v>0.0137</v>
      </c>
      <c r="P25" s="6">
        <v>35</v>
      </c>
    </row>
    <row r="26" ht="17" customHeight="1">
      <c r="A26" s="0">
        <v>31</v>
      </c>
      <c r="B26" s="0" t="inlineStr">
        <is>
          <t>P030</t>
        </is>
      </c>
      <c r="C26" s="0" t="inlineStr">
        <is>
          <t>2026-10-02 15:45:17.445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Normal</t>
        </is>
      </c>
      <c r="H26" s="4">
        <v>10.112</v>
      </c>
      <c r="P26" s="0">
        <v>36</v>
      </c>
    </row>
    <row r="27" ht="17" customHeight="1">
      <c r="A27" s="6">
        <v>32</v>
      </c>
      <c r="B27" s="6" t="inlineStr">
        <is>
          <t>P030</t>
        </is>
      </c>
      <c r="C27" s="6" t="inlineStr">
        <is>
          <t>2026-10-02 15:45:18.126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Normal</t>
        </is>
      </c>
      <c r="H27" s="4">
        <v>10.88</v>
      </c>
      <c r="I27" s="4">
        <v>10.8342</v>
      </c>
      <c r="J27" s="4">
        <v>-0.0458</v>
      </c>
      <c r="K27" s="4">
        <v>0.0458</v>
      </c>
      <c r="P27" s="6">
        <v>37</v>
      </c>
    </row>
    <row r="28" ht="17" customHeight="1">
      <c r="A28" s="0">
        <v>33</v>
      </c>
      <c r="B28" s="0" t="inlineStr">
        <is>
          <t>P030</t>
        </is>
      </c>
      <c r="C28" s="0" t="inlineStr">
        <is>
          <t>2026-10-02 15:45:18.251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Normal</t>
        </is>
      </c>
      <c r="H28" s="4">
        <v>10.88</v>
      </c>
      <c r="P28" s="0">
        <v>38</v>
      </c>
    </row>
    <row r="29" ht="17" customHeight="1">
      <c r="A29" s="6">
        <v>34</v>
      </c>
      <c r="B29" s="6" t="inlineStr">
        <is>
          <t>P030</t>
        </is>
      </c>
      <c r="C29" s="6" t="inlineStr">
        <is>
          <t>2026-10-02 15:45:18.917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Normal</t>
        </is>
      </c>
      <c r="H29" s="4">
        <v>11.648</v>
      </c>
      <c r="I29" s="4">
        <v>11.6261</v>
      </c>
      <c r="J29" s="4">
        <v>-0.0219</v>
      </c>
      <c r="K29" s="4">
        <v>0.0219</v>
      </c>
      <c r="P29" s="6">
        <v>39</v>
      </c>
    </row>
    <row r="30" ht="17" customHeight="1">
      <c r="A30" s="0">
        <v>35</v>
      </c>
      <c r="B30" s="0" t="inlineStr">
        <is>
          <t>P030</t>
        </is>
      </c>
      <c r="C30" s="0" t="inlineStr">
        <is>
          <t>2026-10-02 15:45:19.001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Normal</t>
        </is>
      </c>
      <c r="H30" s="4">
        <v>11.648</v>
      </c>
      <c r="P30" s="0">
        <v>40</v>
      </c>
    </row>
    <row r="31" ht="17" customHeight="1">
      <c r="A31" s="6">
        <v>36</v>
      </c>
      <c r="B31" s="6" t="inlineStr">
        <is>
          <t>P030</t>
        </is>
      </c>
      <c r="C31" s="6" t="inlineStr">
        <is>
          <t>2026-10-02 15:45:19.667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H31" s="4">
        <v>12.416</v>
      </c>
      <c r="I31" s="4">
        <v>12.3756</v>
      </c>
      <c r="J31" s="4">
        <v>-0.0404</v>
      </c>
      <c r="K31" s="4">
        <v>0.0404</v>
      </c>
      <c r="P31" s="6">
        <v>41</v>
      </c>
    </row>
    <row r="32" ht="17" customHeight="1">
      <c r="A32" s="0">
        <v>37</v>
      </c>
      <c r="B32" s="0" t="inlineStr">
        <is>
          <t>P030</t>
        </is>
      </c>
      <c r="C32" s="0" t="inlineStr">
        <is>
          <t>2026-10-02 15:45:19.694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Normal</t>
        </is>
      </c>
      <c r="H32" s="4">
        <v>12.416</v>
      </c>
      <c r="I32" s="4">
        <v>12.4039</v>
      </c>
      <c r="J32" s="4">
        <v>-0.0121</v>
      </c>
      <c r="K32" s="4">
        <v>0.0121</v>
      </c>
      <c r="P32" s="0">
        <v>42</v>
      </c>
    </row>
    <row r="33" ht="17" customHeight="1">
      <c r="A33" s="6">
        <v>38</v>
      </c>
      <c r="B33" s="6" t="inlineStr">
        <is>
          <t>P030</t>
        </is>
      </c>
      <c r="C33" s="6" t="inlineStr">
        <is>
          <t>2026-10-02 15:45:20.460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Normal</t>
        </is>
      </c>
      <c r="H33" s="4">
        <v>13.184</v>
      </c>
      <c r="I33" s="4">
        <v>13.1678</v>
      </c>
      <c r="J33" s="4">
        <v>-0.0162</v>
      </c>
      <c r="K33" s="4">
        <v>0.0162</v>
      </c>
      <c r="P33" s="6">
        <v>43</v>
      </c>
    </row>
    <row r="34" ht="17" customHeight="1">
      <c r="A34" s="0">
        <v>39</v>
      </c>
      <c r="B34" s="0" t="inlineStr">
        <is>
          <t>P030</t>
        </is>
      </c>
      <c r="C34" s="0" t="inlineStr">
        <is>
          <t>2026-10-02 15:45:20.487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Normal</t>
        </is>
      </c>
      <c r="H34" s="4">
        <v>13.184</v>
      </c>
      <c r="P34" s="0">
        <v>44</v>
      </c>
    </row>
    <row r="35" ht="17" customHeight="1">
      <c r="A35" s="6">
        <v>41</v>
      </c>
      <c r="B35" s="6" t="inlineStr">
        <is>
          <t>P030</t>
        </is>
      </c>
      <c r="C35" s="6" t="inlineStr">
        <is>
          <t>2026-10-02 15:45:21.278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Hard</t>
        </is>
      </c>
      <c r="H35" s="4">
        <v>13.952</v>
      </c>
      <c r="I35" s="4">
        <v>13.9734</v>
      </c>
      <c r="J35" s="4">
        <v>0.0214</v>
      </c>
      <c r="K35" s="4">
        <v>0.0214</v>
      </c>
      <c r="P35" s="6">
        <v>46</v>
      </c>
    </row>
    <row r="36" ht="17" customHeight="1">
      <c r="A36" s="0">
        <v>42</v>
      </c>
      <c r="B36" s="0" t="inlineStr">
        <is>
          <t>P030</t>
        </is>
      </c>
      <c r="C36" s="0" t="inlineStr">
        <is>
          <t>2026-10-02 15:45:21.279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13.952</v>
      </c>
      <c r="I36" s="4">
        <v>13.9871</v>
      </c>
      <c r="J36" s="4">
        <v>0.0351</v>
      </c>
      <c r="K36" s="4">
        <v>0.0351</v>
      </c>
      <c r="P36" s="0">
        <v>47</v>
      </c>
    </row>
    <row r="37" ht="17" customHeight="1">
      <c r="A37" s="6">
        <v>43</v>
      </c>
      <c r="B37" s="6" t="inlineStr">
        <is>
          <t>P030</t>
        </is>
      </c>
      <c r="C37" s="6" t="inlineStr">
        <is>
          <t>2026-10-02 15:45:21.639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H37" s="4">
        <v>14.336</v>
      </c>
      <c r="P37" s="6">
        <v>48</v>
      </c>
    </row>
    <row r="38" ht="17" customHeight="1">
      <c r="A38" s="0">
        <v>44</v>
      </c>
      <c r="B38" s="0" t="inlineStr">
        <is>
          <t>P030</t>
        </is>
      </c>
      <c r="C38" s="0" t="inlineStr">
        <is>
          <t>2026-10-02 15:45:21.640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14.336</v>
      </c>
      <c r="I38" s="4">
        <v>14.3486</v>
      </c>
      <c r="J38" s="4">
        <v>0.0126</v>
      </c>
      <c r="K38" s="4">
        <v>0.0126</v>
      </c>
      <c r="P38" s="0">
        <v>49</v>
      </c>
    </row>
    <row r="39" ht="17" customHeight="1">
      <c r="A39" s="6">
        <v>45</v>
      </c>
      <c r="B39" s="6" t="inlineStr">
        <is>
          <t>P030</t>
        </is>
      </c>
      <c r="C39" s="6" t="inlineStr">
        <is>
          <t>2026-10-02 15:45:22.348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Missed</t>
        </is>
      </c>
      <c r="G39" s="6" t="inlineStr">
        <is>
          <t>Hard</t>
        </is>
      </c>
      <c r="H39" s="4">
        <v>14.72</v>
      </c>
      <c r="P39" s="6">
        <v>50</v>
      </c>
    </row>
    <row r="40" ht="17" customHeight="1">
      <c r="A40" s="0">
        <v>46</v>
      </c>
      <c r="B40" s="0" t="inlineStr">
        <is>
          <t>P030</t>
        </is>
      </c>
      <c r="C40" s="0" t="inlineStr">
        <is>
          <t>2026-10-02 15:45:22.348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Hard</t>
        </is>
      </c>
      <c r="H40" s="4">
        <v>14.72</v>
      </c>
      <c r="P40" s="0">
        <v>51</v>
      </c>
    </row>
    <row r="41" ht="17" customHeight="1">
      <c r="A41" s="6">
        <v>47</v>
      </c>
      <c r="B41" s="6" t="inlineStr">
        <is>
          <t>P030</t>
        </is>
      </c>
      <c r="C41" s="6" t="inlineStr">
        <is>
          <t>2026-10-02 15:45:22.405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H41" s="4">
        <v>15.104</v>
      </c>
      <c r="I41" s="4">
        <v>15.1126</v>
      </c>
      <c r="J41" s="4">
        <v>0.0086</v>
      </c>
      <c r="K41" s="4">
        <v>0.0086</v>
      </c>
      <c r="P41" s="6">
        <v>52</v>
      </c>
    </row>
    <row r="42" ht="17" customHeight="1">
      <c r="A42" s="0">
        <v>48</v>
      </c>
      <c r="B42" s="0" t="inlineStr">
        <is>
          <t>P030</t>
        </is>
      </c>
      <c r="C42" s="0" t="inlineStr">
        <is>
          <t>2026-10-02 15:45:23.098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15.488</v>
      </c>
      <c r="P42" s="0">
        <v>53</v>
      </c>
    </row>
    <row r="43" ht="17" customHeight="1">
      <c r="A43" s="6">
        <v>49</v>
      </c>
      <c r="B43" s="6" t="inlineStr">
        <is>
          <t>P030</t>
        </is>
      </c>
      <c r="C43" s="6" t="inlineStr">
        <is>
          <t>2026-10-02 15:45:23.099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H43" s="4">
        <v>15.488</v>
      </c>
      <c r="P43" s="6">
        <v>54</v>
      </c>
    </row>
    <row r="44" ht="17" customHeight="1">
      <c r="A44" s="0">
        <v>50</v>
      </c>
      <c r="B44" s="0" t="inlineStr">
        <is>
          <t>P030</t>
        </is>
      </c>
      <c r="C44" s="0" t="inlineStr">
        <is>
          <t>2026-10-02 15:45:23.181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H44" s="4">
        <v>15.872</v>
      </c>
      <c r="I44" s="4">
        <v>15.8764</v>
      </c>
      <c r="J44" s="4">
        <v>0.0044</v>
      </c>
      <c r="K44" s="4">
        <v>0.0044</v>
      </c>
      <c r="P44" s="0">
        <v>55</v>
      </c>
    </row>
    <row r="45" ht="17" customHeight="1">
      <c r="A45" s="6">
        <v>51</v>
      </c>
      <c r="B45" s="6" t="inlineStr">
        <is>
          <t>P030</t>
        </is>
      </c>
      <c r="C45" s="6" t="inlineStr">
        <is>
          <t>2026-10-02 15:45:23.862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H45" s="4">
        <v>16.256</v>
      </c>
      <c r="P45" s="6">
        <v>56</v>
      </c>
    </row>
    <row r="46" ht="17" customHeight="1">
      <c r="A46" s="0">
        <v>54</v>
      </c>
      <c r="B46" s="0" t="inlineStr">
        <is>
          <t>P030</t>
        </is>
      </c>
      <c r="C46" s="0" t="inlineStr">
        <is>
          <t>2026-10-02 15:45:23.863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Normal</t>
        </is>
      </c>
      <c r="H46" s="4">
        <v>16.256</v>
      </c>
      <c r="P46" s="0">
        <v>59</v>
      </c>
    </row>
    <row r="47" ht="17" customHeight="1">
      <c r="A47" s="6">
        <v>56</v>
      </c>
      <c r="B47" s="6" t="inlineStr">
        <is>
          <t>P030</t>
        </is>
      </c>
      <c r="C47" s="6" t="inlineStr">
        <is>
          <t>2026-10-02 15:45:23.889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16.64</v>
      </c>
      <c r="I47" s="4">
        <v>16.5982</v>
      </c>
      <c r="J47" s="4">
        <v>-0.0418</v>
      </c>
      <c r="K47" s="4">
        <v>0.0418</v>
      </c>
      <c r="P47" s="6">
        <v>61</v>
      </c>
    </row>
    <row r="48" ht="17" customHeight="1">
      <c r="A48" s="0">
        <v>57</v>
      </c>
      <c r="B48" s="0" t="inlineStr">
        <is>
          <t>P030</t>
        </is>
      </c>
      <c r="C48" s="0" t="inlineStr">
        <is>
          <t>2026-10-02 15:45:24.639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H48" s="4">
        <v>17.024</v>
      </c>
      <c r="P48" s="0">
        <v>62</v>
      </c>
    </row>
    <row r="49" ht="17" customHeight="1">
      <c r="A49" s="6">
        <v>58</v>
      </c>
      <c r="B49" s="6" t="inlineStr">
        <is>
          <t>P030</t>
        </is>
      </c>
      <c r="C49" s="6" t="inlineStr">
        <is>
          <t>2026-10-02 15:45:24.640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Normal</t>
        </is>
      </c>
      <c r="H49" s="4">
        <v>17.024</v>
      </c>
      <c r="P49" s="6">
        <v>63</v>
      </c>
    </row>
    <row r="50" ht="17" customHeight="1">
      <c r="A50" s="0">
        <v>59</v>
      </c>
      <c r="B50" s="0" t="inlineStr">
        <is>
          <t>P030</t>
        </is>
      </c>
      <c r="C50" s="0" t="inlineStr">
        <is>
          <t>2026-10-02 15:45:25.056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Failed</t>
        </is>
      </c>
      <c r="G50" s="0" t="inlineStr">
        <is>
          <t>Normal</t>
        </is>
      </c>
      <c r="H50" s="4">
        <v>17.792</v>
      </c>
      <c r="I50" s="4">
        <v>17.765</v>
      </c>
      <c r="J50" s="4">
        <v>-0.027</v>
      </c>
      <c r="K50" s="4">
        <v>0.027</v>
      </c>
      <c r="P50" s="0">
        <v>64</v>
      </c>
    </row>
    <row r="51" ht="17" customHeight="1">
      <c r="A51" s="6">
        <v>63</v>
      </c>
      <c r="B51" s="6" t="inlineStr">
        <is>
          <t>P030</t>
        </is>
      </c>
      <c r="C51" s="6" t="inlineStr">
        <is>
          <t>2026-10-02 15:45:26.626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H51" s="4">
        <v>19.328</v>
      </c>
      <c r="I51" s="4">
        <v>19.3349</v>
      </c>
      <c r="J51" s="4">
        <v>0.0069</v>
      </c>
      <c r="K51" s="4">
        <v>0.0069</v>
      </c>
      <c r="P51" s="6">
        <v>68</v>
      </c>
    </row>
    <row r="52" ht="17" customHeight="1">
      <c r="A52" s="0">
        <v>64</v>
      </c>
      <c r="B52" s="0" t="inlineStr">
        <is>
          <t>P030</t>
        </is>
      </c>
      <c r="C52" s="0" t="inlineStr">
        <is>
          <t>2026-10-02 15:45:26.626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Failed</t>
        </is>
      </c>
      <c r="G52" s="0" t="inlineStr">
        <is>
          <t>Easy</t>
        </is>
      </c>
      <c r="H52" s="4">
        <v>19.328</v>
      </c>
      <c r="I52" s="4">
        <v>19.3349</v>
      </c>
      <c r="J52" s="4">
        <v>0.0069</v>
      </c>
      <c r="K52" s="4">
        <v>0.0069</v>
      </c>
      <c r="P52" s="0">
        <v>69</v>
      </c>
    </row>
    <row r="53" ht="17" customHeight="1">
      <c r="A53" s="6">
        <v>65</v>
      </c>
      <c r="B53" s="6" t="inlineStr">
        <is>
          <t>P030</t>
        </is>
      </c>
      <c r="C53" s="6" t="inlineStr">
        <is>
          <t>2026-10-02 15:45:28.141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H53" s="4">
        <v>20.864</v>
      </c>
      <c r="I53" s="4">
        <v>20.8492</v>
      </c>
      <c r="J53" s="4">
        <v>-0.0148</v>
      </c>
      <c r="K53" s="4">
        <v>0.0148</v>
      </c>
      <c r="P53" s="6">
        <v>70</v>
      </c>
    </row>
    <row r="54" ht="17" customHeight="1">
      <c r="A54" s="0">
        <v>66</v>
      </c>
      <c r="B54" s="0" t="inlineStr">
        <is>
          <t>P030</t>
        </is>
      </c>
      <c r="C54" s="0" t="inlineStr">
        <is>
          <t>2026-10-02 15:45:28.182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Easy</t>
        </is>
      </c>
      <c r="H54" s="4">
        <v>20.864</v>
      </c>
      <c r="P54" s="0">
        <v>71</v>
      </c>
    </row>
    <row r="55" ht="17" customHeight="1">
      <c r="A55" s="6">
        <v>67</v>
      </c>
      <c r="B55" s="6" t="inlineStr">
        <is>
          <t>P030</t>
        </is>
      </c>
      <c r="C55" s="6" t="inlineStr">
        <is>
          <t>2026-10-02 15:45:29.710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Easy</t>
        </is>
      </c>
      <c r="H55" s="4">
        <v>22.4</v>
      </c>
      <c r="I55" s="4">
        <v>22.4055</v>
      </c>
      <c r="J55" s="4">
        <v>0.0055</v>
      </c>
      <c r="K55" s="4">
        <v>0.0055</v>
      </c>
      <c r="P55" s="6">
        <v>72</v>
      </c>
    </row>
    <row r="56" ht="17" customHeight="1">
      <c r="A56" s="0">
        <v>68</v>
      </c>
      <c r="B56" s="0" t="inlineStr">
        <is>
          <t>P030</t>
        </is>
      </c>
      <c r="C56" s="0" t="inlineStr">
        <is>
          <t>2026-10-02 15:45:29.710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Easy</t>
        </is>
      </c>
      <c r="H56" s="4">
        <v>22.4</v>
      </c>
      <c r="P56" s="0">
        <v>73</v>
      </c>
    </row>
    <row r="57" ht="17" customHeight="1">
      <c r="A57" s="6">
        <v>69</v>
      </c>
      <c r="B57" s="6" t="inlineStr">
        <is>
          <t>P030</t>
        </is>
      </c>
      <c r="C57" s="6" t="inlineStr">
        <is>
          <t>2026-10-02 15:45:31.211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Easy</t>
        </is>
      </c>
      <c r="H57" s="4">
        <v>23.936</v>
      </c>
      <c r="I57" s="4">
        <v>23.9186</v>
      </c>
      <c r="J57" s="4">
        <v>-0.0174</v>
      </c>
      <c r="K57" s="4">
        <v>0.0174</v>
      </c>
      <c r="P57" s="6">
        <v>74</v>
      </c>
    </row>
    <row r="58" ht="17" customHeight="1">
      <c r="A58" s="0">
        <v>70</v>
      </c>
      <c r="B58" s="0" t="inlineStr">
        <is>
          <t>P030</t>
        </is>
      </c>
      <c r="C58" s="0" t="inlineStr">
        <is>
          <t>2026-10-02 15:45:31.252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Success</t>
        </is>
      </c>
      <c r="G58" s="0" t="inlineStr">
        <is>
          <t>Easy</t>
        </is>
      </c>
      <c r="H58" s="4">
        <v>23.936</v>
      </c>
      <c r="P58" s="0">
        <v>75</v>
      </c>
    </row>
    <row r="59" ht="17" customHeight="1">
      <c r="A59" s="6">
        <v>72</v>
      </c>
      <c r="B59" s="6" t="inlineStr">
        <is>
          <t>P030</t>
        </is>
      </c>
      <c r="C59" s="6" t="inlineStr">
        <is>
          <t>2026-10-02 15:45:32.752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Failed</t>
        </is>
      </c>
      <c r="G59" s="6" t="inlineStr">
        <is>
          <t>Normal</t>
        </is>
      </c>
      <c r="H59" s="4">
        <v>25.472</v>
      </c>
      <c r="I59" s="4">
        <v>25.4599</v>
      </c>
      <c r="J59" s="4">
        <v>-0.0121</v>
      </c>
      <c r="K59" s="4">
        <v>0.0121</v>
      </c>
      <c r="P59" s="6">
        <v>77</v>
      </c>
    </row>
    <row r="60" ht="17" customHeight="1">
      <c r="A60" s="0">
        <v>73</v>
      </c>
      <c r="B60" s="0" t="inlineStr">
        <is>
          <t>P030</t>
        </is>
      </c>
      <c r="C60" s="0" t="inlineStr">
        <is>
          <t>2026-10-02 15:45:32.765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Failed</t>
        </is>
      </c>
      <c r="G60" s="0" t="inlineStr">
        <is>
          <t>Normal</t>
        </is>
      </c>
      <c r="H60" s="4">
        <v>25.472</v>
      </c>
      <c r="I60" s="4">
        <v>25.4739</v>
      </c>
      <c r="J60" s="4">
        <v>0.0019</v>
      </c>
      <c r="K60" s="4">
        <v>0.0019</v>
      </c>
      <c r="P60" s="0">
        <v>78</v>
      </c>
    </row>
    <row r="61" ht="17" customHeight="1">
      <c r="A61" s="6">
        <v>74</v>
      </c>
      <c r="B61" s="6" t="inlineStr">
        <is>
          <t>P030</t>
        </is>
      </c>
      <c r="C61" s="6" t="inlineStr">
        <is>
          <t>2026-10-02 15:45:33.569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Success</t>
        </is>
      </c>
      <c r="G61" s="6" t="inlineStr">
        <is>
          <t>Normal</t>
        </is>
      </c>
      <c r="H61" s="4">
        <v>26.24</v>
      </c>
      <c r="P61" s="6">
        <v>79</v>
      </c>
    </row>
    <row r="62" ht="17" customHeight="1">
      <c r="A62" s="0">
        <v>75</v>
      </c>
      <c r="B62" s="0" t="inlineStr">
        <is>
          <t>P030</t>
        </is>
      </c>
      <c r="C62" s="0" t="inlineStr">
        <is>
          <t>2026-10-02 15:45:33.598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Normal</t>
        </is>
      </c>
      <c r="H62" s="4">
        <v>26.24</v>
      </c>
      <c r="I62" s="4">
        <v>26.3064</v>
      </c>
      <c r="J62" s="4">
        <v>0.0664</v>
      </c>
      <c r="K62" s="4">
        <v>0.0664</v>
      </c>
      <c r="P62" s="0">
        <v>80</v>
      </c>
    </row>
    <row r="63" ht="17" customHeight="1">
      <c r="A63" s="6">
        <v>76</v>
      </c>
      <c r="B63" s="6" t="inlineStr">
        <is>
          <t>P030</t>
        </is>
      </c>
      <c r="C63" s="6" t="inlineStr">
        <is>
          <t>2026-10-02 15:45:34.332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Failed</t>
        </is>
      </c>
      <c r="G63" s="6" t="inlineStr">
        <is>
          <t>Normal</t>
        </is>
      </c>
      <c r="H63" s="4">
        <v>27.008</v>
      </c>
      <c r="I63" s="4">
        <v>27.0418</v>
      </c>
      <c r="J63" s="4">
        <v>0.0338</v>
      </c>
      <c r="K63" s="4">
        <v>0.0338</v>
      </c>
      <c r="P63" s="6">
        <v>81</v>
      </c>
    </row>
    <row r="64" ht="17" customHeight="1">
      <c r="A64" s="0">
        <v>80</v>
      </c>
      <c r="B64" s="0" t="inlineStr">
        <is>
          <t>P030</t>
        </is>
      </c>
      <c r="C64" s="0" t="inlineStr">
        <is>
          <t>2026-10-02 15:45:34.625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Easy</t>
        </is>
      </c>
      <c r="H64" s="4">
        <v>27.008</v>
      </c>
      <c r="P64" s="0">
        <v>85</v>
      </c>
    </row>
    <row r="65" ht="17" customHeight="1">
      <c r="A65" s="6">
        <v>81</v>
      </c>
      <c r="B65" s="6" t="inlineStr">
        <is>
          <t>P030</t>
        </is>
      </c>
      <c r="C65" s="6" t="inlineStr">
        <is>
          <t>2026-10-02 15:45:35.069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Easy</t>
        </is>
      </c>
      <c r="H65" s="4">
        <v>27.776</v>
      </c>
      <c r="I65" s="4">
        <v>27.7782</v>
      </c>
      <c r="J65" s="4">
        <v>0.0022</v>
      </c>
      <c r="K65" s="4">
        <v>0.0022</v>
      </c>
      <c r="P65" s="6">
        <v>86</v>
      </c>
    </row>
    <row r="66" ht="17" customHeight="1">
      <c r="A66" s="0">
        <v>82</v>
      </c>
      <c r="B66" s="0" t="inlineStr">
        <is>
          <t>P030</t>
        </is>
      </c>
      <c r="C66" s="0" t="inlineStr">
        <is>
          <t>2026-10-02 15:45:35.848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Easy</t>
        </is>
      </c>
      <c r="H66" s="4">
        <v>28.544</v>
      </c>
      <c r="I66" s="4">
        <v>28.5563</v>
      </c>
      <c r="J66" s="4">
        <v>0.0123</v>
      </c>
      <c r="K66" s="4">
        <v>0.0123</v>
      </c>
      <c r="P66" s="0">
        <v>87</v>
      </c>
    </row>
    <row r="67" ht="17" customHeight="1">
      <c r="A67" s="6">
        <v>83</v>
      </c>
      <c r="B67" s="6" t="inlineStr">
        <is>
          <t>P030</t>
        </is>
      </c>
      <c r="C67" s="6" t="inlineStr">
        <is>
          <t>2026-10-02 15:45:35.848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Failed</t>
        </is>
      </c>
      <c r="G67" s="6" t="inlineStr">
        <is>
          <t>Easy</t>
        </is>
      </c>
      <c r="H67" s="4">
        <v>28.544</v>
      </c>
      <c r="I67" s="4">
        <v>28.5563</v>
      </c>
      <c r="J67" s="4">
        <v>0.0123</v>
      </c>
      <c r="K67" s="4">
        <v>0.0123</v>
      </c>
      <c r="P67" s="6">
        <v>88</v>
      </c>
    </row>
    <row r="68" ht="17" customHeight="1">
      <c r="A68" s="0">
        <v>84</v>
      </c>
      <c r="B68" s="0" t="inlineStr">
        <is>
          <t>P030</t>
        </is>
      </c>
      <c r="C68" s="0" t="inlineStr">
        <is>
          <t>2026-10-02 15:45:37.375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Easy</t>
        </is>
      </c>
      <c r="H68" s="4">
        <v>30.08</v>
      </c>
      <c r="I68" s="4">
        <v>30.0842</v>
      </c>
      <c r="J68" s="4">
        <v>0.0042</v>
      </c>
      <c r="K68" s="4">
        <v>0.0042</v>
      </c>
      <c r="P68" s="0">
        <v>89</v>
      </c>
    </row>
    <row r="69" ht="17" customHeight="1">
      <c r="A69" s="6">
        <v>85</v>
      </c>
      <c r="B69" s="6" t="inlineStr">
        <is>
          <t>P030</t>
        </is>
      </c>
      <c r="C69" s="6" t="inlineStr">
        <is>
          <t>2026-10-02 15:45:37.375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Easy</t>
        </is>
      </c>
      <c r="H69" s="4">
        <v>30.08</v>
      </c>
      <c r="P69" s="6">
        <v>90</v>
      </c>
    </row>
    <row r="70" ht="17" customHeight="1">
      <c r="A70" s="0">
        <v>86</v>
      </c>
      <c r="B70" s="0" t="inlineStr">
        <is>
          <t>P030</t>
        </is>
      </c>
      <c r="C70" s="0" t="inlineStr">
        <is>
          <t>2026-10-02 15:45:41.304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Easy</t>
        </is>
      </c>
      <c r="H70" s="4">
        <v>33.92</v>
      </c>
      <c r="I70" s="4">
        <v>33.9992</v>
      </c>
      <c r="J70" s="4">
        <v>0.0792</v>
      </c>
      <c r="K70" s="4">
        <v>0.0792</v>
      </c>
      <c r="P70" s="0">
        <v>91</v>
      </c>
    </row>
    <row r="71" ht="17" customHeight="1">
      <c r="A71" s="6">
        <v>87</v>
      </c>
      <c r="B71" s="6" t="inlineStr">
        <is>
          <t>P030</t>
        </is>
      </c>
      <c r="C71" s="6" t="inlineStr">
        <is>
          <t>2026-10-02 15:45:44.998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Easy</t>
        </is>
      </c>
      <c r="H71" s="4">
        <v>37.76</v>
      </c>
      <c r="I71" s="4">
        <v>37.6929</v>
      </c>
      <c r="J71" s="4">
        <v>-0.0671</v>
      </c>
      <c r="K71" s="4">
        <v>0.0671</v>
      </c>
      <c r="P71" s="6">
        <v>92</v>
      </c>
    </row>
    <row r="72" ht="17" customHeight="1">
      <c r="A72" s="0">
        <v>88</v>
      </c>
      <c r="B72" s="0" t="inlineStr">
        <is>
          <t>P030</t>
        </is>
      </c>
      <c r="C72" s="0" t="inlineStr">
        <is>
          <t>2026-10-02 15:45:47.304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Easy</t>
        </is>
      </c>
      <c r="H72" s="4">
        <v>40.064</v>
      </c>
      <c r="I72" s="4">
        <v>39.9991</v>
      </c>
      <c r="J72" s="4">
        <v>-0.0649</v>
      </c>
      <c r="K72" s="4">
        <v>0.0649</v>
      </c>
      <c r="P72" s="0">
        <v>93</v>
      </c>
    </row>
    <row r="73" ht="17" customHeight="1">
      <c r="A73" s="6">
        <v>89</v>
      </c>
      <c r="B73" s="6" t="inlineStr">
        <is>
          <t>P030</t>
        </is>
      </c>
      <c r="C73" s="6" t="inlineStr">
        <is>
          <t>2026-10-02 15:45:49.568</t>
        </is>
      </c>
      <c r="D73" s="6" t="inlineStr">
        <is>
          <t>Joaquin</t>
        </is>
      </c>
      <c r="E73" s="6" t="inlineStr">
        <is>
          <t>GuitarHit</t>
        </is>
      </c>
      <c r="F73" s="6" t="inlineStr">
        <is>
          <t>Success</t>
        </is>
      </c>
      <c r="G73" s="6" t="inlineStr">
        <is>
          <t>Easy</t>
        </is>
      </c>
      <c r="H73" s="4">
        <v>42.368</v>
      </c>
      <c r="I73" s="4">
        <v>42.2626</v>
      </c>
      <c r="J73" s="4">
        <v>-0.1054</v>
      </c>
      <c r="K73" s="4">
        <v>0.1054</v>
      </c>
      <c r="P73" s="6">
        <v>94</v>
      </c>
    </row>
    <row r="74" ht="17" customHeight="1">
      <c r="A74" s="0">
        <v>90</v>
      </c>
      <c r="B74" s="0" t="inlineStr">
        <is>
          <t>P030</t>
        </is>
      </c>
      <c r="C74" s="0" t="inlineStr">
        <is>
          <t>2026-10-02 15:45:52.206</t>
        </is>
      </c>
      <c r="D74" s="0" t="inlineStr">
        <is>
          <t>Joaquin</t>
        </is>
      </c>
      <c r="E74" s="0" t="inlineStr">
        <is>
          <t>GuitarHit</t>
        </is>
      </c>
      <c r="F74" s="0" t="inlineStr">
        <is>
          <t>Success</t>
        </is>
      </c>
      <c r="G74" s="0" t="inlineStr">
        <is>
          <t>Easy</t>
        </is>
      </c>
      <c r="H74" s="4">
        <v>45.056</v>
      </c>
      <c r="I74" s="4">
        <v>44.9007</v>
      </c>
      <c r="J74" s="4">
        <v>-0.1553</v>
      </c>
      <c r="K74" s="4">
        <v>0.1553</v>
      </c>
      <c r="P74" s="0">
        <v>95</v>
      </c>
    </row>
    <row r="75" ht="17" customHeight="1">
      <c r="A75" s="6">
        <v>91</v>
      </c>
      <c r="B75" s="6" t="inlineStr">
        <is>
          <t>P030</t>
        </is>
      </c>
      <c r="C75" s="6" t="inlineStr">
        <is>
          <t>2026-10-02 15:45:55.622</t>
        </is>
      </c>
      <c r="D75" s="6" t="inlineStr">
        <is>
          <t>Joaquin</t>
        </is>
      </c>
      <c r="E75" s="6" t="inlineStr">
        <is>
          <t>GuitarHit</t>
        </is>
      </c>
      <c r="F75" s="6" t="inlineStr">
        <is>
          <t>Success</t>
        </is>
      </c>
      <c r="G75" s="6" t="inlineStr">
        <is>
          <t>Easy</t>
        </is>
      </c>
      <c r="H75" s="4">
        <v>48.128</v>
      </c>
      <c r="I75" s="4">
        <v>48.3168</v>
      </c>
      <c r="J75" s="4">
        <v>0.1888</v>
      </c>
      <c r="K75" s="4">
        <v>0.1888</v>
      </c>
      <c r="P75" s="6">
        <v>96</v>
      </c>
    </row>
    <row r="76" ht="17" customHeight="1">
      <c r="A76" s="0">
        <v>92</v>
      </c>
      <c r="B76" s="0" t="inlineStr">
        <is>
          <t>P030</t>
        </is>
      </c>
      <c r="C76" s="0" t="inlineStr">
        <is>
          <t>2026-10-02 15:45:57.943</t>
        </is>
      </c>
      <c r="D76" s="0" t="inlineStr">
        <is>
          <t>Joaquin</t>
        </is>
      </c>
      <c r="E76" s="0" t="inlineStr">
        <is>
          <t>GuitarHit</t>
        </is>
      </c>
      <c r="F76" s="0" t="inlineStr">
        <is>
          <t>Success</t>
        </is>
      </c>
      <c r="G76" s="0" t="inlineStr">
        <is>
          <t>Easy</t>
        </is>
      </c>
      <c r="H76" s="4">
        <v>50.816</v>
      </c>
      <c r="I76" s="4">
        <v>50.6373</v>
      </c>
      <c r="J76" s="4">
        <v>-0.1787</v>
      </c>
      <c r="K76" s="4">
        <v>0.1787</v>
      </c>
      <c r="P76" s="0">
        <v>97</v>
      </c>
    </row>
    <row r="77" ht="17" customHeight="1">
      <c r="A77" s="6">
        <v>93</v>
      </c>
      <c r="B77" s="6" t="inlineStr">
        <is>
          <t>P030</t>
        </is>
      </c>
      <c r="C77" s="6" t="inlineStr">
        <is>
          <t>2026-10-02 15:45:58.928</t>
        </is>
      </c>
      <c r="D77" s="6" t="inlineStr">
        <is>
          <t>Joaquin</t>
        </is>
      </c>
      <c r="E77" s="6" t="inlineStr">
        <is>
          <t>PlayerHit</t>
        </is>
      </c>
      <c r="F77" s="6" t="inlineStr">
        <is>
          <t>Failed</t>
        </is>
      </c>
      <c r="G77" s="6" t="inlineStr">
        <is>
          <t>Easy</t>
        </is>
      </c>
      <c r="H77" s="4">
        <v>51.6232</v>
      </c>
      <c r="P77" s="6">
        <v>98</v>
      </c>
    </row>
    <row r="78" ht="17" customHeight="1">
      <c r="A78" s="0">
        <v>94</v>
      </c>
      <c r="B78" s="0" t="inlineStr">
        <is>
          <t>P030</t>
        </is>
      </c>
      <c r="C78" s="0" t="inlineStr">
        <is>
          <t>2026-10-02 15:46:00.388</t>
        </is>
      </c>
      <c r="D78" s="0" t="inlineStr">
        <is>
          <t>Joaquin</t>
        </is>
      </c>
      <c r="E78" s="0" t="inlineStr">
        <is>
          <t>GuitarHit</t>
        </is>
      </c>
      <c r="F78" s="0" t="inlineStr">
        <is>
          <t>Success</t>
        </is>
      </c>
      <c r="G78" s="0" t="inlineStr">
        <is>
          <t>Easy</t>
        </is>
      </c>
      <c r="H78" s="4">
        <v>53.12</v>
      </c>
      <c r="I78" s="4">
        <v>53.0824</v>
      </c>
      <c r="J78" s="4">
        <v>-0.0376</v>
      </c>
      <c r="K78" s="4">
        <v>0.0376</v>
      </c>
      <c r="P78" s="0">
        <v>99</v>
      </c>
    </row>
    <row r="79" ht="17" customHeight="1">
      <c r="A79" s="6">
        <v>96</v>
      </c>
      <c r="B79" s="6" t="inlineStr">
        <is>
          <t>P030</t>
        </is>
      </c>
      <c r="C79" s="6" t="inlineStr">
        <is>
          <t>2026-10-02 15:46:00.583</t>
        </is>
      </c>
      <c r="D79" s="6" t="inlineStr">
        <is>
          <t>Joaquin</t>
        </is>
      </c>
      <c r="E79" s="6" t="inlineStr">
        <is>
          <t>GuitarHit</t>
        </is>
      </c>
      <c r="F79" s="6" t="inlineStr">
        <is>
          <t>Success</t>
        </is>
      </c>
      <c r="G79" s="6" t="inlineStr">
        <is>
          <t>Normal</t>
        </is>
      </c>
      <c r="H79" s="4">
        <v>53.12</v>
      </c>
      <c r="I79" s="4">
        <v>53.2772</v>
      </c>
      <c r="J79" s="4">
        <v>0.1572</v>
      </c>
      <c r="K79" s="4">
        <v>0.1572</v>
      </c>
      <c r="P79" s="6">
        <v>101</v>
      </c>
    </row>
    <row r="80" ht="17" customHeight="1">
      <c r="A80" s="0">
        <v>97</v>
      </c>
      <c r="B80" s="0" t="inlineStr">
        <is>
          <t>P030</t>
        </is>
      </c>
      <c r="C80" s="0" t="inlineStr">
        <is>
          <t>2026-10-02 15:46:03.303</t>
        </is>
      </c>
      <c r="D80" s="0" t="inlineStr">
        <is>
          <t>Joaquin</t>
        </is>
      </c>
      <c r="E80" s="0" t="inlineStr">
        <is>
          <t>GuitarHit</t>
        </is>
      </c>
      <c r="F80" s="0" t="inlineStr">
        <is>
          <t>Success</t>
        </is>
      </c>
      <c r="G80" s="0" t="inlineStr">
        <is>
          <t>Normal</t>
        </is>
      </c>
      <c r="H80" s="4">
        <v>55.808</v>
      </c>
      <c r="I80" s="4">
        <v>55.9988</v>
      </c>
      <c r="J80" s="4">
        <v>0.1908</v>
      </c>
      <c r="K80" s="4">
        <v>0.1908</v>
      </c>
      <c r="P80" s="0">
        <v>102</v>
      </c>
    </row>
    <row r="81" ht="17" customHeight="1">
      <c r="A81" s="6">
        <v>98</v>
      </c>
      <c r="B81" s="6" t="inlineStr">
        <is>
          <t>P030</t>
        </is>
      </c>
      <c r="C81" s="6" t="inlineStr">
        <is>
          <t>2026-10-02 15:46:05.331</t>
        </is>
      </c>
      <c r="D81" s="6" t="inlineStr">
        <is>
          <t>Joaquin</t>
        </is>
      </c>
      <c r="E81" s="6" t="inlineStr">
        <is>
          <t>GuitarHit</t>
        </is>
      </c>
      <c r="F81" s="6" t="inlineStr">
        <is>
          <t>Success</t>
        </is>
      </c>
      <c r="G81" s="6" t="inlineStr">
        <is>
          <t>Normal</t>
        </is>
      </c>
      <c r="H81" s="4">
        <v>58.112</v>
      </c>
      <c r="I81" s="4">
        <v>58.0258</v>
      </c>
      <c r="J81" s="4">
        <v>-0.0862</v>
      </c>
      <c r="K81" s="4">
        <v>0.0862</v>
      </c>
      <c r="P81" s="6">
        <v>103</v>
      </c>
    </row>
    <row r="82" ht="17" customHeight="1">
      <c r="A82" s="0">
        <v>99</v>
      </c>
      <c r="B82" s="0" t="inlineStr">
        <is>
          <t>P030</t>
        </is>
      </c>
      <c r="C82" s="0" t="inlineStr">
        <is>
          <t>2026-10-02 15:46:06.498</t>
        </is>
      </c>
      <c r="D82" s="0" t="inlineStr">
        <is>
          <t>Joaquin</t>
        </is>
      </c>
      <c r="E82" s="0" t="inlineStr">
        <is>
          <t>PlayerHit</t>
        </is>
      </c>
      <c r="F82" s="0" t="inlineStr">
        <is>
          <t>Failed</t>
        </is>
      </c>
      <c r="G82" s="0" t="inlineStr">
        <is>
          <t>Normal</t>
        </is>
      </c>
      <c r="H82" s="4">
        <v>59.1934</v>
      </c>
      <c r="P82" s="0">
        <v>104</v>
      </c>
    </row>
    <row r="83" ht="17" customHeight="1">
      <c r="A83" s="6">
        <v>100</v>
      </c>
      <c r="B83" s="6" t="inlineStr">
        <is>
          <t>P030</t>
        </is>
      </c>
      <c r="C83" s="6" t="inlineStr">
        <is>
          <t>2026-10-02 15:46:07.929</t>
        </is>
      </c>
      <c r="D83" s="6" t="inlineStr">
        <is>
          <t>Joaquin</t>
        </is>
      </c>
      <c r="E83" s="6" t="inlineStr">
        <is>
          <t>GuitarHit</t>
        </is>
      </c>
      <c r="F83" s="6" t="inlineStr">
        <is>
          <t>Success</t>
        </is>
      </c>
      <c r="G83" s="6" t="inlineStr">
        <is>
          <t>Normal</t>
        </is>
      </c>
      <c r="H83" s="4">
        <v>60.8</v>
      </c>
      <c r="I83" s="4">
        <v>60.6237</v>
      </c>
      <c r="J83" s="4">
        <v>-0.1763</v>
      </c>
      <c r="K83" s="4">
        <v>0.1763</v>
      </c>
      <c r="P83" s="6">
        <v>105</v>
      </c>
    </row>
    <row r="84" ht="17" customHeight="1">
      <c r="A84" s="0">
        <v>102</v>
      </c>
      <c r="B84" s="0" t="inlineStr">
        <is>
          <t>P030</t>
        </is>
      </c>
      <c r="C84" s="0" t="inlineStr">
        <is>
          <t>2026-10-02 15:46:13.360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Failed</t>
        </is>
      </c>
      <c r="G84" s="0" t="inlineStr">
        <is>
          <t>Normal</t>
        </is>
      </c>
      <c r="H84" s="4">
        <v>66.2528</v>
      </c>
      <c r="I84" s="4">
        <v>66.0549</v>
      </c>
      <c r="J84" s="4">
        <v>-0.1979</v>
      </c>
      <c r="K84" s="4">
        <v>0.1979</v>
      </c>
      <c r="L84" s="4">
        <v>0.6469</v>
      </c>
      <c r="N84" s="4">
        <v>0.0</v>
      </c>
      <c r="P84" s="0">
        <v>107</v>
      </c>
    </row>
    <row r="85" ht="17" customHeight="1">
      <c r="A85" s="6">
        <v>104</v>
      </c>
      <c r="B85" s="6" t="inlineStr">
        <is>
          <t>P030</t>
        </is>
      </c>
      <c r="C85" s="6" t="inlineStr">
        <is>
          <t>2026-10-02 15:46:14.304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Failed</t>
        </is>
      </c>
      <c r="G85" s="6" t="inlineStr">
        <is>
          <t>Normal</t>
        </is>
      </c>
      <c r="H85" s="4">
        <v>67.7888</v>
      </c>
      <c r="I85" s="4">
        <v>66.9994</v>
      </c>
      <c r="J85" s="4">
        <v>-0.7894</v>
      </c>
      <c r="K85" s="4">
        <v>0.7894</v>
      </c>
      <c r="L85" s="4">
        <v>0.0554</v>
      </c>
      <c r="N85" s="4">
        <v>0.0</v>
      </c>
      <c r="P85" s="6">
        <v>109</v>
      </c>
    </row>
    <row r="86" ht="17" customHeight="1">
      <c r="A86" s="0">
        <v>105</v>
      </c>
      <c r="B86" s="0" t="inlineStr">
        <is>
          <t>P030</t>
        </is>
      </c>
      <c r="C86" s="0" t="inlineStr">
        <is>
          <t>2026-10-02 15:46:16.318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Normal</t>
        </is>
      </c>
      <c r="H86" s="4">
        <v>69.3248</v>
      </c>
      <c r="P86" s="0">
        <v>110</v>
      </c>
    </row>
    <row r="87" ht="17" customHeight="1">
      <c r="A87" s="6">
        <v>106</v>
      </c>
      <c r="B87" s="6" t="inlineStr">
        <is>
          <t>P030</t>
        </is>
      </c>
      <c r="C87" s="6" t="inlineStr">
        <is>
          <t>2026-10-02 15:46:18.067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Success</t>
        </is>
      </c>
      <c r="G87" s="6" t="inlineStr">
        <is>
          <t>Normal</t>
        </is>
      </c>
      <c r="H87" s="4">
        <v>70.8608</v>
      </c>
      <c r="I87" s="4">
        <v>70.762</v>
      </c>
      <c r="J87" s="4">
        <v>-0.0988</v>
      </c>
      <c r="K87" s="4">
        <v>0.0988</v>
      </c>
      <c r="L87" s="4">
        <v>0.746</v>
      </c>
      <c r="N87" s="4">
        <v>1.0</v>
      </c>
      <c r="P87" s="6">
        <v>111</v>
      </c>
    </row>
    <row r="88" ht="17" customHeight="1">
      <c r="A88" s="0">
        <v>107</v>
      </c>
      <c r="B88" s="0" t="inlineStr">
        <is>
          <t>P030</t>
        </is>
      </c>
      <c r="C88" s="0" t="inlineStr">
        <is>
          <t>2026-10-02 15:46:20.400</t>
        </is>
      </c>
      <c r="D88" s="0" t="inlineStr">
        <is>
          <t>Shipi</t>
        </is>
      </c>
      <c r="E88" s="0" t="inlineStr">
        <is>
          <t>FoodClear</t>
        </is>
      </c>
      <c r="F88" s="0" t="inlineStr">
        <is>
          <t>Success</t>
        </is>
      </c>
      <c r="G88" s="0" t="inlineStr">
        <is>
          <t>Normal</t>
        </is>
      </c>
      <c r="H88" s="4">
        <v>72.3968</v>
      </c>
      <c r="P88" s="0">
        <v>112</v>
      </c>
    </row>
    <row r="89" ht="17" customHeight="1">
      <c r="A89" s="6">
        <v>111</v>
      </c>
      <c r="B89" s="6" t="inlineStr">
        <is>
          <t>P030</t>
        </is>
      </c>
      <c r="C89" s="6" t="inlineStr">
        <is>
          <t>2026-10-02 15:46:21.123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Failed</t>
        </is>
      </c>
      <c r="G89" s="6" t="inlineStr">
        <is>
          <t>Normal</t>
        </is>
      </c>
      <c r="H89" s="4">
        <v>73.9328</v>
      </c>
      <c r="I89" s="4">
        <v>73.8177</v>
      </c>
      <c r="J89" s="4">
        <v>-0.1151</v>
      </c>
      <c r="K89" s="4">
        <v>0.1151</v>
      </c>
      <c r="L89" s="4">
        <v>0.7297</v>
      </c>
      <c r="N89" s="4">
        <v>0.0</v>
      </c>
      <c r="P89" s="6">
        <v>116</v>
      </c>
    </row>
    <row r="90" ht="17" customHeight="1">
      <c r="A90" s="0">
        <v>113</v>
      </c>
      <c r="B90" s="0" t="inlineStr">
        <is>
          <t>P030</t>
        </is>
      </c>
      <c r="C90" s="0" t="inlineStr">
        <is>
          <t>2026-10-02 15:46:23.151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Success</t>
        </is>
      </c>
      <c r="G90" s="0" t="inlineStr">
        <is>
          <t>Normal</t>
        </is>
      </c>
      <c r="H90" s="4">
        <v>76.064</v>
      </c>
      <c r="I90" s="4">
        <v>75.8464</v>
      </c>
      <c r="J90" s="4">
        <v>-0.2176</v>
      </c>
      <c r="K90" s="4">
        <v>0.2176</v>
      </c>
      <c r="L90" s="4">
        <v>0.8384</v>
      </c>
      <c r="N90" s="4">
        <v>1.0</v>
      </c>
      <c r="P90" s="0">
        <v>118</v>
      </c>
    </row>
    <row r="91" ht="17" customHeight="1">
      <c r="A91" s="6">
        <v>114</v>
      </c>
      <c r="B91" s="6" t="inlineStr">
        <is>
          <t>P030</t>
        </is>
      </c>
      <c r="C91" s="6" t="inlineStr">
        <is>
          <t>2026-10-02 15:46:24.859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Failed</t>
        </is>
      </c>
      <c r="G91" s="6" t="inlineStr">
        <is>
          <t>Easy</t>
        </is>
      </c>
      <c r="H91" s="4">
        <v>77.984</v>
      </c>
      <c r="I91" s="4">
        <v>77.555</v>
      </c>
      <c r="J91" s="4">
        <v>-0.429</v>
      </c>
      <c r="K91" s="4">
        <v>0.429</v>
      </c>
      <c r="L91" s="4">
        <v>0.627</v>
      </c>
      <c r="N91" s="4">
        <v>0.0</v>
      </c>
      <c r="P91" s="6">
        <v>119</v>
      </c>
    </row>
    <row r="92" ht="17" customHeight="1">
      <c r="A92" s="0">
        <v>116</v>
      </c>
      <c r="B92" s="0" t="inlineStr">
        <is>
          <t>P030</t>
        </is>
      </c>
      <c r="C92" s="0" t="inlineStr">
        <is>
          <t>2026-10-02 15:46:27.431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Success</t>
        </is>
      </c>
      <c r="G92" s="0" t="inlineStr">
        <is>
          <t>Easy</t>
        </is>
      </c>
      <c r="H92" s="4">
        <v>79.904</v>
      </c>
      <c r="I92" s="4">
        <v>80.1255</v>
      </c>
      <c r="J92" s="4">
        <v>0.2215</v>
      </c>
      <c r="K92" s="4">
        <v>0.2215</v>
      </c>
      <c r="L92" s="4">
        <v>1.2775</v>
      </c>
      <c r="N92" s="4">
        <v>1.0</v>
      </c>
      <c r="P92" s="0">
        <v>121</v>
      </c>
    </row>
    <row r="93" ht="17" customHeight="1">
      <c r="A93" s="6">
        <v>117</v>
      </c>
      <c r="B93" s="6" t="inlineStr">
        <is>
          <t>P030</t>
        </is>
      </c>
      <c r="C93" s="6" t="inlineStr">
        <is>
          <t>2026-10-02 15:46:29.027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H93" s="4">
        <v>81.824</v>
      </c>
      <c r="I93" s="4">
        <v>81.7223</v>
      </c>
      <c r="J93" s="4">
        <v>-0.1017</v>
      </c>
      <c r="K93" s="4">
        <v>0.1017</v>
      </c>
      <c r="L93" s="4">
        <v>0.9543</v>
      </c>
      <c r="N93" s="4">
        <v>1.0</v>
      </c>
      <c r="P93" s="6">
        <v>122</v>
      </c>
    </row>
    <row r="94" ht="17" customHeight="1">
      <c r="A94" s="0">
        <v>118</v>
      </c>
      <c r="B94" s="0" t="inlineStr">
        <is>
          <t>P030</t>
        </is>
      </c>
      <c r="C94" s="0" t="inlineStr">
        <is>
          <t>2026-10-02 15:46:30.763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Failed</t>
        </is>
      </c>
      <c r="G94" s="0" t="inlineStr">
        <is>
          <t>Easy</t>
        </is>
      </c>
      <c r="H94" s="4">
        <v>83.744</v>
      </c>
      <c r="I94" s="4">
        <v>83.4577</v>
      </c>
      <c r="J94" s="4">
        <v>-0.2863</v>
      </c>
      <c r="K94" s="4">
        <v>0.2863</v>
      </c>
      <c r="L94" s="4">
        <v>0.7697</v>
      </c>
      <c r="N94" s="4">
        <v>0.0</v>
      </c>
      <c r="P94" s="0">
        <v>123</v>
      </c>
    </row>
    <row r="95" ht="17" customHeight="1">
      <c r="A95" s="6">
        <v>119</v>
      </c>
      <c r="B95" s="6" t="inlineStr">
        <is>
          <t>P030</t>
        </is>
      </c>
      <c r="C95" s="6" t="inlineStr">
        <is>
          <t>2026-10-02 15:46:32.624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Success</t>
        </is>
      </c>
      <c r="G95" s="6" t="inlineStr">
        <is>
          <t>Easy</t>
        </is>
      </c>
      <c r="H95" s="4">
        <v>85.664</v>
      </c>
      <c r="I95" s="4">
        <v>85.3185</v>
      </c>
      <c r="J95" s="4">
        <v>-0.3455</v>
      </c>
      <c r="K95" s="4">
        <v>0.3455</v>
      </c>
      <c r="L95" s="4">
        <v>0.7105</v>
      </c>
      <c r="N95" s="4">
        <v>1.0</v>
      </c>
      <c r="P95" s="6">
        <v>124</v>
      </c>
    </row>
    <row r="96" ht="17" customHeight="1">
      <c r="A96" s="0">
        <v>120</v>
      </c>
      <c r="B96" s="0" t="inlineStr">
        <is>
          <t>P030</t>
        </is>
      </c>
      <c r="C96" s="0" t="inlineStr">
        <is>
          <t>2026-10-02 15:46:35.762</t>
        </is>
      </c>
      <c r="D96" s="0" t="inlineStr">
        <is>
          <t>Shipi</t>
        </is>
      </c>
      <c r="E96" s="0" t="inlineStr">
        <is>
          <t>FoodClear</t>
        </is>
      </c>
      <c r="F96" s="0" t="inlineStr">
        <is>
          <t>Success</t>
        </is>
      </c>
      <c r="G96" s="0" t="inlineStr">
        <is>
          <t>Easy</t>
        </is>
      </c>
      <c r="H96" s="4">
        <v>87.584</v>
      </c>
      <c r="P96" s="0">
        <v>125</v>
      </c>
    </row>
    <row r="97" ht="17" customHeight="1">
      <c r="A97" s="6">
        <v>122</v>
      </c>
      <c r="B97" s="6" t="inlineStr">
        <is>
          <t>P030</t>
        </is>
      </c>
      <c r="C97" s="6" t="inlineStr">
        <is>
          <t>2026-10-02 15:46:37.679</t>
        </is>
      </c>
      <c r="D97" s="6" t="inlineStr">
        <is>
          <t>Shipi</t>
        </is>
      </c>
      <c r="E97" s="6" t="inlineStr">
        <is>
          <t>FoodClear</t>
        </is>
      </c>
      <c r="F97" s="6" t="inlineStr">
        <is>
          <t>Success</t>
        </is>
      </c>
      <c r="G97" s="6" t="inlineStr">
        <is>
          <t>Easy</t>
        </is>
      </c>
      <c r="H97" s="4">
        <v>89.504</v>
      </c>
      <c r="P97" s="6">
        <v>127</v>
      </c>
    </row>
    <row r="98" ht="17" customHeight="1">
      <c r="A98" s="0">
        <v>123</v>
      </c>
      <c r="B98" s="0" t="inlineStr">
        <is>
          <t>P030</t>
        </is>
      </c>
      <c r="C98" s="0" t="inlineStr">
        <is>
          <t>2026-10-02 15:46:38.484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Failed</t>
        </is>
      </c>
      <c r="G98" s="0" t="inlineStr">
        <is>
          <t>Easy</t>
        </is>
      </c>
      <c r="H98" s="4">
        <v>91.424</v>
      </c>
      <c r="I98" s="4">
        <v>91.1785</v>
      </c>
      <c r="J98" s="4">
        <v>-0.2455</v>
      </c>
      <c r="K98" s="4">
        <v>0.2455</v>
      </c>
      <c r="L98" s="4">
        <v>0.8105</v>
      </c>
      <c r="N98" s="4">
        <v>0.0</v>
      </c>
      <c r="P98" s="0">
        <v>128</v>
      </c>
    </row>
    <row r="99" ht="17" customHeight="1">
      <c r="A99" s="6">
        <v>125</v>
      </c>
      <c r="B99" s="6" t="inlineStr">
        <is>
          <t>P030</t>
        </is>
      </c>
      <c r="C99" s="6" t="inlineStr">
        <is>
          <t>2026-10-02 15:46:40.429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Failed</t>
        </is>
      </c>
      <c r="G99" s="6" t="inlineStr">
        <is>
          <t>Easy</t>
        </is>
      </c>
      <c r="H99" s="4">
        <v>93.344</v>
      </c>
      <c r="I99" s="4">
        <v>93.1238</v>
      </c>
      <c r="J99" s="4">
        <v>-0.2202</v>
      </c>
      <c r="K99" s="4">
        <v>0.2202</v>
      </c>
      <c r="L99" s="4">
        <v>0.8358</v>
      </c>
      <c r="N99" s="4">
        <v>0.0</v>
      </c>
      <c r="P99" s="6">
        <v>130</v>
      </c>
    </row>
    <row r="100" ht="17" customHeight="1">
      <c r="A100" s="0">
        <v>127</v>
      </c>
      <c r="B100" s="0" t="inlineStr">
        <is>
          <t>P030</t>
        </is>
      </c>
      <c r="C100" s="0" t="inlineStr">
        <is>
          <t>2026-10-02 15:46:46.983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H100" s="4">
        <v>96.128</v>
      </c>
      <c r="I100" s="4">
        <v>99.6223</v>
      </c>
      <c r="J100" s="4">
        <v>3.4943</v>
      </c>
      <c r="K100" s="4">
        <v>3.4943</v>
      </c>
      <c r="N100" s="4">
        <v>1.0</v>
      </c>
      <c r="O100" s="0" t="b">
        <v>1</v>
      </c>
      <c r="P100" s="0">
        <v>132</v>
      </c>
    </row>
    <row r="101" ht="17" customHeight="1">
      <c r="A101" s="6">
        <v>129</v>
      </c>
      <c r="B101" s="6" t="inlineStr">
        <is>
          <t>P030</t>
        </is>
      </c>
      <c r="C101" s="6" t="inlineStr">
        <is>
          <t>2026-10-02 15:46:48.289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Missed</t>
        </is>
      </c>
      <c r="G101" s="6" t="inlineStr">
        <is>
          <t>Easy</t>
        </is>
      </c>
      <c r="H101" s="4">
        <v>94.976</v>
      </c>
      <c r="P101" s="6">
        <v>134</v>
      </c>
    </row>
    <row r="102" ht="17" customHeight="1">
      <c r="A102" s="0">
        <v>130</v>
      </c>
      <c r="B102" s="0" t="inlineStr">
        <is>
          <t>P030</t>
        </is>
      </c>
      <c r="C102" s="0" t="inlineStr">
        <is>
          <t>2026-10-02 15:46:49.608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Failed</t>
        </is>
      </c>
      <c r="G102" s="0" t="inlineStr">
        <is>
          <t>Easy</t>
        </is>
      </c>
      <c r="H102" s="4">
        <v>101.12</v>
      </c>
      <c r="I102" s="4">
        <v>102.1777</v>
      </c>
      <c r="J102" s="4">
        <v>1.0577</v>
      </c>
      <c r="K102" s="4">
        <v>1.0577</v>
      </c>
      <c r="N102" s="4">
        <v>0.0</v>
      </c>
      <c r="O102" s="0" t="b">
        <v>1</v>
      </c>
      <c r="P102" s="0">
        <v>135</v>
      </c>
    </row>
    <row r="103" ht="17" customHeight="1">
      <c r="A103" s="6">
        <v>131</v>
      </c>
      <c r="B103" s="6" t="inlineStr">
        <is>
          <t>P030</t>
        </is>
      </c>
      <c r="C103" s="6" t="inlineStr">
        <is>
          <t>2026-10-02 15:46:50.650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Success</t>
        </is>
      </c>
      <c r="G103" s="6" t="inlineStr">
        <is>
          <t>Easy</t>
        </is>
      </c>
      <c r="H103" s="4">
        <v>102.656</v>
      </c>
      <c r="I103" s="4">
        <v>103.2749</v>
      </c>
      <c r="J103" s="4">
        <v>0.6189</v>
      </c>
      <c r="K103" s="4">
        <v>0.6189</v>
      </c>
      <c r="N103" s="4">
        <v>1.0</v>
      </c>
      <c r="O103" s="6" t="b">
        <v>1</v>
      </c>
      <c r="P103" s="6">
        <v>136</v>
      </c>
    </row>
    <row r="104" ht="17" customHeight="1">
      <c r="A104" s="0">
        <v>132</v>
      </c>
      <c r="B104" s="0" t="inlineStr">
        <is>
          <t>P030</t>
        </is>
      </c>
      <c r="C104" s="0" t="inlineStr">
        <is>
          <t>2026-10-02 15:46:52.566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H104" s="4">
        <v>104.96</v>
      </c>
      <c r="I104" s="4">
        <v>104.497</v>
      </c>
      <c r="J104" s="4">
        <v>-0.463</v>
      </c>
      <c r="K104" s="4">
        <v>0.463</v>
      </c>
      <c r="N104" s="4">
        <v>1.0</v>
      </c>
      <c r="O104" s="0" t="b">
        <v>0</v>
      </c>
      <c r="P104" s="0">
        <v>137</v>
      </c>
    </row>
    <row r="105" ht="17" customHeight="1">
      <c r="A105" s="6">
        <v>134</v>
      </c>
      <c r="B105" s="6" t="inlineStr">
        <is>
          <t>P030</t>
        </is>
      </c>
      <c r="C105" s="6" t="inlineStr">
        <is>
          <t>2026-10-02 15:46:53.720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Success</t>
        </is>
      </c>
      <c r="G105" s="6" t="inlineStr">
        <is>
          <t>Easy</t>
        </is>
      </c>
      <c r="H105" s="4">
        <v>104.192</v>
      </c>
      <c r="I105" s="4">
        <v>106.3586</v>
      </c>
      <c r="J105" s="4">
        <v>2.1666</v>
      </c>
      <c r="K105" s="4">
        <v>2.1666</v>
      </c>
      <c r="N105" s="4">
        <v>1.0</v>
      </c>
      <c r="O105" s="6" t="b">
        <v>1</v>
      </c>
      <c r="P105" s="6">
        <v>139</v>
      </c>
    </row>
    <row r="106" ht="17" customHeight="1">
      <c r="A106" s="0">
        <v>135</v>
      </c>
      <c r="B106" s="0" t="inlineStr">
        <is>
          <t>P030</t>
        </is>
      </c>
      <c r="C106" s="0" t="inlineStr">
        <is>
          <t>2026-10-02 15:46:55.039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Easy</t>
        </is>
      </c>
      <c r="H106" s="4">
        <v>106.88</v>
      </c>
      <c r="I106" s="4">
        <v>107.6368</v>
      </c>
      <c r="J106" s="4">
        <v>0.7568</v>
      </c>
      <c r="K106" s="4">
        <v>0.7568</v>
      </c>
      <c r="N106" s="4">
        <v>0.0</v>
      </c>
      <c r="O106" s="0" t="b">
        <v>1</v>
      </c>
      <c r="P106" s="0">
        <v>140</v>
      </c>
    </row>
    <row r="107" ht="17" customHeight="1">
      <c r="A107" s="6">
        <v>136</v>
      </c>
      <c r="B107" s="6" t="inlineStr">
        <is>
          <t>P030</t>
        </is>
      </c>
      <c r="C107" s="6" t="inlineStr">
        <is>
          <t>2026-10-02 15:46:56.220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Failed</t>
        </is>
      </c>
      <c r="G107" s="6" t="inlineStr">
        <is>
          <t>Easy</t>
        </is>
      </c>
      <c r="H107" s="4">
        <v>108.032</v>
      </c>
      <c r="I107" s="4">
        <v>108.8457</v>
      </c>
      <c r="J107" s="4">
        <v>0.8137</v>
      </c>
      <c r="K107" s="4">
        <v>0.8137</v>
      </c>
      <c r="N107" s="4">
        <v>0.0</v>
      </c>
      <c r="O107" s="6" t="b">
        <v>1</v>
      </c>
      <c r="P107" s="6">
        <v>141</v>
      </c>
    </row>
    <row r="108" ht="17" customHeight="1">
      <c r="A108" s="0">
        <v>137</v>
      </c>
      <c r="B108" s="0" t="inlineStr">
        <is>
          <t>P030</t>
        </is>
      </c>
      <c r="C108" s="0" t="inlineStr">
        <is>
          <t>2026-10-02 15:46:56.998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Success</t>
        </is>
      </c>
      <c r="G108" s="0" t="inlineStr">
        <is>
          <t>Easy</t>
        </is>
      </c>
      <c r="H108" s="4">
        <v>109.184</v>
      </c>
      <c r="I108" s="4">
        <v>109.6374</v>
      </c>
      <c r="J108" s="4">
        <v>0.4534</v>
      </c>
      <c r="K108" s="4">
        <v>0.4534</v>
      </c>
      <c r="N108" s="4">
        <v>1.0</v>
      </c>
      <c r="O108" s="0" t="b">
        <v>1</v>
      </c>
      <c r="P108" s="0">
        <v>142</v>
      </c>
    </row>
    <row r="109" ht="17" customHeight="1">
      <c r="A109" s="6">
        <v>138</v>
      </c>
      <c r="B109" s="6" t="inlineStr">
        <is>
          <t>P030</t>
        </is>
      </c>
      <c r="C109" s="6" t="inlineStr">
        <is>
          <t>2026-10-02 15:47:00.638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Easy</t>
        </is>
      </c>
      <c r="H109" s="4">
        <v>111.104</v>
      </c>
      <c r="I109" s="4">
        <v>113.2773</v>
      </c>
      <c r="J109" s="4">
        <v>2.1733</v>
      </c>
      <c r="K109" s="4">
        <v>2.1733</v>
      </c>
      <c r="N109" s="4">
        <v>0.0</v>
      </c>
      <c r="O109" s="6" t="b">
        <v>1</v>
      </c>
      <c r="P109" s="6">
        <v>143</v>
      </c>
    </row>
    <row r="110" ht="17" customHeight="1">
      <c r="A110" s="0">
        <v>139</v>
      </c>
      <c r="B110" s="0" t="inlineStr">
        <is>
          <t>P030</t>
        </is>
      </c>
      <c r="C110" s="0" t="inlineStr">
        <is>
          <t>2026-10-02 15:47:01.180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Success</t>
        </is>
      </c>
      <c r="G110" s="0" t="inlineStr">
        <is>
          <t>Easy</t>
        </is>
      </c>
      <c r="H110" s="4">
        <v>113.024</v>
      </c>
      <c r="I110" s="4">
        <v>112.5551</v>
      </c>
      <c r="J110" s="4">
        <v>-0.4689</v>
      </c>
      <c r="K110" s="4">
        <v>0.4689</v>
      </c>
      <c r="N110" s="4">
        <v>1.0</v>
      </c>
      <c r="O110" s="0" t="b">
        <v>1</v>
      </c>
      <c r="P110" s="0">
        <v>144</v>
      </c>
    </row>
    <row r="111" ht="17" customHeight="1">
      <c r="A111" s="6">
        <v>140</v>
      </c>
      <c r="B111" s="6" t="inlineStr">
        <is>
          <t>P030</t>
        </is>
      </c>
      <c r="C111" s="6" t="inlineStr">
        <is>
          <t>2026-10-02 15:47:04.346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Easy</t>
        </is>
      </c>
      <c r="H111" s="4">
        <v>116.096</v>
      </c>
      <c r="I111" s="4">
        <v>116.9582</v>
      </c>
      <c r="J111" s="4">
        <v>0.8622</v>
      </c>
      <c r="K111" s="4">
        <v>0.8622</v>
      </c>
      <c r="N111" s="4">
        <v>0.0</v>
      </c>
      <c r="O111" s="6" t="b">
        <v>1</v>
      </c>
      <c r="P111" s="6">
        <v>145</v>
      </c>
    </row>
    <row r="112" ht="17" customHeight="1">
      <c r="A112" s="0">
        <v>141</v>
      </c>
      <c r="B112" s="0" t="inlineStr">
        <is>
          <t>P030</t>
        </is>
      </c>
      <c r="C112" s="0" t="inlineStr">
        <is>
          <t>2026-10-02 15:47:05.500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Failed</t>
        </is>
      </c>
      <c r="G112" s="0" t="inlineStr">
        <is>
          <t>Easy</t>
        </is>
      </c>
      <c r="H112" s="4">
        <v>117.248</v>
      </c>
      <c r="I112" s="4">
        <v>117.8051</v>
      </c>
      <c r="J112" s="4">
        <v>0.5571</v>
      </c>
      <c r="K112" s="4">
        <v>0.5571</v>
      </c>
      <c r="N112" s="4">
        <v>0.0</v>
      </c>
      <c r="O112" s="0" t="b">
        <v>0</v>
      </c>
      <c r="P112" s="0">
        <v>146</v>
      </c>
    </row>
    <row r="113" ht="17" customHeight="1">
      <c r="A113" s="6">
        <v>142</v>
      </c>
      <c r="B113" s="6" t="inlineStr">
        <is>
          <t>P030</t>
        </is>
      </c>
      <c r="C113" s="6" t="inlineStr">
        <is>
          <t>2026-10-02 15:47:06.305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Easy</t>
        </is>
      </c>
      <c r="H113" s="4">
        <v>118.4</v>
      </c>
      <c r="I113" s="4">
        <v>118.9025</v>
      </c>
      <c r="J113" s="4">
        <v>0.5025</v>
      </c>
      <c r="K113" s="4">
        <v>0.5025</v>
      </c>
      <c r="N113" s="4">
        <v>1.0</v>
      </c>
      <c r="O113" s="6" t="b">
        <v>1</v>
      </c>
      <c r="P113" s="6">
        <v>147</v>
      </c>
    </row>
    <row r="114" ht="17" customHeight="1">
      <c r="A114" s="0">
        <v>143</v>
      </c>
      <c r="B114" s="0" t="inlineStr">
        <is>
          <t>P030</t>
        </is>
      </c>
      <c r="C114" s="0" t="inlineStr">
        <is>
          <t>2026-10-02 15:47:07.790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Success</t>
        </is>
      </c>
      <c r="G114" s="0" t="inlineStr">
        <is>
          <t>Easy</t>
        </is>
      </c>
      <c r="H114" s="4">
        <v>119.936</v>
      </c>
      <c r="I114" s="4">
        <v>120.4164</v>
      </c>
      <c r="J114" s="4">
        <v>0.4804</v>
      </c>
      <c r="K114" s="4">
        <v>0.4804</v>
      </c>
      <c r="N114" s="4">
        <v>1.0</v>
      </c>
      <c r="O114" s="0" t="b">
        <v>1</v>
      </c>
      <c r="P114" s="0">
        <v>148</v>
      </c>
    </row>
    <row r="115" ht="17" customHeight="1">
      <c r="A115" s="6">
        <v>144</v>
      </c>
      <c r="B115" s="6" t="inlineStr">
        <is>
          <t>P030</t>
        </is>
      </c>
      <c r="C115" s="6" t="inlineStr">
        <is>
          <t>2026-10-02 15:47:09.929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Failed</t>
        </is>
      </c>
      <c r="G115" s="6" t="inlineStr">
        <is>
          <t>Easy</t>
        </is>
      </c>
      <c r="H115" s="4">
        <v>121.472</v>
      </c>
      <c r="I115" s="4">
        <v>122.0413</v>
      </c>
      <c r="J115" s="4">
        <v>0.5693</v>
      </c>
      <c r="K115" s="4">
        <v>0.5693</v>
      </c>
      <c r="N115" s="4">
        <v>0.0</v>
      </c>
      <c r="O115" s="6" t="b">
        <v>1</v>
      </c>
      <c r="P115" s="6">
        <v>149</v>
      </c>
    </row>
    <row r="116" ht="17" customHeight="1">
      <c r="A116" s="0">
        <v>145</v>
      </c>
      <c r="B116" s="0" t="inlineStr">
        <is>
          <t>P030</t>
        </is>
      </c>
      <c r="C116" s="0" t="inlineStr">
        <is>
          <t>2026-10-02 15:47:11.360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Success</t>
        </is>
      </c>
      <c r="G116" s="0" t="inlineStr">
        <is>
          <t>Easy</t>
        </is>
      </c>
      <c r="H116" s="4">
        <v>123.392</v>
      </c>
      <c r="I116" s="4">
        <v>123.9996</v>
      </c>
      <c r="J116" s="4">
        <v>0.6076</v>
      </c>
      <c r="K116" s="4">
        <v>0.6076</v>
      </c>
      <c r="N116" s="4">
        <v>1.0</v>
      </c>
      <c r="O116" s="0" t="b">
        <v>1</v>
      </c>
      <c r="P116" s="0">
        <v>150</v>
      </c>
    </row>
    <row r="117" ht="17" customHeight="1">
      <c r="A117" s="6">
        <v>146</v>
      </c>
      <c r="B117" s="6" t="inlineStr">
        <is>
          <t>P030</t>
        </is>
      </c>
      <c r="C117" s="6" t="inlineStr">
        <is>
          <t>2026-10-02 15:47:14.578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H117" s="4">
        <v>127.232</v>
      </c>
      <c r="I117" s="4">
        <v>127.1765</v>
      </c>
      <c r="J117" s="4">
        <v>-0.0555</v>
      </c>
      <c r="K117" s="4">
        <v>0.0555</v>
      </c>
      <c r="P117" s="6">
        <v>151</v>
      </c>
    </row>
    <row r="118" ht="17" customHeight="1">
      <c r="A118" s="0">
        <v>148</v>
      </c>
      <c r="B118" s="0" t="inlineStr">
        <is>
          <t>P030</t>
        </is>
      </c>
      <c r="C118" s="0" t="inlineStr">
        <is>
          <t>2026-10-02 15:47:16.109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H118" s="4">
        <v>128.768</v>
      </c>
      <c r="I118" s="4">
        <v>128.6498</v>
      </c>
      <c r="J118" s="4">
        <v>-0.1182</v>
      </c>
      <c r="K118" s="4">
        <v>0.1182</v>
      </c>
      <c r="P118" s="0">
        <v>153</v>
      </c>
    </row>
    <row r="119" ht="17" customHeight="1">
      <c r="A119" s="6">
        <v>150</v>
      </c>
      <c r="B119" s="6" t="inlineStr">
        <is>
          <t>P030</t>
        </is>
      </c>
      <c r="C119" s="6" t="inlineStr">
        <is>
          <t>2026-10-02 15:47:22.066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134.528</v>
      </c>
      <c r="I119" s="4">
        <v>134.5383</v>
      </c>
      <c r="J119" s="4">
        <v>0.0103</v>
      </c>
      <c r="K119" s="4">
        <v>0.0103</v>
      </c>
      <c r="P119" s="6">
        <v>155</v>
      </c>
    </row>
    <row r="120" ht="17" customHeight="1">
      <c r="A120" s="0">
        <v>152</v>
      </c>
      <c r="B120" s="0" t="inlineStr">
        <is>
          <t>P030</t>
        </is>
      </c>
      <c r="C120" s="0" t="inlineStr">
        <is>
          <t>2026-10-02 15:47:23.108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Success</t>
        </is>
      </c>
      <c r="G120" s="0" t="inlineStr">
        <is>
          <t>Easy</t>
        </is>
      </c>
      <c r="H120" s="4">
        <v>135.68</v>
      </c>
      <c r="I120" s="4">
        <v>135.581</v>
      </c>
      <c r="J120" s="4">
        <v>-0.099</v>
      </c>
      <c r="K120" s="4">
        <v>0.099</v>
      </c>
      <c r="P120" s="0">
        <v>157</v>
      </c>
    </row>
    <row r="121" ht="17" customHeight="1">
      <c r="A121" s="6">
        <v>153</v>
      </c>
      <c r="B121" s="6" t="inlineStr">
        <is>
          <t>P030</t>
        </is>
      </c>
      <c r="C121" s="6" t="inlineStr">
        <is>
          <t>2026-10-02 15:47:24.371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Failed</t>
        </is>
      </c>
      <c r="G121" s="6" t="inlineStr">
        <is>
          <t>Easy</t>
        </is>
      </c>
      <c r="H121" s="4">
        <v>137.0664</v>
      </c>
      <c r="P121" s="6">
        <v>158</v>
      </c>
    </row>
    <row r="122" ht="17" customHeight="1">
      <c r="A122" s="0">
        <v>154</v>
      </c>
      <c r="B122" s="0" t="inlineStr">
        <is>
          <t>P030</t>
        </is>
      </c>
      <c r="C122" s="0" t="inlineStr">
        <is>
          <t>2026-10-02 15:47:25.969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H122" s="4">
        <v>138.368</v>
      </c>
      <c r="I122" s="4">
        <v>138.2744</v>
      </c>
      <c r="J122" s="4">
        <v>-0.0936</v>
      </c>
      <c r="K122" s="4">
        <v>0.0936</v>
      </c>
      <c r="P122" s="0">
        <v>159</v>
      </c>
    </row>
    <row r="123" ht="17" customHeight="1">
      <c r="A123" s="6">
        <v>155</v>
      </c>
      <c r="B123" s="6" t="inlineStr">
        <is>
          <t>P030</t>
        </is>
      </c>
      <c r="C123" s="6" t="inlineStr">
        <is>
          <t>2026-10-02 15:47:27.011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H123" s="4">
        <v>139.52</v>
      </c>
      <c r="I123" s="4">
        <v>139.4276</v>
      </c>
      <c r="J123" s="4">
        <v>-0.0924</v>
      </c>
      <c r="K123" s="4">
        <v>0.0924</v>
      </c>
      <c r="P123" s="6">
        <v>160</v>
      </c>
    </row>
    <row r="124" ht="17" customHeight="1">
      <c r="A124" s="0">
        <v>156</v>
      </c>
      <c r="B124" s="0" t="inlineStr">
        <is>
          <t>P030</t>
        </is>
      </c>
      <c r="C124" s="0" t="inlineStr">
        <is>
          <t>2026-10-02 15:47:28.024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H124" s="4">
        <v>140.288</v>
      </c>
      <c r="I124" s="4">
        <v>140.3445</v>
      </c>
      <c r="J124" s="4">
        <v>0.0565</v>
      </c>
      <c r="K124" s="4">
        <v>0.0565</v>
      </c>
      <c r="P124" s="0">
        <v>161</v>
      </c>
    </row>
    <row r="125" ht="17" customHeight="1">
      <c r="A125" s="6">
        <v>157</v>
      </c>
      <c r="B125" s="6" t="inlineStr">
        <is>
          <t>P030</t>
        </is>
      </c>
      <c r="C125" s="6" t="inlineStr">
        <is>
          <t>2026-10-02 15:47:29.511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H125" s="4">
        <v>141.824</v>
      </c>
      <c r="I125" s="4">
        <v>141.8307</v>
      </c>
      <c r="J125" s="4">
        <v>0.0067</v>
      </c>
      <c r="K125" s="4">
        <v>0.0067</v>
      </c>
      <c r="P125" s="6">
        <v>162</v>
      </c>
    </row>
    <row r="126" ht="17" customHeight="1">
      <c r="A126" s="0">
        <v>159</v>
      </c>
      <c r="B126" s="0" t="inlineStr">
        <is>
          <t>P030</t>
        </is>
      </c>
      <c r="C126" s="0" t="inlineStr">
        <is>
          <t>2026-10-02 15:47:35.441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Failed</t>
        </is>
      </c>
      <c r="G126" s="0" t="inlineStr">
        <is>
          <t>Easy</t>
        </is>
      </c>
      <c r="H126" s="4">
        <v>148.1364</v>
      </c>
      <c r="P126" s="0">
        <v>164</v>
      </c>
    </row>
    <row r="127" ht="17" customHeight="1">
      <c r="A127" s="6">
        <v>161</v>
      </c>
      <c r="B127" s="6" t="inlineStr">
        <is>
          <t>P030</t>
        </is>
      </c>
      <c r="C127" s="6" t="inlineStr">
        <is>
          <t>2026-10-02 15:47:37.747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Success</t>
        </is>
      </c>
      <c r="G127" s="6" t="inlineStr">
        <is>
          <t>Easy</t>
        </is>
      </c>
      <c r="H127" s="4">
        <v>149.504</v>
      </c>
      <c r="I127" s="4">
        <v>149.6915</v>
      </c>
      <c r="J127" s="4">
        <v>0.1875</v>
      </c>
      <c r="K127" s="4">
        <v>0.1875</v>
      </c>
      <c r="P127" s="6">
        <v>166</v>
      </c>
    </row>
    <row r="128" ht="17" customHeight="1">
      <c r="A128" s="0">
        <v>162</v>
      </c>
      <c r="B128" s="0" t="inlineStr">
        <is>
          <t>P030</t>
        </is>
      </c>
      <c r="C128" s="0" t="inlineStr">
        <is>
          <t>2026-10-02 15:47:42.468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Success</t>
        </is>
      </c>
      <c r="G128" s="0" t="inlineStr">
        <is>
          <t>Easy</t>
        </is>
      </c>
      <c r="H128" s="4">
        <v>154.496</v>
      </c>
      <c r="I128" s="4">
        <v>154.6488</v>
      </c>
      <c r="J128" s="4">
        <v>0.1528</v>
      </c>
      <c r="K128" s="4">
        <v>0.1528</v>
      </c>
      <c r="P128" s="0">
        <v>167</v>
      </c>
    </row>
    <row r="129" ht="17" customHeight="1">
      <c r="A129" s="6">
        <v>164</v>
      </c>
      <c r="B129" s="6" t="inlineStr">
        <is>
          <t>P030</t>
        </is>
      </c>
      <c r="C129" s="6" t="inlineStr">
        <is>
          <t>2026-10-02 15:47:52.830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Success</t>
        </is>
      </c>
      <c r="G129" s="6" t="inlineStr">
        <is>
          <t>Easy</t>
        </is>
      </c>
      <c r="H129" s="4">
        <v>165.4073</v>
      </c>
      <c r="I129" s="4">
        <v>165.5253</v>
      </c>
      <c r="J129" s="4">
        <v>0.1179</v>
      </c>
      <c r="K129" s="4">
        <v>0.1179</v>
      </c>
      <c r="N129" s="4">
        <v>1.0</v>
      </c>
      <c r="O129" s="6" t="b">
        <v>1</v>
      </c>
      <c r="P129" s="6">
        <v>169</v>
      </c>
    </row>
    <row r="130" ht="17" customHeight="1">
      <c r="A130" s="0">
        <v>166</v>
      </c>
      <c r="B130" s="0" t="inlineStr">
        <is>
          <t>P030</t>
        </is>
      </c>
      <c r="C130" s="0" t="inlineStr">
        <is>
          <t>2026-10-02 15:47:55.179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Failed</t>
        </is>
      </c>
      <c r="G130" s="0" t="inlineStr">
        <is>
          <t>Easy</t>
        </is>
      </c>
      <c r="H130" s="4">
        <v>167.7061</v>
      </c>
      <c r="I130" s="4">
        <v>167.8731</v>
      </c>
      <c r="J130" s="4">
        <v>0.1669</v>
      </c>
      <c r="K130" s="4">
        <v>0.1669</v>
      </c>
      <c r="N130" s="4">
        <v>0.0</v>
      </c>
      <c r="O130" s="0" t="b">
        <v>1</v>
      </c>
      <c r="P130" s="0">
        <v>171</v>
      </c>
    </row>
    <row r="131" ht="17" customHeight="1">
      <c r="A131" s="6">
        <v>167</v>
      </c>
      <c r="B131" s="6" t="inlineStr">
        <is>
          <t>P030</t>
        </is>
      </c>
      <c r="C131" s="6" t="inlineStr">
        <is>
          <t>2026-10-02 15:47:57.941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Missed</t>
        </is>
      </c>
      <c r="G131" s="6" t="inlineStr">
        <is>
          <t>Easy</t>
        </is>
      </c>
      <c r="H131" s="4">
        <v>170.0049</v>
      </c>
      <c r="P131" s="6">
        <v>172</v>
      </c>
    </row>
    <row r="132" ht="17" customHeight="1">
      <c r="A132" s="0">
        <v>168</v>
      </c>
      <c r="B132" s="0" t="inlineStr">
        <is>
          <t>P030</t>
        </is>
      </c>
      <c r="C132" s="0" t="inlineStr">
        <is>
          <t>2026-10-02 15:48:00.067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Success</t>
        </is>
      </c>
      <c r="G132" s="0" t="inlineStr">
        <is>
          <t>Easy</t>
        </is>
      </c>
      <c r="H132" s="4">
        <v>172.3037</v>
      </c>
      <c r="I132" s="4">
        <v>172.7618</v>
      </c>
      <c r="J132" s="4">
        <v>0.4581</v>
      </c>
      <c r="K132" s="4">
        <v>0.4581</v>
      </c>
      <c r="N132" s="4">
        <v>1.0</v>
      </c>
      <c r="O132" s="0" t="b">
        <v>1</v>
      </c>
      <c r="P132" s="0">
        <v>173</v>
      </c>
    </row>
    <row r="133" ht="17" customHeight="1">
      <c r="A133" s="6">
        <v>169</v>
      </c>
      <c r="B133" s="6" t="inlineStr">
        <is>
          <t>P030</t>
        </is>
      </c>
      <c r="C133" s="6" t="inlineStr">
        <is>
          <t>2026-10-02 15:48:01.859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Success</t>
        </is>
      </c>
      <c r="G133" s="6" t="inlineStr">
        <is>
          <t>Easy</t>
        </is>
      </c>
      <c r="H133" s="4">
        <v>174.6024</v>
      </c>
      <c r="I133" s="4">
        <v>174.5533</v>
      </c>
      <c r="J133" s="4">
        <v>-0.0491</v>
      </c>
      <c r="K133" s="4">
        <v>0.0491</v>
      </c>
      <c r="N133" s="4">
        <v>1.0</v>
      </c>
      <c r="O133" s="6" t="b">
        <v>1</v>
      </c>
      <c r="P133" s="6">
        <v>174</v>
      </c>
    </row>
    <row r="134" ht="17" customHeight="1">
      <c r="A134" s="0">
        <v>170</v>
      </c>
      <c r="B134" s="0" t="inlineStr">
        <is>
          <t>P030</t>
        </is>
      </c>
      <c r="C134" s="0" t="inlineStr">
        <is>
          <t>2026-10-02 15:48:04.220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Success</t>
        </is>
      </c>
      <c r="G134" s="0" t="inlineStr">
        <is>
          <t>Easy</t>
        </is>
      </c>
      <c r="H134" s="4">
        <v>176.9012</v>
      </c>
      <c r="I134" s="4">
        <v>176.9145</v>
      </c>
      <c r="J134" s="4">
        <v>0.0133</v>
      </c>
      <c r="K134" s="4">
        <v>0.0133</v>
      </c>
      <c r="N134" s="4">
        <v>1.0</v>
      </c>
      <c r="O134" s="0" t="b">
        <v>1</v>
      </c>
      <c r="P134" s="0">
        <v>175</v>
      </c>
    </row>
    <row r="135" ht="17" customHeight="1">
      <c r="A135" s="6">
        <v>171</v>
      </c>
      <c r="B135" s="6" t="inlineStr">
        <is>
          <t>P030</t>
        </is>
      </c>
      <c r="C135" s="6" t="inlineStr">
        <is>
          <t>2026-10-02 15:48:06.289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Easy</t>
        </is>
      </c>
      <c r="H135" s="4">
        <v>179.2</v>
      </c>
      <c r="I135" s="4">
        <v>178.9837</v>
      </c>
      <c r="J135" s="4">
        <v>-0.2163</v>
      </c>
      <c r="K135" s="4">
        <v>0.2163</v>
      </c>
      <c r="N135" s="4">
        <v>1.0</v>
      </c>
      <c r="O135" s="6" t="b">
        <v>1</v>
      </c>
      <c r="P135" s="6">
        <v>176</v>
      </c>
    </row>
    <row r="136" ht="17" customHeight="1">
      <c r="A136" s="0">
        <v>172</v>
      </c>
      <c r="B136" s="0" t="inlineStr">
        <is>
          <t>P030</t>
        </is>
      </c>
      <c r="C136" s="0" t="inlineStr">
        <is>
          <t>2026-10-02 15:48:08.664</t>
        </is>
      </c>
      <c r="D136" s="0" t="inlineStr">
        <is>
          <t>Jeremy</t>
        </is>
      </c>
      <c r="E136" s="0" t="inlineStr">
        <is>
          <t>SwordCut</t>
        </is>
      </c>
      <c r="F136" s="0" t="inlineStr">
        <is>
          <t>Success</t>
        </is>
      </c>
      <c r="G136" s="0" t="inlineStr">
        <is>
          <t>Easy</t>
        </is>
      </c>
      <c r="H136" s="4">
        <v>181.4988</v>
      </c>
      <c r="I136" s="4">
        <v>181.3583</v>
      </c>
      <c r="J136" s="4">
        <v>-0.1404</v>
      </c>
      <c r="K136" s="4">
        <v>0.1404</v>
      </c>
      <c r="N136" s="4">
        <v>1.0</v>
      </c>
      <c r="O136" s="0" t="b">
        <v>1</v>
      </c>
      <c r="P136" s="0">
        <v>177</v>
      </c>
    </row>
  </sheetData>
  <autoFilter ref="A1:P136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10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17</v>
      </c>
      <c r="B2" s="0" t="inlineStr">
        <is>
          <t>2026-10-02 15:45:14.431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22</v>
      </c>
    </row>
    <row r="3" ht="17" customHeight="1">
      <c r="A3" s="6">
        <v>24</v>
      </c>
      <c r="B3" s="6" t="inlineStr">
        <is>
          <t>2026-10-02 15:45:16.209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29</v>
      </c>
    </row>
    <row r="4" ht="17" customHeight="1">
      <c r="A4" s="0">
        <v>40</v>
      </c>
      <c r="B4" s="0" t="inlineStr">
        <is>
          <t>2026-10-02 15:45:20.488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0.88</v>
      </c>
      <c r="I4" s="0">
        <v>45</v>
      </c>
    </row>
    <row r="5" ht="17" customHeight="1">
      <c r="A5" s="6">
        <v>53</v>
      </c>
      <c r="B5" s="6" t="inlineStr">
        <is>
          <t>2026-10-02 15:45:23.862</t>
        </is>
      </c>
      <c r="C5" s="6" t="inlineStr">
        <is>
          <t>Alex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58</v>
      </c>
    </row>
    <row r="6" ht="17" customHeight="1">
      <c r="A6" s="0">
        <v>61</v>
      </c>
      <c r="B6" s="0" t="inlineStr">
        <is>
          <t>2026-10-02 15:45:25.056</t>
        </is>
      </c>
      <c r="C6" s="0" t="inlineStr">
        <is>
          <t>Alex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66</v>
      </c>
    </row>
    <row r="7" ht="17" customHeight="1">
      <c r="A7" s="6">
        <v>71</v>
      </c>
      <c r="B7" s="6" t="inlineStr">
        <is>
          <t>2026-10-02 15:45:31.252</t>
        </is>
      </c>
      <c r="C7" s="6" t="inlineStr">
        <is>
          <t>Alex</t>
        </is>
      </c>
      <c r="D7" s="6" t="inlineStr">
        <is>
          <t>Easy</t>
        </is>
      </c>
      <c r="E7" s="6" t="inlineStr">
        <is>
          <t>Normal</t>
        </is>
      </c>
      <c r="F7" s="6" t="inlineStr">
        <is>
          <t>High recent performance</t>
        </is>
      </c>
      <c r="H7" s="3">
        <v>0.88</v>
      </c>
      <c r="I7" s="6">
        <v>76</v>
      </c>
    </row>
    <row r="8" ht="17" customHeight="1">
      <c r="A8" s="0">
        <v>78</v>
      </c>
      <c r="B8" s="0" t="inlineStr">
        <is>
          <t>2026-10-02 15:45:34.334</t>
        </is>
      </c>
      <c r="C8" s="0" t="inlineStr">
        <is>
          <t>Alex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0.5</v>
      </c>
      <c r="I8" s="0">
        <v>83</v>
      </c>
    </row>
    <row r="9" ht="17" customHeight="1">
      <c r="A9" s="6">
        <v>95</v>
      </c>
      <c r="B9" s="6" t="inlineStr">
        <is>
          <t>2026-10-02 15:46:00.389</t>
        </is>
      </c>
      <c r="C9" s="6" t="inlineStr">
        <is>
          <t>Joaquin</t>
        </is>
      </c>
      <c r="D9" s="6" t="inlineStr">
        <is>
          <t>Easy</t>
        </is>
      </c>
      <c r="E9" s="6" t="inlineStr">
        <is>
          <t>Normal</t>
        </is>
      </c>
      <c r="F9" s="6" t="inlineStr">
        <is>
          <t>High recent performance</t>
        </is>
      </c>
      <c r="H9" s="3">
        <v>0.88</v>
      </c>
      <c r="I9" s="6">
        <v>100</v>
      </c>
    </row>
    <row r="10" ht="17" customHeight="1">
      <c r="A10" s="0">
        <v>109</v>
      </c>
      <c r="B10" s="0" t="inlineStr">
        <is>
          <t>2026-10-02 15:46:20.401</t>
        </is>
      </c>
      <c r="C10" s="0" t="inlineStr">
        <is>
          <t>Shipi</t>
        </is>
      </c>
      <c r="D10" s="0" t="inlineStr">
        <is>
          <t>Normal</t>
        </is>
      </c>
      <c r="E10" s="0" t="inlineStr">
        <is>
          <t>Easy</t>
        </is>
      </c>
      <c r="F10" s="0" t="inlineStr">
        <is>
          <t>PlayerState: Overloaded</t>
        </is>
      </c>
      <c r="G10" s="3">
        <v>0.25</v>
      </c>
      <c r="I10" s="0">
        <v>114</v>
      </c>
    </row>
  </sheetData>
  <autoFilter ref="A1:I10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3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15:45:07.306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15:45:08.222</t>
        </is>
      </c>
      <c r="C3" s="6" t="inlineStr">
        <is>
          <t>Engaged</t>
        </is>
      </c>
      <c r="D3" s="6">
        <v>8</v>
      </c>
    </row>
    <row r="4" ht="17" customHeight="1">
      <c r="A4" s="0">
        <v>23</v>
      </c>
      <c r="B4" s="0" t="inlineStr">
        <is>
          <t>2026-10-02 15:45:16.209</t>
        </is>
      </c>
      <c r="C4" s="0" t="inlineStr">
        <is>
          <t>Overloaded</t>
        </is>
      </c>
      <c r="D4" s="0">
        <v>28</v>
      </c>
    </row>
    <row r="5" ht="17" customHeight="1">
      <c r="A5" s="6">
        <v>26</v>
      </c>
      <c r="B5" s="6" t="inlineStr">
        <is>
          <t>2026-10-02 15:45:16.210</t>
        </is>
      </c>
      <c r="C5" s="6" t="inlineStr">
        <is>
          <t>Engaged</t>
        </is>
      </c>
      <c r="D5" s="6">
        <v>31</v>
      </c>
    </row>
    <row r="6" ht="17" customHeight="1">
      <c r="A6" s="0">
        <v>52</v>
      </c>
      <c r="B6" s="0" t="inlineStr">
        <is>
          <t>2026-10-02 15:45:23.862</t>
        </is>
      </c>
      <c r="C6" s="0" t="inlineStr">
        <is>
          <t>Overloaded</t>
        </is>
      </c>
      <c r="D6" s="0">
        <v>57</v>
      </c>
    </row>
    <row r="7" ht="17" customHeight="1">
      <c r="A7" s="6">
        <v>55</v>
      </c>
      <c r="B7" s="6" t="inlineStr">
        <is>
          <t>2026-10-02 15:45:23.863</t>
        </is>
      </c>
      <c r="C7" s="6" t="inlineStr">
        <is>
          <t>Engaged</t>
        </is>
      </c>
      <c r="D7" s="6">
        <v>60</v>
      </c>
    </row>
    <row r="8" ht="17" customHeight="1">
      <c r="A8" s="0">
        <v>60</v>
      </c>
      <c r="B8" s="0" t="inlineStr">
        <is>
          <t>2026-10-02 15:45:25.056</t>
        </is>
      </c>
      <c r="C8" s="0" t="inlineStr">
        <is>
          <t>Overloaded</t>
        </is>
      </c>
      <c r="D8" s="0">
        <v>65</v>
      </c>
    </row>
    <row r="9" ht="17" customHeight="1">
      <c r="A9" s="6">
        <v>62</v>
      </c>
      <c r="B9" s="6" t="inlineStr">
        <is>
          <t>2026-10-02 15:45:25.071</t>
        </is>
      </c>
      <c r="C9" s="6" t="inlineStr">
        <is>
          <t>Engaged</t>
        </is>
      </c>
      <c r="D9" s="6">
        <v>67</v>
      </c>
    </row>
    <row r="10" ht="17" customHeight="1">
      <c r="A10" s="0">
        <v>77</v>
      </c>
      <c r="B10" s="0" t="inlineStr">
        <is>
          <t>2026-10-02 15:45:34.334</t>
        </is>
      </c>
      <c r="C10" s="0" t="inlineStr">
        <is>
          <t>Overloaded</t>
        </is>
      </c>
      <c r="D10" s="0">
        <v>82</v>
      </c>
    </row>
    <row r="11" ht="17" customHeight="1">
      <c r="A11" s="6">
        <v>79</v>
      </c>
      <c r="B11" s="6" t="inlineStr">
        <is>
          <t>2026-10-02 15:45:34.348</t>
        </is>
      </c>
      <c r="C11" s="6" t="inlineStr">
        <is>
          <t>Engaged</t>
        </is>
      </c>
      <c r="D11" s="6">
        <v>84</v>
      </c>
    </row>
    <row r="12" ht="17" customHeight="1">
      <c r="A12" s="0">
        <v>101</v>
      </c>
      <c r="B12" s="0" t="inlineStr">
        <is>
          <t>2026-10-02 15:46:12.930</t>
        </is>
      </c>
      <c r="C12" s="0" t="inlineStr">
        <is>
          <t>Idle</t>
        </is>
      </c>
      <c r="D12" s="0">
        <v>106</v>
      </c>
    </row>
    <row r="13" ht="17" customHeight="1">
      <c r="A13" s="6">
        <v>103</v>
      </c>
      <c r="B13" s="6" t="inlineStr">
        <is>
          <t>2026-10-02 15:46:13.360</t>
        </is>
      </c>
      <c r="C13" s="6" t="inlineStr">
        <is>
          <t>Engaged</t>
        </is>
      </c>
      <c r="D13" s="6">
        <v>108</v>
      </c>
    </row>
    <row r="14" ht="17" customHeight="1">
      <c r="A14" s="0">
        <v>108</v>
      </c>
      <c r="B14" s="0" t="inlineStr">
        <is>
          <t>2026-10-02 15:46:20.401</t>
        </is>
      </c>
      <c r="C14" s="0" t="inlineStr">
        <is>
          <t>Overloaded</t>
        </is>
      </c>
      <c r="D14" s="0">
        <v>113</v>
      </c>
    </row>
    <row r="15" ht="17" customHeight="1">
      <c r="A15" s="6">
        <v>110</v>
      </c>
      <c r="B15" s="6" t="inlineStr">
        <is>
          <t>2026-10-02 15:46:20.415</t>
        </is>
      </c>
      <c r="C15" s="6" t="inlineStr">
        <is>
          <t>Engaged</t>
        </is>
      </c>
      <c r="D15" s="6">
        <v>115</v>
      </c>
    </row>
    <row r="16" ht="17" customHeight="1">
      <c r="A16" s="0">
        <v>112</v>
      </c>
      <c r="B16" s="0" t="inlineStr">
        <is>
          <t>2026-10-02 15:46:23.068</t>
        </is>
      </c>
      <c r="C16" s="0" t="inlineStr">
        <is>
          <t>Idle</t>
        </is>
      </c>
      <c r="D16" s="0">
        <v>117</v>
      </c>
    </row>
    <row r="17" ht="17" customHeight="1">
      <c r="A17" s="6">
        <v>115</v>
      </c>
      <c r="B17" s="6" t="inlineStr">
        <is>
          <t>2026-10-02 15:46:24.861</t>
        </is>
      </c>
      <c r="C17" s="6" t="inlineStr">
        <is>
          <t>Engaged</t>
        </is>
      </c>
      <c r="D17" s="6">
        <v>120</v>
      </c>
    </row>
    <row r="18" ht="17" customHeight="1">
      <c r="A18" s="0">
        <v>121</v>
      </c>
      <c r="B18" s="0" t="inlineStr">
        <is>
          <t>2026-10-02 15:46:37.623</t>
        </is>
      </c>
      <c r="C18" s="0" t="inlineStr">
        <is>
          <t>Idle</t>
        </is>
      </c>
      <c r="D18" s="0">
        <v>126</v>
      </c>
    </row>
    <row r="19" ht="17" customHeight="1">
      <c r="A19" s="6">
        <v>124</v>
      </c>
      <c r="B19" s="6" t="inlineStr">
        <is>
          <t>2026-10-02 15:46:38.484</t>
        </is>
      </c>
      <c r="C19" s="6" t="inlineStr">
        <is>
          <t>Engaged</t>
        </is>
      </c>
      <c r="D19" s="6">
        <v>129</v>
      </c>
    </row>
    <row r="20" ht="17" customHeight="1">
      <c r="A20" s="0">
        <v>126</v>
      </c>
      <c r="B20" s="0" t="inlineStr">
        <is>
          <t>2026-10-02 15:46:45.428</t>
        </is>
      </c>
      <c r="C20" s="0" t="inlineStr">
        <is>
          <t>Idle</t>
        </is>
      </c>
      <c r="D20" s="0">
        <v>131</v>
      </c>
    </row>
    <row r="21" ht="17" customHeight="1">
      <c r="A21" s="6">
        <v>128</v>
      </c>
      <c r="B21" s="6" t="inlineStr">
        <is>
          <t>2026-10-02 15:46:46.983</t>
        </is>
      </c>
      <c r="C21" s="6" t="inlineStr">
        <is>
          <t>Engaged</t>
        </is>
      </c>
      <c r="D21" s="6">
        <v>133</v>
      </c>
    </row>
    <row r="22" ht="17" customHeight="1">
      <c r="A22" s="0">
        <v>133</v>
      </c>
      <c r="B22" s="0" t="inlineStr">
        <is>
          <t>2026-10-02 15:46:52.566</t>
        </is>
      </c>
      <c r="C22" s="0" t="inlineStr">
        <is>
          <t>Overloaded</t>
        </is>
      </c>
      <c r="D22" s="0">
        <v>138</v>
      </c>
    </row>
    <row r="23" ht="17" customHeight="1">
      <c r="A23" s="6">
        <v>147</v>
      </c>
      <c r="B23" s="6" t="inlineStr">
        <is>
          <t>2026-10-02 15:47:14.578</t>
        </is>
      </c>
      <c r="C23" s="6" t="inlineStr">
        <is>
          <t>Engaged</t>
        </is>
      </c>
      <c r="D23" s="6">
        <v>152</v>
      </c>
    </row>
    <row r="24" ht="17" customHeight="1">
      <c r="A24" s="0">
        <v>149</v>
      </c>
      <c r="B24" s="0" t="inlineStr">
        <is>
          <t>2026-10-02 15:47:21.106</t>
        </is>
      </c>
      <c r="C24" s="0" t="inlineStr">
        <is>
          <t>Idle</t>
        </is>
      </c>
      <c r="D24" s="0">
        <v>154</v>
      </c>
    </row>
    <row r="25" ht="17" customHeight="1">
      <c r="A25" s="6">
        <v>151</v>
      </c>
      <c r="B25" s="6" t="inlineStr">
        <is>
          <t>2026-10-02 15:47:22.066</t>
        </is>
      </c>
      <c r="C25" s="6" t="inlineStr">
        <is>
          <t>Engaged</t>
        </is>
      </c>
      <c r="D25" s="6">
        <v>156</v>
      </c>
    </row>
    <row r="26" ht="17" customHeight="1">
      <c r="A26" s="0">
        <v>158</v>
      </c>
      <c r="B26" s="0" t="inlineStr">
        <is>
          <t>2026-10-02 15:47:34.510</t>
        </is>
      </c>
      <c r="C26" s="0" t="inlineStr">
        <is>
          <t>Idle</t>
        </is>
      </c>
      <c r="D26" s="0">
        <v>163</v>
      </c>
    </row>
    <row r="27" ht="17" customHeight="1">
      <c r="A27" s="6">
        <v>160</v>
      </c>
      <c r="B27" s="6" t="inlineStr">
        <is>
          <t>2026-10-02 15:47:35.442</t>
        </is>
      </c>
      <c r="C27" s="6" t="inlineStr">
        <is>
          <t>Engaged</t>
        </is>
      </c>
      <c r="D27" s="6">
        <v>165</v>
      </c>
    </row>
    <row r="28" ht="17" customHeight="1">
      <c r="A28" s="0">
        <v>163</v>
      </c>
      <c r="B28" s="0" t="inlineStr">
        <is>
          <t>2026-10-02 15:47:47.469</t>
        </is>
      </c>
      <c r="C28" s="0" t="inlineStr">
        <is>
          <t>Idle</t>
        </is>
      </c>
      <c r="D28" s="0">
        <v>168</v>
      </c>
    </row>
    <row r="29" ht="17" customHeight="1">
      <c r="A29" s="6">
        <v>165</v>
      </c>
      <c r="B29" s="6" t="inlineStr">
        <is>
          <t>2026-10-02 15:47:52.830</t>
        </is>
      </c>
      <c r="C29" s="6" t="inlineStr">
        <is>
          <t>Engaged</t>
        </is>
      </c>
      <c r="D29" s="6">
        <v>170</v>
      </c>
    </row>
    <row r="30" ht="17" customHeight="1">
      <c r="A30" s="0">
        <v>173</v>
      </c>
      <c r="B30" s="0" t="inlineStr">
        <is>
          <t>2026-10-02 15:48:13.662</t>
        </is>
      </c>
      <c r="C30" s="0" t="inlineStr">
        <is>
          <t>Idle</t>
        </is>
      </c>
      <c r="D30" s="0">
        <v>178</v>
      </c>
    </row>
  </sheetData>
  <autoFilter ref="A1:D30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7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15:45:07.306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15:45:07.306 | PlayerState: Idle</t>
        </is>
      </c>
    </row>
    <row r="3" ht="17" customHeight="1">
      <c r="A3" s="6">
        <v>2</v>
      </c>
      <c r="B3" s="6" t="inlineStr">
        <is>
          <t>2026-10-02 15:45:08.222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15:45:08.222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15:45:08.222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15:45:08.222 | PlayerState: Engaged</t>
        </is>
      </c>
    </row>
    <row r="5" ht="17" customHeight="1">
      <c r="A5" s="6">
        <v>4</v>
      </c>
      <c r="B5" s="6" t="inlineStr">
        <is>
          <t>2026-10-02 15:45:08.943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K5" s="4">
        <v>0.0253</v>
      </c>
      <c r="M5" s="6">
        <v>9</v>
      </c>
      <c r="N5" s="6" t="inlineStr">
        <is>
          <t>2026-10-02 15:45:08.943 | Minigame: Alex | Type: HammerHit | Outcome: Failed | Difficulty: Normal | ExpectedTime: 1.6640 | ActualTime: 1.6387 | TimingOffset: -0.0253 | TimingError: 0.0253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15:45:08.972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K6" s="4">
        <v>0.0165</v>
      </c>
      <c r="M6" s="0">
        <v>10</v>
      </c>
      <c r="N6" s="0" t="inlineStr">
        <is>
          <t>2026-10-02 15:45:08.972 | Minigame: Alex | Type: HammerHit | Outcome: Success | Difficulty: Normal | ExpectedTime: 1.6640 | ActualTime: 1.6805 | TimingOffset: 0.0165 | TimingError: 0.0165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15:45:09.778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0.0544</v>
      </c>
      <c r="M7" s="6">
        <v>11</v>
      </c>
      <c r="N7" s="6" t="inlineStr">
        <is>
          <t>2026-10-02 15:45:09.778 | Minigame: Alex | Type: HammerHit | Outcome: Success | Difficulty: Normal | ExpectedTime: 2.4320 | ActualTime: 2.4864 | TimingOffset: 0.0544 | TimingError: 0.0544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15:45:10.528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15:45:10.528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15:45:10.806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15:45:10.806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15:45:11.251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0.0088</v>
      </c>
      <c r="M10" s="0">
        <v>14</v>
      </c>
      <c r="N10" s="0" t="inlineStr">
        <is>
          <t>2026-10-02 15:45:11.251 | Minigame: Alex | Type: HammerHit | Outcome: Success | Difficulty: Normal | ExpectedTime: 3.9680 | ActualTime: 3.9592 | TimingOffset: -0.0088 | TimingError: 0.0088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15:45:11.988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Failed</t>
        </is>
      </c>
      <c r="G11" s="6" t="inlineStr">
        <is>
          <t>Normal</t>
        </is>
      </c>
      <c r="K11" s="4">
        <v>0.04</v>
      </c>
      <c r="M11" s="6">
        <v>15</v>
      </c>
      <c r="N11" s="6" t="inlineStr">
        <is>
          <t>2026-10-02 15:45:11.988 | Minigame: Alex | Type: HammerHit | Outcome: Failed | Difficulty: Normal | ExpectedTime: 4.7360 | ActualTime: 4.6960 | TimingOffset: -0.0400 | TimingError: 0.0400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15:45:12.001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K12" s="4">
        <v>0.04</v>
      </c>
      <c r="M12" s="0">
        <v>16</v>
      </c>
      <c r="N12" s="0" t="inlineStr">
        <is>
          <t>2026-10-02 15:45:12.001 | Minigame: Alex | Type: HammerHit | Outcome: Success | Difficulty: Normal | ExpectedTime: 4.7360 | ActualTime: 4.6960 | TimingOffset: -0.0400 | TimingError: 0.0400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15:45:12.792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0.0031</v>
      </c>
      <c r="M13" s="6">
        <v>17</v>
      </c>
      <c r="N13" s="6" t="inlineStr">
        <is>
          <t>2026-10-02 15:45:12.792 | Minigame: Alex | Type: HammerHit | Outcome: Success | Difficulty: Normal | ExpectedTime: 5.5040 | ActualTime: 5.5009 | TimingOffset: -0.0031 | TimingError: 0.0031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15:45:13.571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K14" s="4">
        <v>0.007</v>
      </c>
      <c r="M14" s="0">
        <v>18</v>
      </c>
      <c r="N14" s="0" t="inlineStr">
        <is>
          <t>2026-10-02 15:45:13.571 | Minigame: Alex | Type: HammerHit | Outcome: Success | Difficulty: Normal | ExpectedTime: 6.2720 | ActualTime: 6.2790 | TimingOffset: 0.0070 | TimingError: 0.0070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15:45:13.598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Normal</t>
        </is>
      </c>
      <c r="M15" s="6">
        <v>19</v>
      </c>
      <c r="N15" s="6" t="inlineStr">
        <is>
          <t>2026-10-02 15:45:13.598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15:45:14.320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K16" s="4">
        <v>0.0111</v>
      </c>
      <c r="M16" s="0">
        <v>20</v>
      </c>
      <c r="N16" s="0" t="inlineStr">
        <is>
          <t>2026-10-02 15:45:14.320 | Minigame: Alex | Type: HammerHit | Outcome: Success | Difficulty: Normal | ExpectedTime: 7.0400 | ActualTime: 7.0289 | TimingOffset: -0.0111 | TimingError: 0.0111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15:45:14.431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Normal</t>
        </is>
      </c>
      <c r="M17" s="6">
        <v>21</v>
      </c>
      <c r="N17" s="6" t="inlineStr">
        <is>
          <t>2026-10-02 15:45:14.431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15:45:14.431</t>
        </is>
      </c>
      <c r="C18" s="0" t="inlineStr">
        <is>
          <t>DifficultyChanged</t>
        </is>
      </c>
      <c r="D18" s="0" t="inlineStr">
        <is>
          <t>Alex</t>
        </is>
      </c>
      <c r="I18" s="0" t="inlineStr">
        <is>
          <t>Normal -&gt; Hard</t>
        </is>
      </c>
      <c r="J18" s="0" t="inlineStr">
        <is>
          <t>High recent performance</t>
        </is>
      </c>
      <c r="M18" s="0">
        <v>22</v>
      </c>
      <c r="N18" s="0" t="inlineStr">
        <is>
          <t>2026-10-02 15:45:14.431 | DifficultyChanged: Normal -&gt; Hard | Reason: High recent performance | Minigame: Alex | SuccessRate: 0.88</t>
        </is>
      </c>
    </row>
    <row r="19" ht="17" customHeight="1">
      <c r="A19" s="6">
        <v>18</v>
      </c>
      <c r="B19" s="6" t="inlineStr">
        <is>
          <t>2026-10-02 15:45:15.085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0.0152</v>
      </c>
      <c r="M19" s="6">
        <v>23</v>
      </c>
      <c r="N19" s="6" t="inlineStr">
        <is>
          <t>2026-10-02 15:45:15.085 | Minigame: Alex | Type: HammerHit | Outcome: Success | Difficulty: Hard | ExpectedTime: 7.8080 | ActualTime: 7.7928 | TimingOffset: -0.0152 | TimingError: 0.0152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15:45:15.126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Hard</t>
        </is>
      </c>
      <c r="K20" s="4">
        <v>0.0128</v>
      </c>
      <c r="M20" s="0">
        <v>24</v>
      </c>
      <c r="N20" s="0" t="inlineStr">
        <is>
          <t>2026-10-02 15:45:15.126 | Minigame: Alex | Type: HammerHit | Outcome: Failed | Difficulty: Hard | ExpectedTime: 7.8080 | ActualTime: 7.8208 | TimingOffset: 0.0128 | TimingError: 0.0128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15:45:15.571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M21" s="6">
        <v>25</v>
      </c>
      <c r="N21" s="6" t="inlineStr">
        <is>
          <t>2026-10-02 15:45:15.571 | Minigame: Alex | Type: HammerHit | Outcome: Success | Difficulty: Hard | ExpectedTime: 8.1920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15:45:15.806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Hard</t>
        </is>
      </c>
      <c r="M22" s="0">
        <v>26</v>
      </c>
      <c r="N22" s="0" t="inlineStr">
        <is>
          <t>2026-10-02 15:45:15.806 | Minigame: Alex | Type: HammerTouch | Outcome: Missed | Difficulty: Hard | ExpectedTime: 8.1920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15:45:16.209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M23" s="6">
        <v>27</v>
      </c>
      <c r="N23" s="6" t="inlineStr">
        <is>
          <t>2026-10-02 15:45:16.209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15:45:16.209</t>
        </is>
      </c>
      <c r="C24" s="0" t="inlineStr">
        <is>
          <t>PlayerState</t>
        </is>
      </c>
      <c r="H24" s="0" t="inlineStr">
        <is>
          <t>Overloaded</t>
        </is>
      </c>
      <c r="M24" s="0">
        <v>28</v>
      </c>
      <c r="N24" s="0" t="inlineStr">
        <is>
          <t>2026-10-02 15:45:16.209 | PlayerState: Overloaded</t>
        </is>
      </c>
    </row>
    <row r="25" ht="17" customHeight="1">
      <c r="A25" s="6">
        <v>24</v>
      </c>
      <c r="B25" s="6" t="inlineStr">
        <is>
          <t>2026-10-02 15:45:16.209</t>
        </is>
      </c>
      <c r="C25" s="6" t="inlineStr">
        <is>
          <t>DifficultyChanged</t>
        </is>
      </c>
      <c r="D25" s="6" t="inlineStr">
        <is>
          <t>Alex</t>
        </is>
      </c>
      <c r="I25" s="6" t="inlineStr">
        <is>
          <t>Hard -&gt; Normal</t>
        </is>
      </c>
      <c r="J25" s="6" t="inlineStr">
        <is>
          <t>PlayerState: Overloaded</t>
        </is>
      </c>
      <c r="M25" s="6">
        <v>29</v>
      </c>
      <c r="N25" s="6" t="inlineStr">
        <is>
          <t>2026-10-02 15:45:16.209 | DifficultyChanged: Hard -&gt; Normal | Reason: PlayerState: Overloaded | Minigame: Alex | RecentSuccessRate: 0.50</t>
        </is>
      </c>
    </row>
    <row r="26" ht="17" customHeight="1">
      <c r="A26" s="0">
        <v>25</v>
      </c>
      <c r="B26" s="0" t="inlineStr">
        <is>
          <t>2026-10-02 15:45:16.210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Normal</t>
        </is>
      </c>
      <c r="M26" s="0">
        <v>30</v>
      </c>
      <c r="N26" s="0" t="inlineStr">
        <is>
          <t>2026-10-02 15:45:16.210 | Minigame: Alex | Type: HammerTouch | Outcome: Missed | Difficulty: Normal | ExpectedTime: 8.5760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15:45:16.210</t>
        </is>
      </c>
      <c r="C27" s="6" t="inlineStr">
        <is>
          <t>PlayerState</t>
        </is>
      </c>
      <c r="H27" s="6" t="inlineStr">
        <is>
          <t>Engaged</t>
        </is>
      </c>
      <c r="M27" s="6">
        <v>31</v>
      </c>
      <c r="N27" s="6" t="inlineStr">
        <is>
          <t>2026-10-02 15:45:16.210 | PlayerState: Engaged</t>
        </is>
      </c>
    </row>
    <row r="28" ht="17" customHeight="1">
      <c r="A28" s="0">
        <v>27</v>
      </c>
      <c r="B28" s="0" t="inlineStr">
        <is>
          <t>2026-10-02 15:45:16.251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K28" s="4">
        <v>0.0007</v>
      </c>
      <c r="M28" s="0">
        <v>32</v>
      </c>
      <c r="N28" s="0" t="inlineStr">
        <is>
          <t>2026-10-02 15:45:16.251 | Minigame: Alex | Type: HammerHit | Outcome: Success | Difficulty: Normal | ExpectedTime: 8.9600 | ActualTime: 8.9593 | TimingOffset: -0.0007 | TimingError: 0.0007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15:45:16.668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Normal</t>
        </is>
      </c>
      <c r="K29" s="4">
        <v>0.0323</v>
      </c>
      <c r="M29" s="6">
        <v>33</v>
      </c>
      <c r="N29" s="6" t="inlineStr">
        <is>
          <t>2026-10-02 15:45:16.668 | Minigame: Alex | Type: HammerHit | Outcome: Success | Difficulty: Normal | ExpectedTime: 9.3440 | ActualTime: 9.3763 | TimingOffset: 0.0323 | TimingError: 0.0323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15:45:16.958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Normal</t>
        </is>
      </c>
      <c r="M30" s="0">
        <v>34</v>
      </c>
      <c r="N30" s="0" t="inlineStr">
        <is>
          <t>2026-10-02 15:45:16.958 | Minigame: Alex | Type: HammerTouch | Outcome: Missed | Difficulty: Normal | ExpectedTime: 9.3440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15:45:17.390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K31" s="4">
        <v>0.0137</v>
      </c>
      <c r="M31" s="6">
        <v>35</v>
      </c>
      <c r="N31" s="6" t="inlineStr">
        <is>
          <t>2026-10-02 15:45:17.390 | Minigame: Alex | Type: HammerHit | Outcome: Success | Difficulty: Normal | ExpectedTime: 10.1120 | ActualTime: 10.0983 | TimingOffset: -0.0137 | TimingError: 0.0137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15:45:17.445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Normal</t>
        </is>
      </c>
      <c r="M32" s="0">
        <v>36</v>
      </c>
      <c r="N32" s="0" t="inlineStr">
        <is>
          <t>2026-10-02 15:45:17.445 | Minigame: Alex | Type: HammerHit | Outcome: Failed | Difficulty: Normal | ExpectedTime: 10.1120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15:45:18.126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Normal</t>
        </is>
      </c>
      <c r="K33" s="4">
        <v>0.0458</v>
      </c>
      <c r="M33" s="6">
        <v>37</v>
      </c>
      <c r="N33" s="6" t="inlineStr">
        <is>
          <t>2026-10-02 15:45:18.126 | Minigame: Alex | Type: HammerHit | Outcome: Success | Difficulty: Normal | ExpectedTime: 10.8800 | ActualTime: 10.8342 | TimingOffset: -0.0458 | TimingError: 0.0458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15:45:18.251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Normal</t>
        </is>
      </c>
      <c r="M34" s="0">
        <v>38</v>
      </c>
      <c r="N34" s="0" t="inlineStr">
        <is>
          <t>2026-10-02 15:45:18.251 | Minigame: Alex | Type: HammerTouch | Outcome: Success | Difficulty: Normal | ExpectedTime: 10.8800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15:45:18.917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Normal</t>
        </is>
      </c>
      <c r="K35" s="4">
        <v>0.0219</v>
      </c>
      <c r="M35" s="6">
        <v>39</v>
      </c>
      <c r="N35" s="6" t="inlineStr">
        <is>
          <t>2026-10-02 15:45:18.917 | Minigame: Alex | Type: HammerHit | Outcome: Success | Difficulty: Normal | ExpectedTime: 11.6480 | ActualTime: 11.6261 | TimingOffset: -0.0219 | TimingError: 0.0219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15:45:19.001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Normal</t>
        </is>
      </c>
      <c r="M36" s="0">
        <v>40</v>
      </c>
      <c r="N36" s="0" t="inlineStr">
        <is>
          <t>2026-10-02 15:45:19.001 | Minigame: Alex | Type: HammerTouch | Outcome: Success | Difficulty: Normal | ExpectedTime: 11.6480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15:45:19.667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K37" s="4">
        <v>0.0404</v>
      </c>
      <c r="M37" s="6">
        <v>41</v>
      </c>
      <c r="N37" s="6" t="inlineStr">
        <is>
          <t>2026-10-02 15:45:19.667 | Minigame: Alex | Type: HammerHit | Outcome: Success | Difficulty: Normal | ExpectedTime: 12.4160 | ActualTime: 12.3756 | TimingOffset: -0.0404 | TimingError: 0.0404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15:45:19.694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Normal</t>
        </is>
      </c>
      <c r="K38" s="4">
        <v>0.0121</v>
      </c>
      <c r="M38" s="0">
        <v>42</v>
      </c>
      <c r="N38" s="0" t="inlineStr">
        <is>
          <t>2026-10-02 15:45:19.694 | Minigame: Alex | Type: HammerHit | Outcome: Failed | Difficulty: Normal | ExpectedTime: 12.4160 | ActualTime: 12.4039 | TimingOffset: -0.0121 | TimingError: 0.0121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15:45:20.460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Normal</t>
        </is>
      </c>
      <c r="K39" s="4">
        <v>0.0162</v>
      </c>
      <c r="M39" s="6">
        <v>43</v>
      </c>
      <c r="N39" s="6" t="inlineStr">
        <is>
          <t>2026-10-02 15:45:20.460 | Minigame: Alex | Type: HammerHit | Outcome: Success | Difficulty: Normal | ExpectedTime: 13.1840 | ActualTime: 13.1678 | TimingOffset: -0.0162 | TimingError: 0.0162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15:45:20.487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Normal</t>
        </is>
      </c>
      <c r="M40" s="0">
        <v>44</v>
      </c>
      <c r="N40" s="0" t="inlineStr">
        <is>
          <t>2026-10-02 15:45:20.487 | Minigame: Alex | Type: HammerHit | Outcome: Success | Difficulty: Normal | ExpectedTime: 13.1840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15:45:20.488</t>
        </is>
      </c>
      <c r="C41" s="6" t="inlineStr">
        <is>
          <t>DifficultyChanged</t>
        </is>
      </c>
      <c r="D41" s="6" t="inlineStr">
        <is>
          <t>Alex</t>
        </is>
      </c>
      <c r="I41" s="6" t="inlineStr">
        <is>
          <t>Normal -&gt; Hard</t>
        </is>
      </c>
      <c r="J41" s="6" t="inlineStr">
        <is>
          <t>High recent performance</t>
        </is>
      </c>
      <c r="M41" s="6">
        <v>45</v>
      </c>
      <c r="N41" s="6" t="inlineStr">
        <is>
          <t>2026-10-02 15:45:20.488 | DifficultyChanged: Normal -&gt; Hard | Reason: High recent performance | Minigame: Alex | SuccessRate: 0.88</t>
        </is>
      </c>
    </row>
    <row r="42" ht="17" customHeight="1">
      <c r="A42" s="0">
        <v>41</v>
      </c>
      <c r="B42" s="0" t="inlineStr">
        <is>
          <t>2026-10-02 15:45:21.278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0.0214</v>
      </c>
      <c r="M42" s="0">
        <v>46</v>
      </c>
      <c r="N42" s="0" t="inlineStr">
        <is>
          <t>2026-10-02 15:45:21.278 | Minigame: Alex | Type: HammerHit | Outcome: Success | Difficulty: Hard | ExpectedTime: 13.9520 | ActualTime: 13.9734 | TimingOffset: 0.0214 | TimingError: 0.0214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15:45:21.279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0.0351</v>
      </c>
      <c r="M43" s="6">
        <v>47</v>
      </c>
      <c r="N43" s="6" t="inlineStr">
        <is>
          <t>2026-10-02 15:45:21.279 | Minigame: Alex | Type: HammerHit | Outcome: Success | Difficulty: Hard | ExpectedTime: 13.9520 | ActualTime: 13.9871 | TimingOffset: 0.0351 | TimingError: 0.0351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15:45:21.639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Success</t>
        </is>
      </c>
      <c r="G44" s="0" t="inlineStr">
        <is>
          <t>Hard</t>
        </is>
      </c>
      <c r="M44" s="0">
        <v>48</v>
      </c>
      <c r="N44" s="0" t="inlineStr">
        <is>
          <t>2026-10-02 15:45:21.639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15:45:21.640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K45" s="4">
        <v>0.0126</v>
      </c>
      <c r="M45" s="6">
        <v>49</v>
      </c>
      <c r="N45" s="6" t="inlineStr">
        <is>
          <t>2026-10-02 15:45:21.640 | Minigame: Alex | Type: HammerHit | Outcome: Success | Difficulty: Hard | ExpectedTime: 14.3360 | ActualTime: 14.3486 | TimingOffset: 0.0126 | TimingError: 0.0126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15:45:22.348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Hard</t>
        </is>
      </c>
      <c r="M46" s="0">
        <v>50</v>
      </c>
      <c r="N46" s="0" t="inlineStr">
        <is>
          <t>2026-10-02 15:45:22.348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15:45:22.348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15:45:22.348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15:45:22.405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K48" s="4">
        <v>0.0086</v>
      </c>
      <c r="M48" s="0">
        <v>52</v>
      </c>
      <c r="N48" s="0" t="inlineStr">
        <is>
          <t>2026-10-02 15:45:22.405 | Minigame: Alex | Type: HammerHit | Outcome: Success | Difficulty: Hard | ExpectedTime: 15.1040 | ActualTime: 15.1126 | TimingOffset: 0.0086 | TimingError: 0.0086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15:45:23.098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Hard</t>
        </is>
      </c>
      <c r="M49" s="6">
        <v>53</v>
      </c>
      <c r="N49" s="6" t="inlineStr">
        <is>
          <t>2026-10-02 15:45:23.098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15:45:23.099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Missed</t>
        </is>
      </c>
      <c r="G50" s="0" t="inlineStr">
        <is>
          <t>Hard</t>
        </is>
      </c>
      <c r="M50" s="0">
        <v>54</v>
      </c>
      <c r="N50" s="0" t="inlineStr">
        <is>
          <t>2026-10-02 15:45:23.099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15:45:23.181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0.0044</v>
      </c>
      <c r="M51" s="6">
        <v>55</v>
      </c>
      <c r="N51" s="6" t="inlineStr">
        <is>
          <t>2026-10-02 15:45:23.181 | Minigame: Alex | Type: HammerHit | Outcome: Success | Difficulty: Hard | ExpectedTime: 15.8720 | ActualTime: 15.8764 | TimingOffset: 0.0044 | TimingError: 0.0044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15:45:23.862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Hard</t>
        </is>
      </c>
      <c r="M52" s="0">
        <v>56</v>
      </c>
      <c r="N52" s="0" t="inlineStr">
        <is>
          <t>2026-10-02 15:45:23.862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15:45:23.862</t>
        </is>
      </c>
      <c r="C53" s="6" t="inlineStr">
        <is>
          <t>PlayerState</t>
        </is>
      </c>
      <c r="H53" s="6" t="inlineStr">
        <is>
          <t>Overloaded</t>
        </is>
      </c>
      <c r="M53" s="6">
        <v>57</v>
      </c>
      <c r="N53" s="6" t="inlineStr">
        <is>
          <t>2026-10-02 15:45:23.862 | PlayerState: Overloaded</t>
        </is>
      </c>
    </row>
    <row r="54" ht="17" customHeight="1">
      <c r="A54" s="0">
        <v>53</v>
      </c>
      <c r="B54" s="0" t="inlineStr">
        <is>
          <t>2026-10-02 15:45:23.862</t>
        </is>
      </c>
      <c r="C54" s="0" t="inlineStr">
        <is>
          <t>DifficultyChanged</t>
        </is>
      </c>
      <c r="D54" s="0" t="inlineStr">
        <is>
          <t>Alex</t>
        </is>
      </c>
      <c r="I54" s="0" t="inlineStr">
        <is>
          <t>Hard -&gt; Normal</t>
        </is>
      </c>
      <c r="J54" s="0" t="inlineStr">
        <is>
          <t>PlayerState: Overloaded</t>
        </is>
      </c>
      <c r="M54" s="0">
        <v>58</v>
      </c>
      <c r="N54" s="0" t="inlineStr">
        <is>
          <t>2026-10-02 15:45:23.862 | DifficultyChanged: Hard -&gt; Normal | Reason: PlayerState: Overloaded | Minigame: Alex | RecentSuccessRate: 0.50</t>
        </is>
      </c>
    </row>
    <row r="55" ht="17" customHeight="1">
      <c r="A55" s="6">
        <v>54</v>
      </c>
      <c r="B55" s="6" t="inlineStr">
        <is>
          <t>2026-10-02 15:45:23.863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Normal</t>
        </is>
      </c>
      <c r="M55" s="6">
        <v>59</v>
      </c>
      <c r="N55" s="6" t="inlineStr">
        <is>
          <t>2026-10-02 15:45:23.863 | Minigame: Alex | Type: HammerTouch | Outcome: Missed | Difficulty: Normal | ExpectedTime: 16.2560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15:45:23.863</t>
        </is>
      </c>
      <c r="C56" s="0" t="inlineStr">
        <is>
          <t>PlayerState</t>
        </is>
      </c>
      <c r="H56" s="0" t="inlineStr">
        <is>
          <t>Engaged</t>
        </is>
      </c>
      <c r="M56" s="0">
        <v>60</v>
      </c>
      <c r="N56" s="0" t="inlineStr">
        <is>
          <t>2026-10-02 15:45:23.863 | PlayerState: Engaged</t>
        </is>
      </c>
    </row>
    <row r="57" ht="17" customHeight="1">
      <c r="A57" s="6">
        <v>56</v>
      </c>
      <c r="B57" s="6" t="inlineStr">
        <is>
          <t>2026-10-02 15:45:23.889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Normal</t>
        </is>
      </c>
      <c r="K57" s="4">
        <v>0.0418</v>
      </c>
      <c r="M57" s="6">
        <v>61</v>
      </c>
      <c r="N57" s="6" t="inlineStr">
        <is>
          <t>2026-10-02 15:45:23.889 | Minigame: Alex | Type: HammerHit | Outcome: Success | Difficulty: Normal | ExpectedTime: 16.6400 | ActualTime: 16.5982 | TimingOffset: -0.0418 | TimingError: 0.0418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15:45:24.639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Normal</t>
        </is>
      </c>
      <c r="M58" s="0">
        <v>62</v>
      </c>
      <c r="N58" s="0" t="inlineStr">
        <is>
          <t>2026-10-02 15:45:24.639 | Minigame: Alex | Type: HammerTouch | Outcome: Missed | Difficulty: Normal | ExpectedTime: 17.0240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15:45:24.640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Missed</t>
        </is>
      </c>
      <c r="G59" s="6" t="inlineStr">
        <is>
          <t>Normal</t>
        </is>
      </c>
      <c r="M59" s="6">
        <v>63</v>
      </c>
      <c r="N59" s="6" t="inlineStr">
        <is>
          <t>2026-10-02 15:45:24.640 | Minigame: Alex | Type: HammerTouch | Outcome: Missed | Difficulty: Normal | ExpectedTime: 17.0240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15:45:25.056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Failed</t>
        </is>
      </c>
      <c r="G60" s="0" t="inlineStr">
        <is>
          <t>Normal</t>
        </is>
      </c>
      <c r="K60" s="4">
        <v>0.027</v>
      </c>
      <c r="M60" s="0">
        <v>64</v>
      </c>
      <c r="N60" s="0" t="inlineStr">
        <is>
          <t>2026-10-02 15:45:25.056 | Minigame: Alex | Type: HammerHit | Outcome: Failed | Difficulty: Normal | ExpectedTime: 17.7920 | ActualTime: 17.7650 | TimingOffset: -0.0270 | TimingError: 0.0270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15:45:25.056</t>
        </is>
      </c>
      <c r="C61" s="6" t="inlineStr">
        <is>
          <t>PlayerState</t>
        </is>
      </c>
      <c r="H61" s="6" t="inlineStr">
        <is>
          <t>Overloaded</t>
        </is>
      </c>
      <c r="M61" s="6">
        <v>65</v>
      </c>
      <c r="N61" s="6" t="inlineStr">
        <is>
          <t>2026-10-02 15:45:25.056 | PlayerState: Overloaded</t>
        </is>
      </c>
    </row>
    <row r="62" ht="17" customHeight="1">
      <c r="A62" s="0">
        <v>61</v>
      </c>
      <c r="B62" s="0" t="inlineStr">
        <is>
          <t>2026-10-02 15:45:25.056</t>
        </is>
      </c>
      <c r="C62" s="0" t="inlineStr">
        <is>
          <t>DifficultyChanged</t>
        </is>
      </c>
      <c r="D62" s="0" t="inlineStr">
        <is>
          <t>Alex</t>
        </is>
      </c>
      <c r="I62" s="0" t="inlineStr">
        <is>
          <t>Normal -&gt; Easy</t>
        </is>
      </c>
      <c r="J62" s="0" t="inlineStr">
        <is>
          <t>PlayerState: Overloaded</t>
        </is>
      </c>
      <c r="M62" s="0">
        <v>66</v>
      </c>
      <c r="N62" s="0" t="inlineStr">
        <is>
          <t>2026-10-02 15:45:25.056 | DifficultyChanged: Normal -&gt; Easy | Reason: PlayerState: Overloaded | Minigame: Alex | RecentSuccessRate: 0.25</t>
        </is>
      </c>
    </row>
    <row r="63" ht="17" customHeight="1">
      <c r="A63" s="6">
        <v>62</v>
      </c>
      <c r="B63" s="6" t="inlineStr">
        <is>
          <t>2026-10-02 15:45:25.071</t>
        </is>
      </c>
      <c r="C63" s="6" t="inlineStr">
        <is>
          <t>PlayerState</t>
        </is>
      </c>
      <c r="H63" s="6" t="inlineStr">
        <is>
          <t>Engaged</t>
        </is>
      </c>
      <c r="M63" s="6">
        <v>67</v>
      </c>
      <c r="N63" s="6" t="inlineStr">
        <is>
          <t>2026-10-02 15:45:25.071 | PlayerState: Engaged</t>
        </is>
      </c>
    </row>
    <row r="64" ht="17" customHeight="1">
      <c r="A64" s="0">
        <v>63</v>
      </c>
      <c r="B64" s="0" t="inlineStr">
        <is>
          <t>2026-10-02 15:45:26.626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Easy</t>
        </is>
      </c>
      <c r="K64" s="4">
        <v>0.0069</v>
      </c>
      <c r="M64" s="0">
        <v>68</v>
      </c>
      <c r="N64" s="0" t="inlineStr">
        <is>
          <t>2026-10-02 15:45:26.626 | Minigame: Alex | Type: HammerHit | Outcome: Success | Difficulty: Easy | ExpectedTime: 19.3280 | ActualTime: 19.3349 | TimingOffset: 0.0069 | TimingError: 0.0069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15:45:26.626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Failed</t>
        </is>
      </c>
      <c r="G65" s="6" t="inlineStr">
        <is>
          <t>Easy</t>
        </is>
      </c>
      <c r="K65" s="4">
        <v>0.0069</v>
      </c>
      <c r="M65" s="6">
        <v>69</v>
      </c>
      <c r="N65" s="6" t="inlineStr">
        <is>
          <t>2026-10-02 15:45:26.626 | Minigame: Alex | Type: HammerHit | Outcome: Failed | Difficulty: Easy | ExpectedTime: 19.3280 | ActualTime: 19.3349 | TimingOffset: 0.0069 | TimingError: 0.0069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15:45:28.141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Easy</t>
        </is>
      </c>
      <c r="K66" s="4">
        <v>0.0148</v>
      </c>
      <c r="M66" s="0">
        <v>70</v>
      </c>
      <c r="N66" s="0" t="inlineStr">
        <is>
          <t>2026-10-02 15:45:28.141 | Minigame: Alex | Type: HammerHit | Outcome: Success | Difficulty: Easy | ExpectedTime: 20.8640 | ActualTime: 20.8492 | TimingOffset: -0.0148 | TimingError: 0.0148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15:45:28.182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Easy</t>
        </is>
      </c>
      <c r="M67" s="6">
        <v>71</v>
      </c>
      <c r="N67" s="6" t="inlineStr">
        <is>
          <t>2026-10-02 15:45:28.182 | Minigame: Alex | Type: HammerHit | Outcome: Success | Difficulty: Easy | ExpectedTime: 20.8640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15:45:29.710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Easy</t>
        </is>
      </c>
      <c r="K68" s="4">
        <v>0.0055</v>
      </c>
      <c r="M68" s="0">
        <v>72</v>
      </c>
      <c r="N68" s="0" t="inlineStr">
        <is>
          <t>2026-10-02 15:45:29.710 | Minigame: Alex | Type: HammerHit | Outcome: Success | Difficulty: Easy | ExpectedTime: 22.4000 | ActualTime: 22.4055 | TimingOffset: 0.0055 | TimingError: 0.0055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15:45:29.710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Success</t>
        </is>
      </c>
      <c r="G69" s="6" t="inlineStr">
        <is>
          <t>Easy</t>
        </is>
      </c>
      <c r="M69" s="6">
        <v>73</v>
      </c>
      <c r="N69" s="6" t="inlineStr">
        <is>
          <t>2026-10-02 15:45:29.710 | Minigame: Alex | Type: HammerTouch | Outcome: Success | Difficulty: Easy | ExpectedTime: 22.4000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15:45:31.211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Easy</t>
        </is>
      </c>
      <c r="K70" s="4">
        <v>0.0174</v>
      </c>
      <c r="M70" s="0">
        <v>74</v>
      </c>
      <c r="N70" s="0" t="inlineStr">
        <is>
          <t>2026-10-02 15:45:31.211 | Minigame: Alex | Type: HammerHit | Outcome: Success | Difficulty: Easy | ExpectedTime: 23.9360 | ActualTime: 23.9186 | TimingOffset: -0.0174 | TimingError: 0.0174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15:45:31.252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Success</t>
        </is>
      </c>
      <c r="G71" s="6" t="inlineStr">
        <is>
          <t>Easy</t>
        </is>
      </c>
      <c r="M71" s="6">
        <v>75</v>
      </c>
      <c r="N71" s="6" t="inlineStr">
        <is>
          <t>2026-10-02 15:45:31.252 | Minigame: Alex | Type: HammerTouch | Outcome: Success | Difficulty: Easy | ExpectedTime: 23.9360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15:45:31.252</t>
        </is>
      </c>
      <c r="C72" s="0" t="inlineStr">
        <is>
          <t>DifficultyChanged</t>
        </is>
      </c>
      <c r="D72" s="0" t="inlineStr">
        <is>
          <t>Alex</t>
        </is>
      </c>
      <c r="I72" s="0" t="inlineStr">
        <is>
          <t>Easy -&gt; Normal</t>
        </is>
      </c>
      <c r="J72" s="0" t="inlineStr">
        <is>
          <t>High recent performance</t>
        </is>
      </c>
      <c r="M72" s="0">
        <v>76</v>
      </c>
      <c r="N72" s="0" t="inlineStr">
        <is>
          <t>2026-10-02 15:45:31.252 | DifficultyChanged: Easy -&gt; Normal | Reason: High recent performance | Minigame: Alex | SuccessRate: 0.88</t>
        </is>
      </c>
    </row>
    <row r="73" ht="17" customHeight="1">
      <c r="A73" s="6">
        <v>72</v>
      </c>
      <c r="B73" s="6" t="inlineStr">
        <is>
          <t>2026-10-02 15:45:32.752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Failed</t>
        </is>
      </c>
      <c r="G73" s="6" t="inlineStr">
        <is>
          <t>Normal</t>
        </is>
      </c>
      <c r="K73" s="4">
        <v>0.0121</v>
      </c>
      <c r="M73" s="6">
        <v>77</v>
      </c>
      <c r="N73" s="6" t="inlineStr">
        <is>
          <t>2026-10-02 15:45:32.752 | Minigame: Alex | Type: HammerHit | Outcome: Failed | Difficulty: Normal | ExpectedTime: 25.4720 | ActualTime: 25.4599 | TimingOffset: -0.0121 | TimingError: 0.0121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15:45:32.765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Failed</t>
        </is>
      </c>
      <c r="G74" s="0" t="inlineStr">
        <is>
          <t>Normal</t>
        </is>
      </c>
      <c r="K74" s="4">
        <v>0.0019</v>
      </c>
      <c r="M74" s="0">
        <v>78</v>
      </c>
      <c r="N74" s="0" t="inlineStr">
        <is>
          <t>2026-10-02 15:45:32.765 | Minigame: Alex | Type: HammerHit | Outcome: Failed | Difficulty: Normal | ExpectedTime: 25.4720 | ActualTime: 25.4739 | TimingOffset: 0.0019 | TimingError: 0.0019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15:45:33.569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Normal</t>
        </is>
      </c>
      <c r="M75" s="6">
        <v>79</v>
      </c>
      <c r="N75" s="6" t="inlineStr">
        <is>
          <t>2026-10-02 15:45:33.569 | Minigame: Alex | Type: HammerTouch | Outcome: Success | Difficulty: Normal | ExpectedTime: 26.2400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15:45:33.598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Normal</t>
        </is>
      </c>
      <c r="K76" s="4">
        <v>0.0664</v>
      </c>
      <c r="M76" s="0">
        <v>80</v>
      </c>
      <c r="N76" s="0" t="inlineStr">
        <is>
          <t>2026-10-02 15:45:33.598 | Minigame: Alex | Type: HammerHit | Outcome: Success | Difficulty: Normal | ExpectedTime: 26.2400 | ActualTime: 26.3064 | TimingOffset: 0.0664 | TimingError: 0.0664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15:45:34.332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Failed</t>
        </is>
      </c>
      <c r="G77" s="6" t="inlineStr">
        <is>
          <t>Normal</t>
        </is>
      </c>
      <c r="K77" s="4">
        <v>0.0338</v>
      </c>
      <c r="M77" s="6">
        <v>81</v>
      </c>
      <c r="N77" s="6" t="inlineStr">
        <is>
          <t>2026-10-02 15:45:34.332 | Minigame: Alex | Type: HammerHit | Outcome: Failed | Difficulty: Normal | ExpectedTime: 27.0080 | ActualTime: 27.0418 | TimingOffset: 0.0338 | TimingError: 0.0338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15:45:34.334</t>
        </is>
      </c>
      <c r="C78" s="0" t="inlineStr">
        <is>
          <t>PlayerState</t>
        </is>
      </c>
      <c r="H78" s="0" t="inlineStr">
        <is>
          <t>Overloaded</t>
        </is>
      </c>
      <c r="M78" s="0">
        <v>82</v>
      </c>
      <c r="N78" s="0" t="inlineStr">
        <is>
          <t>2026-10-02 15:45:34.334 | PlayerState: Overloaded</t>
        </is>
      </c>
    </row>
    <row r="79" ht="17" customHeight="1">
      <c r="A79" s="6">
        <v>78</v>
      </c>
      <c r="B79" s="6" t="inlineStr">
        <is>
          <t>2026-10-02 15:45:34.334</t>
        </is>
      </c>
      <c r="C79" s="6" t="inlineStr">
        <is>
          <t>DifficultyChanged</t>
        </is>
      </c>
      <c r="D79" s="6" t="inlineStr">
        <is>
          <t>Alex</t>
        </is>
      </c>
      <c r="I79" s="6" t="inlineStr">
        <is>
          <t>Normal -&gt; Easy</t>
        </is>
      </c>
      <c r="J79" s="6" t="inlineStr">
        <is>
          <t>PlayerState: Overloaded</t>
        </is>
      </c>
      <c r="M79" s="6">
        <v>83</v>
      </c>
      <c r="N79" s="6" t="inlineStr">
        <is>
          <t>2026-10-02 15:45:34.334 | DifficultyChanged: Normal -&gt; Easy | Reason: PlayerState: Overloaded | Minigame: Alex | RecentSuccessRate: 0.50</t>
        </is>
      </c>
    </row>
    <row r="80" ht="17" customHeight="1">
      <c r="A80" s="0">
        <v>79</v>
      </c>
      <c r="B80" s="0" t="inlineStr">
        <is>
          <t>2026-10-02 15:45:34.348</t>
        </is>
      </c>
      <c r="C80" s="0" t="inlineStr">
        <is>
          <t>PlayerState</t>
        </is>
      </c>
      <c r="H80" s="0" t="inlineStr">
        <is>
          <t>Engaged</t>
        </is>
      </c>
      <c r="M80" s="0">
        <v>84</v>
      </c>
      <c r="N80" s="0" t="inlineStr">
        <is>
          <t>2026-10-02 15:45:34.348 | PlayerState: Engaged</t>
        </is>
      </c>
    </row>
    <row r="81" ht="17" customHeight="1">
      <c r="A81" s="6">
        <v>80</v>
      </c>
      <c r="B81" s="6" t="inlineStr">
        <is>
          <t>2026-10-02 15:45:34.625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Easy</t>
        </is>
      </c>
      <c r="M81" s="6">
        <v>85</v>
      </c>
      <c r="N81" s="6" t="inlineStr">
        <is>
          <t>2026-10-02 15:45:34.625 | Minigame: Alex | Type: HammerTouch | Outcome: Missed | Difficulty: Easy | ExpectedTime: 27.0080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15:45:35.069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Easy</t>
        </is>
      </c>
      <c r="K82" s="4">
        <v>0.0022</v>
      </c>
      <c r="M82" s="0">
        <v>86</v>
      </c>
      <c r="N82" s="0" t="inlineStr">
        <is>
          <t>2026-10-02 15:45:35.069 | Minigame: Alex | Type: HammerHit | Outcome: Success | Difficulty: Easy | ExpectedTime: 27.7760 | ActualTime: 27.7782 | TimingOffset: 0.0022 | TimingError: 0.0022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15:45:35.848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Easy</t>
        </is>
      </c>
      <c r="K83" s="4">
        <v>0.0123</v>
      </c>
      <c r="M83" s="6">
        <v>87</v>
      </c>
      <c r="N83" s="6" t="inlineStr">
        <is>
          <t>2026-10-02 15:45:35.848 | Minigame: Alex | Type: HammerHit | Outcome: Success | Difficulty: Easy | ExpectedTime: 28.5440 | ActualTime: 28.5563 | TimingOffset: 0.0123 | TimingError: 0.0123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15:45:35.848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Failed</t>
        </is>
      </c>
      <c r="G84" s="0" t="inlineStr">
        <is>
          <t>Easy</t>
        </is>
      </c>
      <c r="K84" s="4">
        <v>0.0123</v>
      </c>
      <c r="M84" s="0">
        <v>88</v>
      </c>
      <c r="N84" s="0" t="inlineStr">
        <is>
          <t>2026-10-02 15:45:35.848 | Minigame: Alex | Type: HammerHit | Outcome: Failed | Difficulty: Easy | ExpectedTime: 28.5440 | ActualTime: 28.5563 | TimingOffset: 0.0123 | TimingError: 0.0123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15:45:37.375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Easy</t>
        </is>
      </c>
      <c r="K85" s="4">
        <v>0.0042</v>
      </c>
      <c r="M85" s="6">
        <v>89</v>
      </c>
      <c r="N85" s="6" t="inlineStr">
        <is>
          <t>2026-10-02 15:45:37.375 | Minigame: Alex | Type: HammerHit | Outcome: Success | Difficulty: Easy | ExpectedTime: 30.0800 | ActualTime: 30.0842 | TimingOffset: 0.0042 | TimingError: 0.0042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15:45:37.375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Easy</t>
        </is>
      </c>
      <c r="M86" s="0">
        <v>90</v>
      </c>
      <c r="N86" s="0" t="inlineStr">
        <is>
          <t>2026-10-02 15:45:37.375 | Minigame: Alex | Type: HammerHit | Outcome: Success | Difficulty: Easy | ExpectedTime: 30.0800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15:45:41.304</t>
        </is>
      </c>
      <c r="C87" s="6" t="inlineStr">
        <is>
          <t>Interaction</t>
        </is>
      </c>
      <c r="D87" s="6" t="inlineStr">
        <is>
          <t>Joaquin</t>
        </is>
      </c>
      <c r="E87" s="6" t="inlineStr">
        <is>
          <t>GuitarHit</t>
        </is>
      </c>
      <c r="F87" s="6" t="inlineStr">
        <is>
          <t>Success</t>
        </is>
      </c>
      <c r="G87" s="6" t="inlineStr">
        <is>
          <t>Easy</t>
        </is>
      </c>
      <c r="K87" s="4">
        <v>0.0792</v>
      </c>
      <c r="M87" s="6">
        <v>91</v>
      </c>
      <c r="N87" s="6" t="inlineStr">
        <is>
          <t>2026-10-02 15:45:41.304 | Minigame: Joaquin | Type: GuitarHit | Outcome: Success | Difficulty: Easy | ExpectedTime: 33.9200 | ActualTime: 33.9992 | TimingOffset: 0.0792 | TimingError: 0.0792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15:45:44.998</t>
        </is>
      </c>
      <c r="C88" s="0" t="inlineStr">
        <is>
          <t>Interaction</t>
        </is>
      </c>
      <c r="D88" s="0" t="inlineStr">
        <is>
          <t>Joaquin</t>
        </is>
      </c>
      <c r="E88" s="0" t="inlineStr">
        <is>
          <t>GuitarHit</t>
        </is>
      </c>
      <c r="F88" s="0" t="inlineStr">
        <is>
          <t>Success</t>
        </is>
      </c>
      <c r="G88" s="0" t="inlineStr">
        <is>
          <t>Easy</t>
        </is>
      </c>
      <c r="K88" s="4">
        <v>0.0671</v>
      </c>
      <c r="M88" s="0">
        <v>92</v>
      </c>
      <c r="N88" s="0" t="inlineStr">
        <is>
          <t>2026-10-02 15:45:44.998 | Minigame: Joaquin | Type: GuitarHit | Outcome: Success | Difficulty: Easy | ExpectedTime: 37.7600 | ActualTime: 37.6929 | TimingOffset: -0.0671 | TimingError: 0.0671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15:45:47.304</t>
        </is>
      </c>
      <c r="C89" s="6" t="inlineStr">
        <is>
          <t>Interaction</t>
        </is>
      </c>
      <c r="D89" s="6" t="inlineStr">
        <is>
          <t>Joaquin</t>
        </is>
      </c>
      <c r="E89" s="6" t="inlineStr">
        <is>
          <t>GuitarHit</t>
        </is>
      </c>
      <c r="F89" s="6" t="inlineStr">
        <is>
          <t>Success</t>
        </is>
      </c>
      <c r="G89" s="6" t="inlineStr">
        <is>
          <t>Easy</t>
        </is>
      </c>
      <c r="K89" s="4">
        <v>0.0649</v>
      </c>
      <c r="M89" s="6">
        <v>93</v>
      </c>
      <c r="N89" s="6" t="inlineStr">
        <is>
          <t>2026-10-02 15:45:47.304 | Minigame: Joaquin | Type: GuitarHit | Outcome: Success | Difficulty: Easy | ExpectedTime: 40.0640 | ActualTime: 39.9991 | TimingOffset: -0.0649 | TimingError: 0.0649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15:45:49.568</t>
        </is>
      </c>
      <c r="C90" s="0" t="inlineStr">
        <is>
          <t>Interaction</t>
        </is>
      </c>
      <c r="D90" s="0" t="inlineStr">
        <is>
          <t>Joaquin</t>
        </is>
      </c>
      <c r="E90" s="0" t="inlineStr">
        <is>
          <t>GuitarHit</t>
        </is>
      </c>
      <c r="F90" s="0" t="inlineStr">
        <is>
          <t>Success</t>
        </is>
      </c>
      <c r="G90" s="0" t="inlineStr">
        <is>
          <t>Easy</t>
        </is>
      </c>
      <c r="K90" s="4">
        <v>0.1054</v>
      </c>
      <c r="M90" s="0">
        <v>94</v>
      </c>
      <c r="N90" s="0" t="inlineStr">
        <is>
          <t>2026-10-02 15:45:49.568 | Minigame: Joaquin | Type: GuitarHit | Outcome: Success | Difficulty: Easy | ExpectedTime: 42.3680 | ActualTime: 42.2626 | TimingOffset: -0.1054 | TimingError: 0.1054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15:45:52.206</t>
        </is>
      </c>
      <c r="C91" s="6" t="inlineStr">
        <is>
          <t>Interaction</t>
        </is>
      </c>
      <c r="D91" s="6" t="inlineStr">
        <is>
          <t>Joaquin</t>
        </is>
      </c>
      <c r="E91" s="6" t="inlineStr">
        <is>
          <t>GuitarHit</t>
        </is>
      </c>
      <c r="F91" s="6" t="inlineStr">
        <is>
          <t>Success</t>
        </is>
      </c>
      <c r="G91" s="6" t="inlineStr">
        <is>
          <t>Easy</t>
        </is>
      </c>
      <c r="K91" s="4">
        <v>0.1553</v>
      </c>
      <c r="M91" s="6">
        <v>95</v>
      </c>
      <c r="N91" s="6" t="inlineStr">
        <is>
          <t>2026-10-02 15:45:52.206 | Minigame: Joaquin | Type: GuitarHit | Outcome: Success | Difficulty: Easy | ExpectedTime: 45.0560 | ActualTime: 44.9007 | TimingOffset: -0.1553 | TimingError: 0.1553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15:45:55.622</t>
        </is>
      </c>
      <c r="C92" s="0" t="inlineStr">
        <is>
          <t>Interaction</t>
        </is>
      </c>
      <c r="D92" s="0" t="inlineStr">
        <is>
          <t>Joaquin</t>
        </is>
      </c>
      <c r="E92" s="0" t="inlineStr">
        <is>
          <t>GuitarHit</t>
        </is>
      </c>
      <c r="F92" s="0" t="inlineStr">
        <is>
          <t>Success</t>
        </is>
      </c>
      <c r="G92" s="0" t="inlineStr">
        <is>
          <t>Easy</t>
        </is>
      </c>
      <c r="K92" s="4">
        <v>0.1888</v>
      </c>
      <c r="M92" s="0">
        <v>96</v>
      </c>
      <c r="N92" s="0" t="inlineStr">
        <is>
          <t>2026-10-02 15:45:55.622 | Minigame: Joaquin | Type: GuitarHit | Outcome: Success | Difficulty: Easy | ExpectedTime: 48.1280 | ActualTime: 48.3168 | TimingOffset: 0.1888 | TimingError: 0.1888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15:45:57.943</t>
        </is>
      </c>
      <c r="C93" s="6" t="inlineStr">
        <is>
          <t>Interaction</t>
        </is>
      </c>
      <c r="D93" s="6" t="inlineStr">
        <is>
          <t>Joaquin</t>
        </is>
      </c>
      <c r="E93" s="6" t="inlineStr">
        <is>
          <t>GuitarHit</t>
        </is>
      </c>
      <c r="F93" s="6" t="inlineStr">
        <is>
          <t>Success</t>
        </is>
      </c>
      <c r="G93" s="6" t="inlineStr">
        <is>
          <t>Easy</t>
        </is>
      </c>
      <c r="K93" s="4">
        <v>0.1787</v>
      </c>
      <c r="M93" s="6">
        <v>97</v>
      </c>
      <c r="N93" s="6" t="inlineStr">
        <is>
          <t>2026-10-02 15:45:57.943 | Minigame: Joaquin | Type: GuitarHit | Outcome: Success | Difficulty: Easy | ExpectedTime: 50.8160 | ActualTime: 50.6373 | TimingOffset: -0.1787 | TimingError: 0.1787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15:45:58.928</t>
        </is>
      </c>
      <c r="C94" s="0" t="inlineStr">
        <is>
          <t>Interaction</t>
        </is>
      </c>
      <c r="D94" s="0" t="inlineStr">
        <is>
          <t>Joaquin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Easy</t>
        </is>
      </c>
      <c r="M94" s="0">
        <v>98</v>
      </c>
      <c r="N94" s="0" t="inlineStr">
        <is>
          <t>2026-10-02 15:45:58.928 | Minigame: Joaquin | Type: PlayerHit | Outcome: Failed | Difficulty: Easy | ExpectedTime: 51.6232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15:46:00.388</t>
        </is>
      </c>
      <c r="C95" s="6" t="inlineStr">
        <is>
          <t>Interaction</t>
        </is>
      </c>
      <c r="D95" s="6" t="inlineStr">
        <is>
          <t>Joaquin</t>
        </is>
      </c>
      <c r="E95" s="6" t="inlineStr">
        <is>
          <t>GuitarHit</t>
        </is>
      </c>
      <c r="F95" s="6" t="inlineStr">
        <is>
          <t>Success</t>
        </is>
      </c>
      <c r="G95" s="6" t="inlineStr">
        <is>
          <t>Easy</t>
        </is>
      </c>
      <c r="K95" s="4">
        <v>0.0376</v>
      </c>
      <c r="M95" s="6">
        <v>99</v>
      </c>
      <c r="N95" s="6" t="inlineStr">
        <is>
          <t>2026-10-02 15:46:00.388 | Minigame: Joaquin | Type: GuitarHit | Outcome: Success | Difficulty: Easy | ExpectedTime: 53.1200 | ActualTime: 53.0824 | TimingOffset: -0.0376 | TimingError: 0.0376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15:46:00.389</t>
        </is>
      </c>
      <c r="C96" s="0" t="inlineStr">
        <is>
          <t>DifficultyChanged</t>
        </is>
      </c>
      <c r="D96" s="0" t="inlineStr">
        <is>
          <t>Joaquin</t>
        </is>
      </c>
      <c r="I96" s="0" t="inlineStr">
        <is>
          <t>Easy -&gt; Normal</t>
        </is>
      </c>
      <c r="J96" s="0" t="inlineStr">
        <is>
          <t>High recent performance</t>
        </is>
      </c>
      <c r="M96" s="0">
        <v>100</v>
      </c>
      <c r="N96" s="0" t="inlineStr">
        <is>
          <t>2026-10-02 15:46:00.389 | DifficultyChanged: Easy -&gt; Normal | Reason: High recent performance | Minigame: Joaquin | SuccessRate: 0.88</t>
        </is>
      </c>
    </row>
    <row r="97" ht="17" customHeight="1">
      <c r="A97" s="6">
        <v>96</v>
      </c>
      <c r="B97" s="6" t="inlineStr">
        <is>
          <t>2026-10-02 15:46:00.583</t>
        </is>
      </c>
      <c r="C97" s="6" t="inlineStr">
        <is>
          <t>Interaction</t>
        </is>
      </c>
      <c r="D97" s="6" t="inlineStr">
        <is>
          <t>Joaquin</t>
        </is>
      </c>
      <c r="E97" s="6" t="inlineStr">
        <is>
          <t>GuitarHit</t>
        </is>
      </c>
      <c r="F97" s="6" t="inlineStr">
        <is>
          <t>Success</t>
        </is>
      </c>
      <c r="G97" s="6" t="inlineStr">
        <is>
          <t>Normal</t>
        </is>
      </c>
      <c r="K97" s="4">
        <v>0.1572</v>
      </c>
      <c r="M97" s="6">
        <v>101</v>
      </c>
      <c r="N97" s="6" t="inlineStr">
        <is>
          <t>2026-10-02 15:46:00.583 | Minigame: Joaquin | Type: GuitarHit | Outcome: Success | Difficulty: Normal | ExpectedTime: 53.1200 | ActualTime: 53.2772 | TimingOffset: 0.1572 | TimingError: 0.1572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15:46:03.303</t>
        </is>
      </c>
      <c r="C98" s="0" t="inlineStr">
        <is>
          <t>Interaction</t>
        </is>
      </c>
      <c r="D98" s="0" t="inlineStr">
        <is>
          <t>Joaquin</t>
        </is>
      </c>
      <c r="E98" s="0" t="inlineStr">
        <is>
          <t>GuitarHit</t>
        </is>
      </c>
      <c r="F98" s="0" t="inlineStr">
        <is>
          <t>Success</t>
        </is>
      </c>
      <c r="G98" s="0" t="inlineStr">
        <is>
          <t>Normal</t>
        </is>
      </c>
      <c r="K98" s="4">
        <v>0.1908</v>
      </c>
      <c r="M98" s="0">
        <v>102</v>
      </c>
      <c r="N98" s="0" t="inlineStr">
        <is>
          <t>2026-10-02 15:46:03.303 | Minigame: Joaquin | Type: GuitarHit | Outcome: Success | Difficulty: Normal | ExpectedTime: 55.8080 | ActualTime: 55.9988 | TimingOffset: 0.1908 | TimingError: 0.1908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15:46:05.331</t>
        </is>
      </c>
      <c r="C99" s="6" t="inlineStr">
        <is>
          <t>Interaction</t>
        </is>
      </c>
      <c r="D99" s="6" t="inlineStr">
        <is>
          <t>Joaquin</t>
        </is>
      </c>
      <c r="E99" s="6" t="inlineStr">
        <is>
          <t>GuitarHit</t>
        </is>
      </c>
      <c r="F99" s="6" t="inlineStr">
        <is>
          <t>Success</t>
        </is>
      </c>
      <c r="G99" s="6" t="inlineStr">
        <is>
          <t>Normal</t>
        </is>
      </c>
      <c r="K99" s="4">
        <v>0.0862</v>
      </c>
      <c r="M99" s="6">
        <v>103</v>
      </c>
      <c r="N99" s="6" t="inlineStr">
        <is>
          <t>2026-10-02 15:46:05.331 | Minigame: Joaquin | Type: GuitarHit | Outcome: Success | Difficulty: Normal | ExpectedTime: 58.1120 | ActualTime: 58.0258 | TimingOffset: -0.0862 | TimingError: 0.0862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15:46:06.498</t>
        </is>
      </c>
      <c r="C100" s="0" t="inlineStr">
        <is>
          <t>Interaction</t>
        </is>
      </c>
      <c r="D100" s="0" t="inlineStr">
        <is>
          <t>Joaquin</t>
        </is>
      </c>
      <c r="E100" s="0" t="inlineStr">
        <is>
          <t>PlayerHit</t>
        </is>
      </c>
      <c r="F100" s="0" t="inlineStr">
        <is>
          <t>Failed</t>
        </is>
      </c>
      <c r="G100" s="0" t="inlineStr">
        <is>
          <t>Normal</t>
        </is>
      </c>
      <c r="M100" s="0">
        <v>104</v>
      </c>
      <c r="N100" s="0" t="inlineStr">
        <is>
          <t>2026-10-02 15:46:06.498 | Minigame: Joaquin | Type: PlayerHit | Outcome: Failed | Difficulty: Normal | ExpectedTime: 59.1934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15:46:07.929</t>
        </is>
      </c>
      <c r="C101" s="6" t="inlineStr">
        <is>
          <t>Interaction</t>
        </is>
      </c>
      <c r="D101" s="6" t="inlineStr">
        <is>
          <t>Joaquin</t>
        </is>
      </c>
      <c r="E101" s="6" t="inlineStr">
        <is>
          <t>GuitarHit</t>
        </is>
      </c>
      <c r="F101" s="6" t="inlineStr">
        <is>
          <t>Success</t>
        </is>
      </c>
      <c r="G101" s="6" t="inlineStr">
        <is>
          <t>Normal</t>
        </is>
      </c>
      <c r="K101" s="4">
        <v>0.1763</v>
      </c>
      <c r="M101" s="6">
        <v>105</v>
      </c>
      <c r="N101" s="6" t="inlineStr">
        <is>
          <t>2026-10-02 15:46:07.929 | Minigame: Joaquin | Type: GuitarHit | Outcome: Success | Difficulty: Normal | ExpectedTime: 60.8000 | ActualTime: 60.6237 | TimingOffset: -0.1763 | TimingError: 0.1763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15:46:12.930</t>
        </is>
      </c>
      <c r="C102" s="0" t="inlineStr">
        <is>
          <t>PlayerState</t>
        </is>
      </c>
      <c r="H102" s="0" t="inlineStr">
        <is>
          <t>Idle</t>
        </is>
      </c>
      <c r="M102" s="0">
        <v>106</v>
      </c>
      <c r="N102" s="0" t="inlineStr">
        <is>
          <t>2026-10-02 15:46:12.930 | PlayerState: Idle</t>
        </is>
      </c>
    </row>
    <row r="103" ht="17" customHeight="1">
      <c r="A103" s="6">
        <v>102</v>
      </c>
      <c r="B103" s="6" t="inlineStr">
        <is>
          <t>2026-10-02 15:46:13.360</t>
        </is>
      </c>
      <c r="C103" s="6" t="inlineStr">
        <is>
          <t>Interaction</t>
        </is>
      </c>
      <c r="D103" s="6" t="inlineStr">
        <is>
          <t>Shipi</t>
        </is>
      </c>
      <c r="E103" s="6" t="inlineStr">
        <is>
          <t>FoodCut</t>
        </is>
      </c>
      <c r="F103" s="6" t="inlineStr">
        <is>
          <t>Failed</t>
        </is>
      </c>
      <c r="G103" s="6" t="inlineStr">
        <is>
          <t>Normal</t>
        </is>
      </c>
      <c r="K103" s="4">
        <v>0.1979</v>
      </c>
      <c r="L103" s="4">
        <v>0.6469</v>
      </c>
      <c r="M103" s="6">
        <v>107</v>
      </c>
      <c r="N103" s="6" t="inlineStr">
        <is>
          <t>2026-10-02 15:46:13.360 | Minigame: Shipi | Type: FoodCut | Outcome: Failed | Difficulty: Normal | ExpectedTime: 66.2528 | ActualTime: 66.0549 | TimingOffset: -0.1979 | TimingError: 0.1979 | ReactionTime: 0.6469 | SpatialAccuracy: N/A | DirectionAccuracy: 0.0000 | CorrectHand: N/A</t>
        </is>
      </c>
    </row>
    <row r="104" ht="17" customHeight="1">
      <c r="A104" s="0">
        <v>103</v>
      </c>
      <c r="B104" s="0" t="inlineStr">
        <is>
          <t>2026-10-02 15:46:13.360</t>
        </is>
      </c>
      <c r="C104" s="0" t="inlineStr">
        <is>
          <t>PlayerState</t>
        </is>
      </c>
      <c r="H104" s="0" t="inlineStr">
        <is>
          <t>Engaged</t>
        </is>
      </c>
      <c r="M104" s="0">
        <v>108</v>
      </c>
      <c r="N104" s="0" t="inlineStr">
        <is>
          <t>2026-10-02 15:46:13.360 | PlayerState: Engaged</t>
        </is>
      </c>
    </row>
    <row r="105" ht="17" customHeight="1">
      <c r="A105" s="6">
        <v>104</v>
      </c>
      <c r="B105" s="6" t="inlineStr">
        <is>
          <t>2026-10-02 15:46:14.304</t>
        </is>
      </c>
      <c r="C105" s="6" t="inlineStr">
        <is>
          <t>Interaction</t>
        </is>
      </c>
      <c r="D105" s="6" t="inlineStr">
        <is>
          <t>Shipi</t>
        </is>
      </c>
      <c r="E105" s="6" t="inlineStr">
        <is>
          <t>FoodCut</t>
        </is>
      </c>
      <c r="F105" s="6" t="inlineStr">
        <is>
          <t>Failed</t>
        </is>
      </c>
      <c r="G105" s="6" t="inlineStr">
        <is>
          <t>Normal</t>
        </is>
      </c>
      <c r="K105" s="4">
        <v>0.7894</v>
      </c>
      <c r="L105" s="4">
        <v>0.0554</v>
      </c>
      <c r="M105" s="6">
        <v>109</v>
      </c>
      <c r="N105" s="6" t="inlineStr">
        <is>
          <t>2026-10-02 15:46:14.304 | Minigame: Shipi | Type: FoodCut | Outcome: Failed | Difficulty: Normal | ExpectedTime: 67.7888 | ActualTime: 66.9994 | TimingOffset: -0.7894 | TimingError: 0.7894 | ReactionTime: 0.0554 | SpatialAccuracy: N/A | DirectionAccuracy: 0.0000 | CorrectHand: N/A</t>
        </is>
      </c>
    </row>
    <row r="106" ht="17" customHeight="1">
      <c r="A106" s="0">
        <v>105</v>
      </c>
      <c r="B106" s="0" t="inlineStr">
        <is>
          <t>2026-10-02 15:46:16.318</t>
        </is>
      </c>
      <c r="C106" s="0" t="inlineStr">
        <is>
          <t>Interaction</t>
        </is>
      </c>
      <c r="D106" s="0" t="inlineStr">
        <is>
          <t>Shipi</t>
        </is>
      </c>
      <c r="E106" s="0" t="inlineStr">
        <is>
          <t>FoodCut</t>
        </is>
      </c>
      <c r="F106" s="0" t="inlineStr">
        <is>
          <t>Failed</t>
        </is>
      </c>
      <c r="G106" s="0" t="inlineStr">
        <is>
          <t>Normal</t>
        </is>
      </c>
      <c r="M106" s="0">
        <v>110</v>
      </c>
      <c r="N106" s="0" t="inlineStr">
        <is>
          <t>2026-10-02 15:46:16.318 | Minigame: Shipi | Type: FoodCut | Outcome: Failed | Difficulty: Normal | ExpectedTime: 69.3248 | ActualTime: N/A | TimingOffset: N/A | TimingError: N/A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15:46:18.067</t>
        </is>
      </c>
      <c r="C107" s="6" t="inlineStr">
        <is>
          <t>Interaction</t>
        </is>
      </c>
      <c r="D107" s="6" t="inlineStr">
        <is>
          <t>Shipi</t>
        </is>
      </c>
      <c r="E107" s="6" t="inlineStr">
        <is>
          <t>FoodCut</t>
        </is>
      </c>
      <c r="F107" s="6" t="inlineStr">
        <is>
          <t>Success</t>
        </is>
      </c>
      <c r="G107" s="6" t="inlineStr">
        <is>
          <t>Normal</t>
        </is>
      </c>
      <c r="K107" s="4">
        <v>0.0988</v>
      </c>
      <c r="L107" s="4">
        <v>0.746</v>
      </c>
      <c r="M107" s="6">
        <v>111</v>
      </c>
      <c r="N107" s="6" t="inlineStr">
        <is>
          <t>2026-10-02 15:46:18.067 | Minigame: Shipi | Type: FoodCut | Outcome: Success | Difficulty: Normal | ExpectedTime: 70.8608 | ActualTime: 70.7620 | TimingOffset: -0.0988 | TimingError: 0.0988 | ReactionTime: 0.7460 | SpatialAccuracy: N/A | DirectionAccuracy: 1.0000 | CorrectHand: N/A</t>
        </is>
      </c>
    </row>
    <row r="108" ht="17" customHeight="1">
      <c r="A108" s="0">
        <v>107</v>
      </c>
      <c r="B108" s="0" t="inlineStr">
        <is>
          <t>2026-10-02 15:46:20.400</t>
        </is>
      </c>
      <c r="C108" s="0" t="inlineStr">
        <is>
          <t>Interaction</t>
        </is>
      </c>
      <c r="D108" s="0" t="inlineStr">
        <is>
          <t>Shipi</t>
        </is>
      </c>
      <c r="E108" s="0" t="inlineStr">
        <is>
          <t>FoodClear</t>
        </is>
      </c>
      <c r="F108" s="0" t="inlineStr">
        <is>
          <t>Success</t>
        </is>
      </c>
      <c r="G108" s="0" t="inlineStr">
        <is>
          <t>Normal</t>
        </is>
      </c>
      <c r="M108" s="0">
        <v>112</v>
      </c>
      <c r="N108" s="0" t="inlineStr">
        <is>
          <t>2026-10-02 15:46:20.400 | Minigame: Shipi | Type: FoodClear | Outcome: Success | Difficulty: Normal | ExpectedTime: 72.3968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15:46:20.401</t>
        </is>
      </c>
      <c r="C109" s="6" t="inlineStr">
        <is>
          <t>PlayerState</t>
        </is>
      </c>
      <c r="H109" s="6" t="inlineStr">
        <is>
          <t>Overloaded</t>
        </is>
      </c>
      <c r="M109" s="6">
        <v>113</v>
      </c>
      <c r="N109" s="6" t="inlineStr">
        <is>
          <t>2026-10-02 15:46:20.401 | PlayerState: Overloaded</t>
        </is>
      </c>
    </row>
    <row r="110" ht="17" customHeight="1">
      <c r="A110" s="0">
        <v>109</v>
      </c>
      <c r="B110" s="0" t="inlineStr">
        <is>
          <t>2026-10-02 15:46:20.401</t>
        </is>
      </c>
      <c r="C110" s="0" t="inlineStr">
        <is>
          <t>DifficultyChanged</t>
        </is>
      </c>
      <c r="D110" s="0" t="inlineStr">
        <is>
          <t>Shipi</t>
        </is>
      </c>
      <c r="I110" s="0" t="inlineStr">
        <is>
          <t>Normal -&gt; Easy</t>
        </is>
      </c>
      <c r="J110" s="0" t="inlineStr">
        <is>
          <t>PlayerState: Overloaded</t>
        </is>
      </c>
      <c r="M110" s="0">
        <v>114</v>
      </c>
      <c r="N110" s="0" t="inlineStr">
        <is>
          <t>2026-10-02 15:46:20.401 | DifficultyChanged: Normal -&gt; Easy | Reason: PlayerState: Overloaded | Minigame: Shipi | RecentSuccessRate: 0.25</t>
        </is>
      </c>
    </row>
    <row r="111" ht="17" customHeight="1">
      <c r="A111" s="6">
        <v>110</v>
      </c>
      <c r="B111" s="6" t="inlineStr">
        <is>
          <t>2026-10-02 15:46:20.415</t>
        </is>
      </c>
      <c r="C111" s="6" t="inlineStr">
        <is>
          <t>PlayerState</t>
        </is>
      </c>
      <c r="H111" s="6" t="inlineStr">
        <is>
          <t>Engaged</t>
        </is>
      </c>
      <c r="M111" s="6">
        <v>115</v>
      </c>
      <c r="N111" s="6" t="inlineStr">
        <is>
          <t>2026-10-02 15:46:20.415 | PlayerState: Engaged</t>
        </is>
      </c>
    </row>
    <row r="112" ht="17" customHeight="1">
      <c r="A112" s="0">
        <v>111</v>
      </c>
      <c r="B112" s="0" t="inlineStr">
        <is>
          <t>2026-10-02 15:46:21.123</t>
        </is>
      </c>
      <c r="C112" s="0" t="inlineStr">
        <is>
          <t>Interaction</t>
        </is>
      </c>
      <c r="D112" s="0" t="inlineStr">
        <is>
          <t>Shipi</t>
        </is>
      </c>
      <c r="E112" s="0" t="inlineStr">
        <is>
          <t>FoodCut</t>
        </is>
      </c>
      <c r="F112" s="0" t="inlineStr">
        <is>
          <t>Failed</t>
        </is>
      </c>
      <c r="G112" s="0" t="inlineStr">
        <is>
          <t>Normal</t>
        </is>
      </c>
      <c r="K112" s="4">
        <v>0.1151</v>
      </c>
      <c r="L112" s="4">
        <v>0.7297</v>
      </c>
      <c r="M112" s="0">
        <v>116</v>
      </c>
      <c r="N112" s="0" t="inlineStr">
        <is>
          <t>2026-10-02 15:46:21.123 | Minigame: Shipi | Type: FoodCut | Outcome: Failed | Difficulty: Normal | ExpectedTime: 73.9328 | ActualTime: 73.8177 | TimingOffset: -0.1151 | TimingError: 0.1151 | ReactionTime: 0.7297 | SpatialAccuracy: N/A | DirectionAccuracy: 0.0000 | CorrectHand: N/A</t>
        </is>
      </c>
    </row>
    <row r="113" ht="17" customHeight="1">
      <c r="A113" s="6">
        <v>112</v>
      </c>
      <c r="B113" s="6" t="inlineStr">
        <is>
          <t>2026-10-02 15:46:23.068</t>
        </is>
      </c>
      <c r="C113" s="6" t="inlineStr">
        <is>
          <t>PlayerState</t>
        </is>
      </c>
      <c r="H113" s="6" t="inlineStr">
        <is>
          <t>Idle</t>
        </is>
      </c>
      <c r="M113" s="6">
        <v>117</v>
      </c>
      <c r="N113" s="6" t="inlineStr">
        <is>
          <t>2026-10-02 15:46:23.068 | PlayerState: Idle</t>
        </is>
      </c>
    </row>
    <row r="114" ht="17" customHeight="1">
      <c r="A114" s="0">
        <v>113</v>
      </c>
      <c r="B114" s="0" t="inlineStr">
        <is>
          <t>2026-10-02 15:46:23.151</t>
        </is>
      </c>
      <c r="C114" s="0" t="inlineStr">
        <is>
          <t>Interaction</t>
        </is>
      </c>
      <c r="D114" s="0" t="inlineStr">
        <is>
          <t>Shipi</t>
        </is>
      </c>
      <c r="E114" s="0" t="inlineStr">
        <is>
          <t>FoodCut</t>
        </is>
      </c>
      <c r="F114" s="0" t="inlineStr">
        <is>
          <t>Success</t>
        </is>
      </c>
      <c r="G114" s="0" t="inlineStr">
        <is>
          <t>Normal</t>
        </is>
      </c>
      <c r="K114" s="4">
        <v>0.2176</v>
      </c>
      <c r="L114" s="4">
        <v>0.8384</v>
      </c>
      <c r="M114" s="0">
        <v>118</v>
      </c>
      <c r="N114" s="0" t="inlineStr">
        <is>
          <t>2026-10-02 15:46:23.151 | Minigame: Shipi | Type: FoodCut | Outcome: Success | Difficulty: Normal | ExpectedTime: 76.0640 | ActualTime: 75.8464 | TimingOffset: -0.2176 | TimingError: 0.2176 | ReactionTime: 0.8384 | SpatialAccuracy: N/A | DirectionAccuracy: 1.0000 | CorrectHand: N/A</t>
        </is>
      </c>
    </row>
    <row r="115" ht="17" customHeight="1">
      <c r="A115" s="6">
        <v>114</v>
      </c>
      <c r="B115" s="6" t="inlineStr">
        <is>
          <t>2026-10-02 15:46:24.859</t>
        </is>
      </c>
      <c r="C115" s="6" t="inlineStr">
        <is>
          <t>Interaction</t>
        </is>
      </c>
      <c r="D115" s="6" t="inlineStr">
        <is>
          <t>Shipi</t>
        </is>
      </c>
      <c r="E115" s="6" t="inlineStr">
        <is>
          <t>FoodCut</t>
        </is>
      </c>
      <c r="F115" s="6" t="inlineStr">
        <is>
          <t>Failed</t>
        </is>
      </c>
      <c r="G115" s="6" t="inlineStr">
        <is>
          <t>Easy</t>
        </is>
      </c>
      <c r="K115" s="4">
        <v>0.429</v>
      </c>
      <c r="L115" s="4">
        <v>0.627</v>
      </c>
      <c r="M115" s="6">
        <v>119</v>
      </c>
      <c r="N115" s="6" t="inlineStr">
        <is>
          <t>2026-10-02 15:46:24.859 | Minigame: Shipi | Type: FoodCut | Outcome: Failed | Difficulty: Easy | ExpectedTime: 77.9840 | ActualTime: 77.5550 | TimingOffset: -0.4290 | TimingError: 0.4290 | ReactionTime: 0.6270 | SpatialAccuracy: N/A | DirectionAccuracy: 0.0000 | CorrectHand: N/A</t>
        </is>
      </c>
    </row>
    <row r="116" ht="17" customHeight="1">
      <c r="A116" s="0">
        <v>115</v>
      </c>
      <c r="B116" s="0" t="inlineStr">
        <is>
          <t>2026-10-02 15:46:24.861</t>
        </is>
      </c>
      <c r="C116" s="0" t="inlineStr">
        <is>
          <t>PlayerState</t>
        </is>
      </c>
      <c r="H116" s="0" t="inlineStr">
        <is>
          <t>Engaged</t>
        </is>
      </c>
      <c r="M116" s="0">
        <v>120</v>
      </c>
      <c r="N116" s="0" t="inlineStr">
        <is>
          <t>2026-10-02 15:46:24.861 | PlayerState: Engaged</t>
        </is>
      </c>
    </row>
    <row r="117" ht="17" customHeight="1">
      <c r="A117" s="6">
        <v>116</v>
      </c>
      <c r="B117" s="6" t="inlineStr">
        <is>
          <t>2026-10-02 15:46:27.431</t>
        </is>
      </c>
      <c r="C117" s="6" t="inlineStr">
        <is>
          <t>Interaction</t>
        </is>
      </c>
      <c r="D117" s="6" t="inlineStr">
        <is>
          <t>Shipi</t>
        </is>
      </c>
      <c r="E117" s="6" t="inlineStr">
        <is>
          <t>FoodCut</t>
        </is>
      </c>
      <c r="F117" s="6" t="inlineStr">
        <is>
          <t>Success</t>
        </is>
      </c>
      <c r="G117" s="6" t="inlineStr">
        <is>
          <t>Easy</t>
        </is>
      </c>
      <c r="K117" s="4">
        <v>0.2215</v>
      </c>
      <c r="L117" s="4">
        <v>1.2775</v>
      </c>
      <c r="M117" s="6">
        <v>121</v>
      </c>
      <c r="N117" s="6" t="inlineStr">
        <is>
          <t>2026-10-02 15:46:27.431 | Minigame: Shipi | Type: FoodCut | Outcome: Success | Difficulty: Easy | ExpectedTime: 79.9040 | ActualTime: 80.1255 | TimingOffset: 0.2215 | TimingError: 0.2215 | ReactionTime: 1.2775 | SpatialAccuracy: N/A | DirectionAccuracy: 1.0000 | CorrectHand: N/A</t>
        </is>
      </c>
    </row>
    <row r="118" ht="17" customHeight="1">
      <c r="A118" s="0">
        <v>117</v>
      </c>
      <c r="B118" s="0" t="inlineStr">
        <is>
          <t>2026-10-02 15:46:29.027</t>
        </is>
      </c>
      <c r="C118" s="0" t="inlineStr">
        <is>
          <t>Interaction</t>
        </is>
      </c>
      <c r="D118" s="0" t="inlineStr">
        <is>
          <t>Shipi</t>
        </is>
      </c>
      <c r="E118" s="0" t="inlineStr">
        <is>
          <t>FoodCut</t>
        </is>
      </c>
      <c r="F118" s="0" t="inlineStr">
        <is>
          <t>Success</t>
        </is>
      </c>
      <c r="G118" s="0" t="inlineStr">
        <is>
          <t>Easy</t>
        </is>
      </c>
      <c r="K118" s="4">
        <v>0.1017</v>
      </c>
      <c r="L118" s="4">
        <v>0.9543</v>
      </c>
      <c r="M118" s="0">
        <v>122</v>
      </c>
      <c r="N118" s="0" t="inlineStr">
        <is>
          <t>2026-10-02 15:46:29.027 | Minigame: Shipi | Type: FoodCut | Outcome: Success | Difficulty: Easy | ExpectedTime: 81.8240 | ActualTime: 81.7223 | TimingOffset: -0.1017 | TimingError: 0.1017 | ReactionTime: 0.9543 | SpatialAccuracy: N/A | DirectionAccuracy: 1.0000 | CorrectHand: N/A</t>
        </is>
      </c>
    </row>
    <row r="119" ht="17" customHeight="1">
      <c r="A119" s="6">
        <v>118</v>
      </c>
      <c r="B119" s="6" t="inlineStr">
        <is>
          <t>2026-10-02 15:46:30.763</t>
        </is>
      </c>
      <c r="C119" s="6" t="inlineStr">
        <is>
          <t>Interaction</t>
        </is>
      </c>
      <c r="D119" s="6" t="inlineStr">
        <is>
          <t>Shipi</t>
        </is>
      </c>
      <c r="E119" s="6" t="inlineStr">
        <is>
          <t>FoodCut</t>
        </is>
      </c>
      <c r="F119" s="6" t="inlineStr">
        <is>
          <t>Failed</t>
        </is>
      </c>
      <c r="G119" s="6" t="inlineStr">
        <is>
          <t>Easy</t>
        </is>
      </c>
      <c r="K119" s="4">
        <v>0.2863</v>
      </c>
      <c r="L119" s="4">
        <v>0.7697</v>
      </c>
      <c r="M119" s="6">
        <v>123</v>
      </c>
      <c r="N119" s="6" t="inlineStr">
        <is>
          <t>2026-10-02 15:46:30.763 | Minigame: Shipi | Type: FoodCut | Outcome: Failed | Difficulty: Easy | ExpectedTime: 83.7440 | ActualTime: 83.4577 | TimingOffset: -0.2863 | TimingError: 0.2863 | ReactionTime: 0.7697 | SpatialAccuracy: N/A | DirectionAccuracy: 0.0000 | CorrectHand: N/A</t>
        </is>
      </c>
    </row>
    <row r="120" ht="17" customHeight="1">
      <c r="A120" s="0">
        <v>119</v>
      </c>
      <c r="B120" s="0" t="inlineStr">
        <is>
          <t>2026-10-02 15:46:32.624</t>
        </is>
      </c>
      <c r="C120" s="0" t="inlineStr">
        <is>
          <t>Interaction</t>
        </is>
      </c>
      <c r="D120" s="0" t="inlineStr">
        <is>
          <t>Shipi</t>
        </is>
      </c>
      <c r="E120" s="0" t="inlineStr">
        <is>
          <t>FoodCut</t>
        </is>
      </c>
      <c r="F120" s="0" t="inlineStr">
        <is>
          <t>Success</t>
        </is>
      </c>
      <c r="G120" s="0" t="inlineStr">
        <is>
          <t>Easy</t>
        </is>
      </c>
      <c r="K120" s="4">
        <v>0.3455</v>
      </c>
      <c r="L120" s="4">
        <v>0.7105</v>
      </c>
      <c r="M120" s="0">
        <v>124</v>
      </c>
      <c r="N120" s="0" t="inlineStr">
        <is>
          <t>2026-10-02 15:46:32.624 | Minigame: Shipi | Type: FoodCut | Outcome: Success | Difficulty: Easy | ExpectedTime: 85.6640 | ActualTime: 85.3185 | TimingOffset: -0.3455 | TimingError: 0.3455 | ReactionTime: 0.7105 | SpatialAccuracy: N/A | DirectionAccuracy: 1.0000 | CorrectHand: N/A</t>
        </is>
      </c>
    </row>
    <row r="121" ht="17" customHeight="1">
      <c r="A121" s="6">
        <v>120</v>
      </c>
      <c r="B121" s="6" t="inlineStr">
        <is>
          <t>2026-10-02 15:46:35.762</t>
        </is>
      </c>
      <c r="C121" s="6" t="inlineStr">
        <is>
          <t>Interaction</t>
        </is>
      </c>
      <c r="D121" s="6" t="inlineStr">
        <is>
          <t>Shipi</t>
        </is>
      </c>
      <c r="E121" s="6" t="inlineStr">
        <is>
          <t>FoodClear</t>
        </is>
      </c>
      <c r="F121" s="6" t="inlineStr">
        <is>
          <t>Success</t>
        </is>
      </c>
      <c r="G121" s="6" t="inlineStr">
        <is>
          <t>Easy</t>
        </is>
      </c>
      <c r="M121" s="6">
        <v>125</v>
      </c>
      <c r="N121" s="6" t="inlineStr">
        <is>
          <t>2026-10-02 15:46:35.762 | Minigame: Shipi | Type: FoodClear | Outcome: Success | Difficulty: Easy | ExpectedTime: 87.5840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15:46:37.623</t>
        </is>
      </c>
      <c r="C122" s="0" t="inlineStr">
        <is>
          <t>PlayerState</t>
        </is>
      </c>
      <c r="H122" s="0" t="inlineStr">
        <is>
          <t>Idle</t>
        </is>
      </c>
      <c r="M122" s="0">
        <v>126</v>
      </c>
      <c r="N122" s="0" t="inlineStr">
        <is>
          <t>2026-10-02 15:46:37.623 | PlayerState: Idle</t>
        </is>
      </c>
    </row>
    <row r="123" ht="17" customHeight="1">
      <c r="A123" s="6">
        <v>122</v>
      </c>
      <c r="B123" s="6" t="inlineStr">
        <is>
          <t>2026-10-02 15:46:37.679</t>
        </is>
      </c>
      <c r="C123" s="6" t="inlineStr">
        <is>
          <t>Interaction</t>
        </is>
      </c>
      <c r="D123" s="6" t="inlineStr">
        <is>
          <t>Shipi</t>
        </is>
      </c>
      <c r="E123" s="6" t="inlineStr">
        <is>
          <t>FoodClear</t>
        </is>
      </c>
      <c r="F123" s="6" t="inlineStr">
        <is>
          <t>Success</t>
        </is>
      </c>
      <c r="G123" s="6" t="inlineStr">
        <is>
          <t>Easy</t>
        </is>
      </c>
      <c r="M123" s="6">
        <v>127</v>
      </c>
      <c r="N123" s="6" t="inlineStr">
        <is>
          <t>2026-10-02 15:46:37.679 | Minigame: Shipi | Type: FoodClear | Outcome: Success | Difficulty: Easy | ExpectedTime: 89.5040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15:46:38.484</t>
        </is>
      </c>
      <c r="C124" s="0" t="inlineStr">
        <is>
          <t>Interaction</t>
        </is>
      </c>
      <c r="D124" s="0" t="inlineStr">
        <is>
          <t>Shipi</t>
        </is>
      </c>
      <c r="E124" s="0" t="inlineStr">
        <is>
          <t>FoodCut</t>
        </is>
      </c>
      <c r="F124" s="0" t="inlineStr">
        <is>
          <t>Failed</t>
        </is>
      </c>
      <c r="G124" s="0" t="inlineStr">
        <is>
          <t>Easy</t>
        </is>
      </c>
      <c r="K124" s="4">
        <v>0.2455</v>
      </c>
      <c r="L124" s="4">
        <v>0.8105</v>
      </c>
      <c r="M124" s="0">
        <v>128</v>
      </c>
      <c r="N124" s="0" t="inlineStr">
        <is>
          <t>2026-10-02 15:46:38.484 | Minigame: Shipi | Type: FoodCut | Outcome: Failed | Difficulty: Easy | ExpectedTime: 91.4240 | ActualTime: 91.1785 | TimingOffset: -0.2455 | TimingError: 0.2455 | ReactionTime: 0.8105 | SpatialAccuracy: N/A | DirectionAccuracy: 0.0000 | CorrectHand: N/A</t>
        </is>
      </c>
    </row>
    <row r="125" ht="17" customHeight="1">
      <c r="A125" s="6">
        <v>124</v>
      </c>
      <c r="B125" s="6" t="inlineStr">
        <is>
          <t>2026-10-02 15:46:38.484</t>
        </is>
      </c>
      <c r="C125" s="6" t="inlineStr">
        <is>
          <t>PlayerState</t>
        </is>
      </c>
      <c r="H125" s="6" t="inlineStr">
        <is>
          <t>Engaged</t>
        </is>
      </c>
      <c r="M125" s="6">
        <v>129</v>
      </c>
      <c r="N125" s="6" t="inlineStr">
        <is>
          <t>2026-10-02 15:46:38.484 | PlayerState: Engaged</t>
        </is>
      </c>
    </row>
    <row r="126" ht="17" customHeight="1">
      <c r="A126" s="0">
        <v>125</v>
      </c>
      <c r="B126" s="0" t="inlineStr">
        <is>
          <t>2026-10-02 15:46:40.429</t>
        </is>
      </c>
      <c r="C126" s="0" t="inlineStr">
        <is>
          <t>Interaction</t>
        </is>
      </c>
      <c r="D126" s="0" t="inlineStr">
        <is>
          <t>Shipi</t>
        </is>
      </c>
      <c r="E126" s="0" t="inlineStr">
        <is>
          <t>FoodCut</t>
        </is>
      </c>
      <c r="F126" s="0" t="inlineStr">
        <is>
          <t>Failed</t>
        </is>
      </c>
      <c r="G126" s="0" t="inlineStr">
        <is>
          <t>Easy</t>
        </is>
      </c>
      <c r="K126" s="4">
        <v>0.2202</v>
      </c>
      <c r="L126" s="4">
        <v>0.8358</v>
      </c>
      <c r="M126" s="0">
        <v>130</v>
      </c>
      <c r="N126" s="0" t="inlineStr">
        <is>
          <t>2026-10-02 15:46:40.429 | Minigame: Shipi | Type: FoodCut | Outcome: Failed | Difficulty: Easy | ExpectedTime: 93.3440 | ActualTime: 93.1238 | TimingOffset: -0.2202 | TimingError: 0.2202 | ReactionTime: 0.8358 | SpatialAccuracy: N/A | DirectionAccuracy: 0.0000 | CorrectHand: N/A</t>
        </is>
      </c>
    </row>
    <row r="127" ht="17" customHeight="1">
      <c r="A127" s="6">
        <v>126</v>
      </c>
      <c r="B127" s="6" t="inlineStr">
        <is>
          <t>2026-10-02 15:46:45.428</t>
        </is>
      </c>
      <c r="C127" s="6" t="inlineStr">
        <is>
          <t>PlayerState</t>
        </is>
      </c>
      <c r="H127" s="6" t="inlineStr">
        <is>
          <t>Idle</t>
        </is>
      </c>
      <c r="M127" s="6">
        <v>131</v>
      </c>
      <c r="N127" s="6" t="inlineStr">
        <is>
          <t>2026-10-02 15:46:45.428 | PlayerState: Idle</t>
        </is>
      </c>
    </row>
    <row r="128" ht="17" customHeight="1">
      <c r="A128" s="0">
        <v>127</v>
      </c>
      <c r="B128" s="0" t="inlineStr">
        <is>
          <t>2026-10-02 15:46:46.983</t>
        </is>
      </c>
      <c r="C128" s="0" t="inlineStr">
        <is>
          <t>Interaction</t>
        </is>
      </c>
      <c r="D128" s="0" t="inlineStr">
        <is>
          <t>JuanAndres</t>
        </is>
      </c>
      <c r="E128" s="0" t="inlineStr">
        <is>
          <t>GroomStroke</t>
        </is>
      </c>
      <c r="F128" s="0" t="inlineStr">
        <is>
          <t>Success</t>
        </is>
      </c>
      <c r="G128" s="0" t="inlineStr">
        <is>
          <t>Easy</t>
        </is>
      </c>
      <c r="K128" s="4">
        <v>3.4943</v>
      </c>
      <c r="M128" s="0">
        <v>132</v>
      </c>
      <c r="N128" s="0" t="inlineStr">
        <is>
          <t>2026-10-02 15:46:46.983 | Minigame: JuanAndres | Type: GroomStroke | Outcome: Success | Difficulty: Easy | ExpectedTime: 96.1280 | ActualTime: 99.6223 | TimingOffset: 3.4943 | TimingError: 3.4943 | ReactionTime: N/A | SpatialAccuracy: N/A | DirectionAccuracy: 1.0000 | CorrectHand: True</t>
        </is>
      </c>
    </row>
    <row r="129" ht="17" customHeight="1">
      <c r="A129" s="6">
        <v>128</v>
      </c>
      <c r="B129" s="6" t="inlineStr">
        <is>
          <t>2026-10-02 15:46:46.983</t>
        </is>
      </c>
      <c r="C129" s="6" t="inlineStr">
        <is>
          <t>PlayerState</t>
        </is>
      </c>
      <c r="H129" s="6" t="inlineStr">
        <is>
          <t>Engaged</t>
        </is>
      </c>
      <c r="M129" s="6">
        <v>133</v>
      </c>
      <c r="N129" s="6" t="inlineStr">
        <is>
          <t>2026-10-02 15:46:46.983 | PlayerState: Engaged</t>
        </is>
      </c>
    </row>
    <row r="130" ht="17" customHeight="1">
      <c r="A130" s="0">
        <v>129</v>
      </c>
      <c r="B130" s="0" t="inlineStr">
        <is>
          <t>2026-10-02 15:46:48.289</t>
        </is>
      </c>
      <c r="C130" s="0" t="inlineStr">
        <is>
          <t>Interaction</t>
        </is>
      </c>
      <c r="D130" s="0" t="inlineStr">
        <is>
          <t>JuanAndres</t>
        </is>
      </c>
      <c r="E130" s="0" t="inlineStr">
        <is>
          <t>GroomStroke</t>
        </is>
      </c>
      <c r="F130" s="0" t="inlineStr">
        <is>
          <t>Missed</t>
        </is>
      </c>
      <c r="G130" s="0" t="inlineStr">
        <is>
          <t>Easy</t>
        </is>
      </c>
      <c r="M130" s="0">
        <v>134</v>
      </c>
      <c r="N130" s="0" t="inlineStr">
        <is>
          <t>2026-10-02 15:46:48.289 | Minigame: JuanAndres | Type: GroomStroke | Outcome: Missed | Difficulty: Easy | ExpectedTime: 94.9760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15:46:49.608</t>
        </is>
      </c>
      <c r="C131" s="6" t="inlineStr">
        <is>
          <t>Interaction</t>
        </is>
      </c>
      <c r="D131" s="6" t="inlineStr">
        <is>
          <t>JuanAndres</t>
        </is>
      </c>
      <c r="E131" s="6" t="inlineStr">
        <is>
          <t>GroomStroke</t>
        </is>
      </c>
      <c r="F131" s="6" t="inlineStr">
        <is>
          <t>Failed</t>
        </is>
      </c>
      <c r="G131" s="6" t="inlineStr">
        <is>
          <t>Easy</t>
        </is>
      </c>
      <c r="K131" s="4">
        <v>1.0577</v>
      </c>
      <c r="M131" s="6">
        <v>135</v>
      </c>
      <c r="N131" s="6" t="inlineStr">
        <is>
          <t>2026-10-02 15:46:49.608 | Minigame: JuanAndres | Type: GroomStroke | Outcome: Failed | Difficulty: Easy | ExpectedTime: 101.1200 | ActualTime: 102.1777 | TimingOffset: 1.0577 | TimingError: 1.0577 | ReactionTime: N/A | SpatialAccuracy: N/A | DirectionAccuracy: 0.0000 | CorrectHand: True</t>
        </is>
      </c>
    </row>
    <row r="132" ht="17" customHeight="1">
      <c r="A132" s="0">
        <v>131</v>
      </c>
      <c r="B132" s="0" t="inlineStr">
        <is>
          <t>2026-10-02 15:46:50.650</t>
        </is>
      </c>
      <c r="C132" s="0" t="inlineStr">
        <is>
          <t>Interaction</t>
        </is>
      </c>
      <c r="D132" s="0" t="inlineStr">
        <is>
          <t>JuanAndres</t>
        </is>
      </c>
      <c r="E132" s="0" t="inlineStr">
        <is>
          <t>GroomStroke</t>
        </is>
      </c>
      <c r="F132" s="0" t="inlineStr">
        <is>
          <t>Success</t>
        </is>
      </c>
      <c r="G132" s="0" t="inlineStr">
        <is>
          <t>Easy</t>
        </is>
      </c>
      <c r="K132" s="4">
        <v>0.6189</v>
      </c>
      <c r="M132" s="0">
        <v>136</v>
      </c>
      <c r="N132" s="0" t="inlineStr">
        <is>
          <t>2026-10-02 15:46:50.650 | Minigame: JuanAndres | Type: GroomStroke | Outcome: Success | Difficulty: Easy | ExpectedTime: 102.6560 | ActualTime: 103.2749 | TimingOffset: 0.6189 | TimingError: 0.6189 | ReactionTime: N/A | SpatialAccuracy: N/A | DirectionAccuracy: 1.0000 | CorrectHand: True</t>
        </is>
      </c>
    </row>
    <row r="133" ht="17" customHeight="1">
      <c r="A133" s="6">
        <v>132</v>
      </c>
      <c r="B133" s="6" t="inlineStr">
        <is>
          <t>2026-10-02 15:46:52.566</t>
        </is>
      </c>
      <c r="C133" s="6" t="inlineStr">
        <is>
          <t>Interaction</t>
        </is>
      </c>
      <c r="D133" s="6" t="inlineStr">
        <is>
          <t>JuanAndres</t>
        </is>
      </c>
      <c r="E133" s="6" t="inlineStr">
        <is>
          <t>GroomStroke</t>
        </is>
      </c>
      <c r="F133" s="6" t="inlineStr">
        <is>
          <t>Failed</t>
        </is>
      </c>
      <c r="G133" s="6" t="inlineStr">
        <is>
          <t>Easy</t>
        </is>
      </c>
      <c r="K133" s="4">
        <v>0.463</v>
      </c>
      <c r="M133" s="6">
        <v>137</v>
      </c>
      <c r="N133" s="6" t="inlineStr">
        <is>
          <t>2026-10-02 15:46:52.566 | Minigame: JuanAndres | Type: GroomStroke | Outcome: Failed | Difficulty: Easy | ExpectedTime: 104.9600 | ActualTime: 104.4970 | TimingOffset: -0.4630 | TimingError: 0.4630 | ReactionTime: N/A | SpatialAccuracy: N/A | DirectionAccuracy: 1.0000 | CorrectHand: False</t>
        </is>
      </c>
    </row>
    <row r="134" ht="17" customHeight="1">
      <c r="A134" s="0">
        <v>133</v>
      </c>
      <c r="B134" s="0" t="inlineStr">
        <is>
          <t>2026-10-02 15:46:52.566</t>
        </is>
      </c>
      <c r="C134" s="0" t="inlineStr">
        <is>
          <t>PlayerState</t>
        </is>
      </c>
      <c r="H134" s="0" t="inlineStr">
        <is>
          <t>Overloaded</t>
        </is>
      </c>
      <c r="M134" s="0">
        <v>138</v>
      </c>
      <c r="N134" s="0" t="inlineStr">
        <is>
          <t>2026-10-02 15:46:52.566 | PlayerState: Overloaded</t>
        </is>
      </c>
    </row>
    <row r="135" ht="17" customHeight="1">
      <c r="A135" s="6">
        <v>134</v>
      </c>
      <c r="B135" s="6" t="inlineStr">
        <is>
          <t>2026-10-02 15:46:53.720</t>
        </is>
      </c>
      <c r="C135" s="6" t="inlineStr">
        <is>
          <t>Interaction</t>
        </is>
      </c>
      <c r="D135" s="6" t="inlineStr">
        <is>
          <t>JuanAndres</t>
        </is>
      </c>
      <c r="E135" s="6" t="inlineStr">
        <is>
          <t>GroomStroke</t>
        </is>
      </c>
      <c r="F135" s="6" t="inlineStr">
        <is>
          <t>Success</t>
        </is>
      </c>
      <c r="G135" s="6" t="inlineStr">
        <is>
          <t>Easy</t>
        </is>
      </c>
      <c r="K135" s="4">
        <v>2.1666</v>
      </c>
      <c r="M135" s="6">
        <v>139</v>
      </c>
      <c r="N135" s="6" t="inlineStr">
        <is>
          <t>2026-10-02 15:46:53.720 | Minigame: JuanAndres | Type: GroomStroke | Outcome: Success | Difficulty: Easy | ExpectedTime: 104.1920 | ActualTime: 106.3586 | TimingOffset: 2.1666 | TimingError: 2.1666 | ReactionTime: N/A | SpatialAccuracy: N/A | DirectionAccuracy: 1.0000 | CorrectHand: True</t>
        </is>
      </c>
    </row>
    <row r="136" ht="17" customHeight="1">
      <c r="A136" s="0">
        <v>135</v>
      </c>
      <c r="B136" s="0" t="inlineStr">
        <is>
          <t>2026-10-02 15:46:55.039</t>
        </is>
      </c>
      <c r="C136" s="0" t="inlineStr">
        <is>
          <t>Interaction</t>
        </is>
      </c>
      <c r="D136" s="0" t="inlineStr">
        <is>
          <t>JuanAndres</t>
        </is>
      </c>
      <c r="E136" s="0" t="inlineStr">
        <is>
          <t>GroomStroke</t>
        </is>
      </c>
      <c r="F136" s="0" t="inlineStr">
        <is>
          <t>Failed</t>
        </is>
      </c>
      <c r="G136" s="0" t="inlineStr">
        <is>
          <t>Easy</t>
        </is>
      </c>
      <c r="K136" s="4">
        <v>0.7568</v>
      </c>
      <c r="M136" s="0">
        <v>140</v>
      </c>
      <c r="N136" s="0" t="inlineStr">
        <is>
          <t>2026-10-02 15:46:55.039 | Minigame: JuanAndres | Type: GroomStroke | Outcome: Failed | Difficulty: Easy | ExpectedTime: 106.8800 | ActualTime: 107.6368 | TimingOffset: 0.7568 | TimingError: 0.7568 | ReactionTime: N/A | SpatialAccuracy: N/A | DirectionAccuracy: 0.0000 | CorrectHand: True</t>
        </is>
      </c>
    </row>
    <row r="137" ht="17" customHeight="1">
      <c r="A137" s="6">
        <v>136</v>
      </c>
      <c r="B137" s="6" t="inlineStr">
        <is>
          <t>2026-10-02 15:46:56.220</t>
        </is>
      </c>
      <c r="C137" s="6" t="inlineStr">
        <is>
          <t>Interaction</t>
        </is>
      </c>
      <c r="D137" s="6" t="inlineStr">
        <is>
          <t>JuanAndres</t>
        </is>
      </c>
      <c r="E137" s="6" t="inlineStr">
        <is>
          <t>GroomStroke</t>
        </is>
      </c>
      <c r="F137" s="6" t="inlineStr">
        <is>
          <t>Failed</t>
        </is>
      </c>
      <c r="G137" s="6" t="inlineStr">
        <is>
          <t>Easy</t>
        </is>
      </c>
      <c r="K137" s="4">
        <v>0.8137</v>
      </c>
      <c r="M137" s="6">
        <v>141</v>
      </c>
      <c r="N137" s="6" t="inlineStr">
        <is>
          <t>2026-10-02 15:46:56.220 | Minigame: JuanAndres | Type: GroomStroke | Outcome: Failed | Difficulty: Easy | ExpectedTime: 108.0320 | ActualTime: 108.8457 | TimingOffset: 0.8137 | TimingError: 0.8137 | ReactionTime: N/A | SpatialAccuracy: N/A | DirectionAccuracy: 0.0000 | CorrectHand: True</t>
        </is>
      </c>
    </row>
    <row r="138" ht="17" customHeight="1">
      <c r="A138" s="0">
        <v>137</v>
      </c>
      <c r="B138" s="0" t="inlineStr">
        <is>
          <t>2026-10-02 15:46:56.998</t>
        </is>
      </c>
      <c r="C138" s="0" t="inlineStr">
        <is>
          <t>Interaction</t>
        </is>
      </c>
      <c r="D138" s="0" t="inlineStr">
        <is>
          <t>JuanAndres</t>
        </is>
      </c>
      <c r="E138" s="0" t="inlineStr">
        <is>
          <t>GroomStroke</t>
        </is>
      </c>
      <c r="F138" s="0" t="inlineStr">
        <is>
          <t>Success</t>
        </is>
      </c>
      <c r="G138" s="0" t="inlineStr">
        <is>
          <t>Easy</t>
        </is>
      </c>
      <c r="K138" s="4">
        <v>0.4534</v>
      </c>
      <c r="M138" s="0">
        <v>142</v>
      </c>
      <c r="N138" s="0" t="inlineStr">
        <is>
          <t>2026-10-02 15:46:56.998 | Minigame: JuanAndres | Type: GroomStroke | Outcome: Success | Difficulty: Easy | ExpectedTime: 109.1840 | ActualTime: 109.6374 | TimingOffset: 0.4534 | TimingError: 0.4534 | ReactionTime: N/A | SpatialAccuracy: N/A | DirectionAccuracy: 1.0000 | CorrectHand: True</t>
        </is>
      </c>
    </row>
    <row r="139" ht="17" customHeight="1">
      <c r="A139" s="6">
        <v>138</v>
      </c>
      <c r="B139" s="6" t="inlineStr">
        <is>
          <t>2026-10-02 15:47:00.638</t>
        </is>
      </c>
      <c r="C139" s="6" t="inlineStr">
        <is>
          <t>Interaction</t>
        </is>
      </c>
      <c r="D139" s="6" t="inlineStr">
        <is>
          <t>JuanAndres</t>
        </is>
      </c>
      <c r="E139" s="6" t="inlineStr">
        <is>
          <t>GroomStroke</t>
        </is>
      </c>
      <c r="F139" s="6" t="inlineStr">
        <is>
          <t>Failed</t>
        </is>
      </c>
      <c r="G139" s="6" t="inlineStr">
        <is>
          <t>Easy</t>
        </is>
      </c>
      <c r="K139" s="4">
        <v>2.1733</v>
      </c>
      <c r="M139" s="6">
        <v>143</v>
      </c>
      <c r="N139" s="6" t="inlineStr">
        <is>
          <t>2026-10-02 15:47:00.638 | Minigame: JuanAndres | Type: GroomStroke | Outcome: Failed | Difficulty: Easy | ExpectedTime: 111.1040 | ActualTime: 113.2773 | TimingOffset: 2.1733 | TimingError: 2.1733 | ReactionTime: N/A | SpatialAccuracy: N/A | DirectionAccuracy: 0.0000 | CorrectHand: True</t>
        </is>
      </c>
    </row>
    <row r="140" ht="17" customHeight="1">
      <c r="A140" s="0">
        <v>139</v>
      </c>
      <c r="B140" s="0" t="inlineStr">
        <is>
          <t>2026-10-02 15:47:01.180</t>
        </is>
      </c>
      <c r="C140" s="0" t="inlineStr">
        <is>
          <t>Interaction</t>
        </is>
      </c>
      <c r="D140" s="0" t="inlineStr">
        <is>
          <t>JuanAndres</t>
        </is>
      </c>
      <c r="E140" s="0" t="inlineStr">
        <is>
          <t>GroomStroke</t>
        </is>
      </c>
      <c r="F140" s="0" t="inlineStr">
        <is>
          <t>Success</t>
        </is>
      </c>
      <c r="G140" s="0" t="inlineStr">
        <is>
          <t>Easy</t>
        </is>
      </c>
      <c r="K140" s="4">
        <v>0.4689</v>
      </c>
      <c r="M140" s="0">
        <v>144</v>
      </c>
      <c r="N140" s="0" t="inlineStr">
        <is>
          <t>2026-10-02 15:47:01.180 | Minigame: JuanAndres | Type: GroomStroke | Outcome: Success | Difficulty: Easy | ExpectedTime: 113.0240 | ActualTime: 112.5551 | TimingOffset: -0.4689 | TimingError: 0.4689 | ReactionTime: N/A | SpatialAccuracy: N/A | DirectionAccuracy: 1.0000 | CorrectHand: True</t>
        </is>
      </c>
    </row>
    <row r="141" ht="17" customHeight="1">
      <c r="A141" s="6">
        <v>140</v>
      </c>
      <c r="B141" s="6" t="inlineStr">
        <is>
          <t>2026-10-02 15:47:04.346</t>
        </is>
      </c>
      <c r="C141" s="6" t="inlineStr">
        <is>
          <t>Interaction</t>
        </is>
      </c>
      <c r="D141" s="6" t="inlineStr">
        <is>
          <t>JuanAndres</t>
        </is>
      </c>
      <c r="E141" s="6" t="inlineStr">
        <is>
          <t>GroomStroke</t>
        </is>
      </c>
      <c r="F141" s="6" t="inlineStr">
        <is>
          <t>Failed</t>
        </is>
      </c>
      <c r="G141" s="6" t="inlineStr">
        <is>
          <t>Easy</t>
        </is>
      </c>
      <c r="K141" s="4">
        <v>0.8622</v>
      </c>
      <c r="M141" s="6">
        <v>145</v>
      </c>
      <c r="N141" s="6" t="inlineStr">
        <is>
          <t>2026-10-02 15:47:04.346 | Minigame: JuanAndres | Type: GroomStroke | Outcome: Failed | Difficulty: Easy | ExpectedTime: 116.0960 | ActualTime: 116.9582 | TimingOffset: 0.8622 | TimingError: 0.8622 | ReactionTime: N/A | SpatialAccuracy: N/A | DirectionAccuracy: 0.0000 | CorrectHand: True</t>
        </is>
      </c>
    </row>
    <row r="142" ht="17" customHeight="1">
      <c r="A142" s="0">
        <v>141</v>
      </c>
      <c r="B142" s="0" t="inlineStr">
        <is>
          <t>2026-10-02 15:47:05.500</t>
        </is>
      </c>
      <c r="C142" s="0" t="inlineStr">
        <is>
          <t>Interaction</t>
        </is>
      </c>
      <c r="D142" s="0" t="inlineStr">
        <is>
          <t>JuanAndres</t>
        </is>
      </c>
      <c r="E142" s="0" t="inlineStr">
        <is>
          <t>GroomStroke</t>
        </is>
      </c>
      <c r="F142" s="0" t="inlineStr">
        <is>
          <t>Failed</t>
        </is>
      </c>
      <c r="G142" s="0" t="inlineStr">
        <is>
          <t>Easy</t>
        </is>
      </c>
      <c r="K142" s="4">
        <v>0.5571</v>
      </c>
      <c r="M142" s="0">
        <v>146</v>
      </c>
      <c r="N142" s="0" t="inlineStr">
        <is>
          <t>2026-10-02 15:47:05.500 | Minigame: JuanAndres | Type: GroomStroke | Outcome: Failed | Difficulty: Easy | ExpectedTime: 117.2480 | ActualTime: 117.8051 | TimingOffset: 0.5571 | TimingError: 0.5571 | ReactionTime: N/A | SpatialAccuracy: N/A | DirectionAccuracy: 0.0000 | CorrectHand: False</t>
        </is>
      </c>
    </row>
    <row r="143" ht="17" customHeight="1">
      <c r="A143" s="6">
        <v>142</v>
      </c>
      <c r="B143" s="6" t="inlineStr">
        <is>
          <t>2026-10-02 15:47:06.305</t>
        </is>
      </c>
      <c r="C143" s="6" t="inlineStr">
        <is>
          <t>Interaction</t>
        </is>
      </c>
      <c r="D143" s="6" t="inlineStr">
        <is>
          <t>JuanAndres</t>
        </is>
      </c>
      <c r="E143" s="6" t="inlineStr">
        <is>
          <t>GroomStroke</t>
        </is>
      </c>
      <c r="F143" s="6" t="inlineStr">
        <is>
          <t>Success</t>
        </is>
      </c>
      <c r="G143" s="6" t="inlineStr">
        <is>
          <t>Easy</t>
        </is>
      </c>
      <c r="K143" s="4">
        <v>0.5025</v>
      </c>
      <c r="M143" s="6">
        <v>147</v>
      </c>
      <c r="N143" s="6" t="inlineStr">
        <is>
          <t>2026-10-02 15:47:06.305 | Minigame: JuanAndres | Type: GroomStroke | Outcome: Success | Difficulty: Easy | ExpectedTime: 118.4000 | ActualTime: 118.9025 | TimingOffset: 0.5025 | TimingError: 0.5025 | ReactionTime: N/A | SpatialAccuracy: N/A | DirectionAccuracy: 1.0000 | CorrectHand: True</t>
        </is>
      </c>
    </row>
    <row r="144" ht="17" customHeight="1">
      <c r="A144" s="0">
        <v>143</v>
      </c>
      <c r="B144" s="0" t="inlineStr">
        <is>
          <t>2026-10-02 15:47:07.790</t>
        </is>
      </c>
      <c r="C144" s="0" t="inlineStr">
        <is>
          <t>Interaction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Success</t>
        </is>
      </c>
      <c r="G144" s="0" t="inlineStr">
        <is>
          <t>Easy</t>
        </is>
      </c>
      <c r="K144" s="4">
        <v>0.4804</v>
      </c>
      <c r="M144" s="0">
        <v>148</v>
      </c>
      <c r="N144" s="0" t="inlineStr">
        <is>
          <t>2026-10-02 15:47:07.790 | Minigame: JuanAndres | Type: GroomStroke | Outcome: Success | Difficulty: Easy | ExpectedTime: 119.9360 | ActualTime: 120.4164 | TimingOffset: 0.4804 | TimingError: 0.4804 | ReactionTime: N/A | SpatialAccuracy: N/A | DirectionAccuracy: 1.0000 | CorrectHand: True</t>
        </is>
      </c>
    </row>
    <row r="145" ht="17" customHeight="1">
      <c r="A145" s="6">
        <v>144</v>
      </c>
      <c r="B145" s="6" t="inlineStr">
        <is>
          <t>2026-10-02 15:47:09.929</t>
        </is>
      </c>
      <c r="C145" s="6" t="inlineStr">
        <is>
          <t>Interaction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Failed</t>
        </is>
      </c>
      <c r="G145" s="6" t="inlineStr">
        <is>
          <t>Easy</t>
        </is>
      </c>
      <c r="K145" s="4">
        <v>0.5693</v>
      </c>
      <c r="M145" s="6">
        <v>149</v>
      </c>
      <c r="N145" s="6" t="inlineStr">
        <is>
          <t>2026-10-02 15:47:09.929 | Minigame: JuanAndres | Type: GroomStroke | Outcome: Failed | Difficulty: Easy | ExpectedTime: 121.4720 | ActualTime: 122.0413 | TimingOffset: 0.5693 | TimingError: 0.5693 | ReactionTime: N/A | SpatialAccuracy: N/A | DirectionAccuracy: 0.0000 | CorrectHand: True</t>
        </is>
      </c>
    </row>
    <row r="146" ht="17" customHeight="1">
      <c r="A146" s="0">
        <v>145</v>
      </c>
      <c r="B146" s="0" t="inlineStr">
        <is>
          <t>2026-10-02 15:47:11.360</t>
        </is>
      </c>
      <c r="C146" s="0" t="inlineStr">
        <is>
          <t>Interaction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Success</t>
        </is>
      </c>
      <c r="G146" s="0" t="inlineStr">
        <is>
          <t>Easy</t>
        </is>
      </c>
      <c r="K146" s="4">
        <v>0.6076</v>
      </c>
      <c r="M146" s="0">
        <v>150</v>
      </c>
      <c r="N146" s="0" t="inlineStr">
        <is>
          <t>2026-10-02 15:47:11.360 | Minigame: JuanAndres | Type: GroomStroke | Outcome: Success | Difficulty: Easy | ExpectedTime: 123.3920 | ActualTime: 123.9996 | TimingOffset: 0.6076 | TimingError: 0.6076 | ReactionTime: N/A | SpatialAccuracy: N/A | DirectionAccuracy: 1.0000 | CorrectHand: True</t>
        </is>
      </c>
    </row>
    <row r="147" ht="17" customHeight="1">
      <c r="A147" s="6">
        <v>146</v>
      </c>
      <c r="B147" s="6" t="inlineStr">
        <is>
          <t>2026-10-02 15:47:14.578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Success</t>
        </is>
      </c>
      <c r="G147" s="6" t="inlineStr">
        <is>
          <t>Easy</t>
        </is>
      </c>
      <c r="K147" s="4">
        <v>0.0555</v>
      </c>
      <c r="M147" s="6">
        <v>151</v>
      </c>
      <c r="N147" s="6" t="inlineStr">
        <is>
          <t>2026-10-02 15:47:14.578 | Minigame: Danniel | Type: GunShoot | Outcome: Success | Difficulty: Easy | ExpectedTime: 127.2320 | ActualTime: 127.1765 | TimingOffset: -0.0555 | TimingError: 0.0555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15:47:14.578</t>
        </is>
      </c>
      <c r="C148" s="0" t="inlineStr">
        <is>
          <t>PlayerState</t>
        </is>
      </c>
      <c r="H148" s="0" t="inlineStr">
        <is>
          <t>Engaged</t>
        </is>
      </c>
      <c r="M148" s="0">
        <v>152</v>
      </c>
      <c r="N148" s="0" t="inlineStr">
        <is>
          <t>2026-10-02 15:47:14.578 | PlayerState: Engaged</t>
        </is>
      </c>
    </row>
    <row r="149" ht="17" customHeight="1">
      <c r="A149" s="6">
        <v>148</v>
      </c>
      <c r="B149" s="6" t="inlineStr">
        <is>
          <t>2026-10-02 15:47:16.109</t>
        </is>
      </c>
      <c r="C149" s="6" t="inlineStr">
        <is>
          <t>Interaction</t>
        </is>
      </c>
      <c r="D149" s="6" t="inlineStr">
        <is>
          <t>Danniel</t>
        </is>
      </c>
      <c r="E149" s="6" t="inlineStr">
        <is>
          <t>GunShoot</t>
        </is>
      </c>
      <c r="F149" s="6" t="inlineStr">
        <is>
          <t>Success</t>
        </is>
      </c>
      <c r="G149" s="6" t="inlineStr">
        <is>
          <t>Easy</t>
        </is>
      </c>
      <c r="K149" s="4">
        <v>0.1182</v>
      </c>
      <c r="M149" s="6">
        <v>153</v>
      </c>
      <c r="N149" s="6" t="inlineStr">
        <is>
          <t>2026-10-02 15:47:16.109 | Minigame: Danniel | Type: GunShoot | Outcome: Success | Difficulty: Easy | ExpectedTime: 128.7680 | ActualTime: 128.6498 | TimingOffset: -0.1182 | TimingError: 0.1182 | ReactionTime: N/A | SpatialAccuracy: N/A | DirectionAccuracy: N/A | CorrectHand: N/A</t>
        </is>
      </c>
    </row>
    <row r="150" ht="17" customHeight="1">
      <c r="A150" s="0">
        <v>149</v>
      </c>
      <c r="B150" s="0" t="inlineStr">
        <is>
          <t>2026-10-02 15:47:21.106</t>
        </is>
      </c>
      <c r="C150" s="0" t="inlineStr">
        <is>
          <t>PlayerState</t>
        </is>
      </c>
      <c r="H150" s="0" t="inlineStr">
        <is>
          <t>Idle</t>
        </is>
      </c>
      <c r="M150" s="0">
        <v>154</v>
      </c>
      <c r="N150" s="0" t="inlineStr">
        <is>
          <t>2026-10-02 15:47:21.106 | PlayerState: Idle</t>
        </is>
      </c>
    </row>
    <row r="151" ht="17" customHeight="1">
      <c r="A151" s="6">
        <v>150</v>
      </c>
      <c r="B151" s="6" t="inlineStr">
        <is>
          <t>2026-10-02 15:47:22.066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K151" s="4">
        <v>0.0103</v>
      </c>
      <c r="M151" s="6">
        <v>155</v>
      </c>
      <c r="N151" s="6" t="inlineStr">
        <is>
          <t>2026-10-02 15:47:22.066 | Minigame: Danniel | Type: GunShoot | Outcome: Success | Difficulty: Easy | ExpectedTime: 134.5280 | ActualTime: 134.5383 | TimingOffset: 0.0103 | TimingError: 0.0103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15:47:22.066</t>
        </is>
      </c>
      <c r="C152" s="0" t="inlineStr">
        <is>
          <t>PlayerState</t>
        </is>
      </c>
      <c r="H152" s="0" t="inlineStr">
        <is>
          <t>Engaged</t>
        </is>
      </c>
      <c r="M152" s="0">
        <v>156</v>
      </c>
      <c r="N152" s="0" t="inlineStr">
        <is>
          <t>2026-10-02 15:47:22.066 | PlayerState: Engaged</t>
        </is>
      </c>
    </row>
    <row r="153" ht="17" customHeight="1">
      <c r="A153" s="6">
        <v>152</v>
      </c>
      <c r="B153" s="6" t="inlineStr">
        <is>
          <t>2026-10-02 15:47:23.108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Success</t>
        </is>
      </c>
      <c r="G153" s="6" t="inlineStr">
        <is>
          <t>Easy</t>
        </is>
      </c>
      <c r="K153" s="4">
        <v>0.099</v>
      </c>
      <c r="M153" s="6">
        <v>157</v>
      </c>
      <c r="N153" s="6" t="inlineStr">
        <is>
          <t>2026-10-02 15:47:23.108 | Minigame: Danniel | Type: GunShoot | Outcome: Success | Difficulty: Easy | ExpectedTime: 135.6800 | ActualTime: 135.5810 | TimingOffset: -0.0990 | TimingError: 0.0990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15:47:24.371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Failed</t>
        </is>
      </c>
      <c r="G154" s="0" t="inlineStr">
        <is>
          <t>Easy</t>
        </is>
      </c>
      <c r="M154" s="0">
        <v>158</v>
      </c>
      <c r="N154" s="0" t="inlineStr">
        <is>
          <t>2026-10-02 15:47:24.371 | Minigame: Danniel | Type: GunShoot | Outcome: Failed | Difficulty: Easy | ExpectedTime: 137.0664 | ActualTime: N/A | TimingOffset: N/A | TimingError: N/A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15:47:25.969</t>
        </is>
      </c>
      <c r="C155" s="6" t="inlineStr">
        <is>
          <t>Interaction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Success</t>
        </is>
      </c>
      <c r="G155" s="6" t="inlineStr">
        <is>
          <t>Easy</t>
        </is>
      </c>
      <c r="K155" s="4">
        <v>0.0936</v>
      </c>
      <c r="M155" s="6">
        <v>159</v>
      </c>
      <c r="N155" s="6" t="inlineStr">
        <is>
          <t>2026-10-02 15:47:25.969 | Minigame: Danniel | Type: GunShoot | Outcome: Success | Difficulty: Easy | ExpectedTime: 138.3680 | ActualTime: 138.2744 | TimingOffset: -0.0936 | TimingError: 0.0936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15:47:27.011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Success</t>
        </is>
      </c>
      <c r="G156" s="0" t="inlineStr">
        <is>
          <t>Easy</t>
        </is>
      </c>
      <c r="K156" s="4">
        <v>0.0924</v>
      </c>
      <c r="M156" s="0">
        <v>160</v>
      </c>
      <c r="N156" s="0" t="inlineStr">
        <is>
          <t>2026-10-02 15:47:27.011 | Minigame: Danniel | Type: GunShoot | Outcome: Success | Difficulty: Easy | ExpectedTime: 139.5200 | ActualTime: 139.4276 | TimingOffset: -0.0924 | TimingError: 0.0924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15:47:28.024</t>
        </is>
      </c>
      <c r="C157" s="6" t="inlineStr">
        <is>
          <t>Interaction</t>
        </is>
      </c>
      <c r="D157" s="6" t="inlineStr">
        <is>
          <t>Danniel</t>
        </is>
      </c>
      <c r="E157" s="6" t="inlineStr">
        <is>
          <t>GunShoot</t>
        </is>
      </c>
      <c r="F157" s="6" t="inlineStr">
        <is>
          <t>Success</t>
        </is>
      </c>
      <c r="G157" s="6" t="inlineStr">
        <is>
          <t>Easy</t>
        </is>
      </c>
      <c r="K157" s="4">
        <v>0.0565</v>
      </c>
      <c r="M157" s="6">
        <v>161</v>
      </c>
      <c r="N157" s="6" t="inlineStr">
        <is>
          <t>2026-10-02 15:47:28.024 | Minigame: Danniel | Type: GunShoot | Outcome: Success | Difficulty: Easy | ExpectedTime: 140.2880 | ActualTime: 140.3445 | TimingOffset: 0.0565 | TimingError: 0.0565 | ReactionTime: N/A | SpatialAccuracy: N/A | DirectionAccuracy: N/A | CorrectHand: N/A</t>
        </is>
      </c>
    </row>
    <row r="158" ht="17" customHeight="1">
      <c r="A158" s="0">
        <v>157</v>
      </c>
      <c r="B158" s="0" t="inlineStr">
        <is>
          <t>2026-10-02 15:47:29.511</t>
        </is>
      </c>
      <c r="C158" s="0" t="inlineStr">
        <is>
          <t>Interaction</t>
        </is>
      </c>
      <c r="D158" s="0" t="inlineStr">
        <is>
          <t>Danniel</t>
        </is>
      </c>
      <c r="E158" s="0" t="inlineStr">
        <is>
          <t>GunShoot</t>
        </is>
      </c>
      <c r="F158" s="0" t="inlineStr">
        <is>
          <t>Success</t>
        </is>
      </c>
      <c r="G158" s="0" t="inlineStr">
        <is>
          <t>Easy</t>
        </is>
      </c>
      <c r="K158" s="4">
        <v>0.0067</v>
      </c>
      <c r="M158" s="0">
        <v>162</v>
      </c>
      <c r="N158" s="0" t="inlineStr">
        <is>
          <t>2026-10-02 15:47:29.511 | Minigame: Danniel | Type: GunShoot | Outcome: Success | Difficulty: Easy | ExpectedTime: 141.8240 | ActualTime: 141.8307 | TimingOffset: 0.0067 | TimingError: 0.0067 | ReactionTime: N/A | SpatialAccuracy: N/A | DirectionAccuracy: N/A | CorrectHand: N/A</t>
        </is>
      </c>
    </row>
    <row r="159" ht="17" customHeight="1">
      <c r="A159" s="6">
        <v>158</v>
      </c>
      <c r="B159" s="6" t="inlineStr">
        <is>
          <t>2026-10-02 15:47:34.510</t>
        </is>
      </c>
      <c r="C159" s="6" t="inlineStr">
        <is>
          <t>PlayerState</t>
        </is>
      </c>
      <c r="H159" s="6" t="inlineStr">
        <is>
          <t>Idle</t>
        </is>
      </c>
      <c r="M159" s="6">
        <v>163</v>
      </c>
      <c r="N159" s="6" t="inlineStr">
        <is>
          <t>2026-10-02 15:47:34.510 | PlayerState: Idle</t>
        </is>
      </c>
    </row>
    <row r="160" ht="17" customHeight="1">
      <c r="A160" s="0">
        <v>159</v>
      </c>
      <c r="B160" s="0" t="inlineStr">
        <is>
          <t>2026-10-02 15:47:35.441</t>
        </is>
      </c>
      <c r="C160" s="0" t="inlineStr">
        <is>
          <t>Interaction</t>
        </is>
      </c>
      <c r="D160" s="0" t="inlineStr">
        <is>
          <t>Danniel</t>
        </is>
      </c>
      <c r="E160" s="0" t="inlineStr">
        <is>
          <t>GunShoot</t>
        </is>
      </c>
      <c r="F160" s="0" t="inlineStr">
        <is>
          <t>Failed</t>
        </is>
      </c>
      <c r="G160" s="0" t="inlineStr">
        <is>
          <t>Easy</t>
        </is>
      </c>
      <c r="M160" s="0">
        <v>164</v>
      </c>
      <c r="N160" s="0" t="inlineStr">
        <is>
          <t>2026-10-02 15:47:35.441 | Minigame: Danniel | Type: GunShoot | Outcome: Failed | Difficulty: Easy | ExpectedTime: 148.1364 | ActualTime: N/A | TimingOffset: N/A | TimingError: N/A | ReactionTime: N/A | SpatialAccuracy: N/A | DirectionAccuracy: N/A | CorrectHand: N/A</t>
        </is>
      </c>
    </row>
    <row r="161" ht="17" customHeight="1">
      <c r="A161" s="6">
        <v>160</v>
      </c>
      <c r="B161" s="6" t="inlineStr">
        <is>
          <t>2026-10-02 15:47:35.442</t>
        </is>
      </c>
      <c r="C161" s="6" t="inlineStr">
        <is>
          <t>PlayerState</t>
        </is>
      </c>
      <c r="H161" s="6" t="inlineStr">
        <is>
          <t>Engaged</t>
        </is>
      </c>
      <c r="M161" s="6">
        <v>165</v>
      </c>
      <c r="N161" s="6" t="inlineStr">
        <is>
          <t>2026-10-02 15:47:35.442 | PlayerState: Engaged</t>
        </is>
      </c>
    </row>
    <row r="162" ht="17" customHeight="1">
      <c r="A162" s="0">
        <v>161</v>
      </c>
      <c r="B162" s="0" t="inlineStr">
        <is>
          <t>2026-10-02 15:47:37.747</t>
        </is>
      </c>
      <c r="C162" s="0" t="inlineStr">
        <is>
          <t>Interaction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Easy</t>
        </is>
      </c>
      <c r="K162" s="4">
        <v>0.1875</v>
      </c>
      <c r="M162" s="0">
        <v>166</v>
      </c>
      <c r="N162" s="0" t="inlineStr">
        <is>
          <t>2026-10-02 15:47:37.747 | Minigame: Danniel | Type: GunShoot | Outcome: Success | Difficulty: Easy | ExpectedTime: 149.5040 | ActualTime: 149.6915 | TimingOffset: 0.1875 | TimingError: 0.1875 | ReactionTime: N/A | SpatialAccuracy: N/A | DirectionAccuracy: N/A | CorrectHand: N/A</t>
        </is>
      </c>
    </row>
    <row r="163" ht="17" customHeight="1">
      <c r="A163" s="6">
        <v>162</v>
      </c>
      <c r="B163" s="6" t="inlineStr">
        <is>
          <t>2026-10-02 15:47:42.468</t>
        </is>
      </c>
      <c r="C163" s="6" t="inlineStr">
        <is>
          <t>Interaction</t>
        </is>
      </c>
      <c r="D163" s="6" t="inlineStr">
        <is>
          <t>Danniel</t>
        </is>
      </c>
      <c r="E163" s="6" t="inlineStr">
        <is>
          <t>GunShoot</t>
        </is>
      </c>
      <c r="F163" s="6" t="inlineStr">
        <is>
          <t>Success</t>
        </is>
      </c>
      <c r="G163" s="6" t="inlineStr">
        <is>
          <t>Easy</t>
        </is>
      </c>
      <c r="K163" s="4">
        <v>0.1528</v>
      </c>
      <c r="M163" s="6">
        <v>167</v>
      </c>
      <c r="N163" s="6" t="inlineStr">
        <is>
          <t>2026-10-02 15:47:42.468 | Minigame: Danniel | Type: GunShoot | Outcome: Success | Difficulty: Easy | ExpectedTime: 154.4960 | ActualTime: 154.6488 | TimingOffset: 0.1528 | TimingError: 0.1528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15:47:47.469</t>
        </is>
      </c>
      <c r="C164" s="0" t="inlineStr">
        <is>
          <t>PlayerState</t>
        </is>
      </c>
      <c r="H164" s="0" t="inlineStr">
        <is>
          <t>Idle</t>
        </is>
      </c>
      <c r="M164" s="0">
        <v>168</v>
      </c>
      <c r="N164" s="0" t="inlineStr">
        <is>
          <t>2026-10-02 15:47:47.469 | PlayerState: Idle</t>
        </is>
      </c>
    </row>
    <row r="165" ht="17" customHeight="1">
      <c r="A165" s="6">
        <v>164</v>
      </c>
      <c r="B165" s="6" t="inlineStr">
        <is>
          <t>2026-10-02 15:47:52.830</t>
        </is>
      </c>
      <c r="C165" s="6" t="inlineStr">
        <is>
          <t>Interaction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Success</t>
        </is>
      </c>
      <c r="G165" s="6" t="inlineStr">
        <is>
          <t>Easy</t>
        </is>
      </c>
      <c r="K165" s="4">
        <v>0.1179</v>
      </c>
      <c r="M165" s="6">
        <v>169</v>
      </c>
      <c r="N165" s="6" t="inlineStr">
        <is>
          <t>2026-10-02 15:47:52.830 | Minigame: Jeremy | Type: SwordCut | Outcome: Success | Difficulty: Easy | ExpectedTime: 165.4073 | ActualTime: 165.5253 | TimingOffset: 0.1179 | TimingError: 0.1179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15:47:52.830</t>
        </is>
      </c>
      <c r="C166" s="0" t="inlineStr">
        <is>
          <t>PlayerState</t>
        </is>
      </c>
      <c r="H166" s="0" t="inlineStr">
        <is>
          <t>Engaged</t>
        </is>
      </c>
      <c r="M166" s="0">
        <v>170</v>
      </c>
      <c r="N166" s="0" t="inlineStr">
        <is>
          <t>2026-10-02 15:47:52.830 | PlayerState: Engaged</t>
        </is>
      </c>
    </row>
    <row r="167" ht="17" customHeight="1">
      <c r="A167" s="6">
        <v>166</v>
      </c>
      <c r="B167" s="6" t="inlineStr">
        <is>
          <t>2026-10-02 15:47:55.179</t>
        </is>
      </c>
      <c r="C167" s="6" t="inlineStr">
        <is>
          <t>Interaction</t>
        </is>
      </c>
      <c r="D167" s="6" t="inlineStr">
        <is>
          <t>Jeremy</t>
        </is>
      </c>
      <c r="E167" s="6" t="inlineStr">
        <is>
          <t>SwordCut</t>
        </is>
      </c>
      <c r="F167" s="6" t="inlineStr">
        <is>
          <t>Failed</t>
        </is>
      </c>
      <c r="G167" s="6" t="inlineStr">
        <is>
          <t>Easy</t>
        </is>
      </c>
      <c r="K167" s="4">
        <v>0.1669</v>
      </c>
      <c r="M167" s="6">
        <v>171</v>
      </c>
      <c r="N167" s="6" t="inlineStr">
        <is>
          <t>2026-10-02 15:47:55.179 | Minigame: Jeremy | Type: SwordCut | Outcome: Failed | Difficulty: Easy | ExpectedTime: 167.7061 | ActualTime: 167.8731 | TimingOffset: 0.1669 | TimingError: 0.1669 | ReactionTime: N/A | SpatialAccuracy: N/A | DirectionAccuracy: 0.0000 | CorrectHand: True</t>
        </is>
      </c>
    </row>
    <row r="168" ht="17" customHeight="1">
      <c r="A168" s="0">
        <v>167</v>
      </c>
      <c r="B168" s="0" t="inlineStr">
        <is>
          <t>2026-10-02 15:47:57.941</t>
        </is>
      </c>
      <c r="C168" s="0" t="inlineStr">
        <is>
          <t>Interaction</t>
        </is>
      </c>
      <c r="D168" s="0" t="inlineStr">
        <is>
          <t>Jeremy</t>
        </is>
      </c>
      <c r="E168" s="0" t="inlineStr">
        <is>
          <t>SwordCut</t>
        </is>
      </c>
      <c r="F168" s="0" t="inlineStr">
        <is>
          <t>Missed</t>
        </is>
      </c>
      <c r="G168" s="0" t="inlineStr">
        <is>
          <t>Easy</t>
        </is>
      </c>
      <c r="M168" s="0">
        <v>172</v>
      </c>
      <c r="N168" s="0" t="inlineStr">
        <is>
          <t>2026-10-02 15:47:57.941 | Minigame: Jeremy | Type: SwordCut | Outcome: Missed | Difficulty: Easy | ExpectedTime: 170.0049 | ActualTime: N/A | TimingOffset: N/A | TimingError: N/A | ReactionTime: N/A | SpatialAccuracy: N/A | DirectionAccuracy: N/A | CorrectHand: N/A</t>
        </is>
      </c>
    </row>
    <row r="169" ht="17" customHeight="1">
      <c r="A169" s="6">
        <v>168</v>
      </c>
      <c r="B169" s="6" t="inlineStr">
        <is>
          <t>2026-10-02 15:48:00.067</t>
        </is>
      </c>
      <c r="C169" s="6" t="inlineStr">
        <is>
          <t>Interaction</t>
        </is>
      </c>
      <c r="D169" s="6" t="inlineStr">
        <is>
          <t>Jeremy</t>
        </is>
      </c>
      <c r="E169" s="6" t="inlineStr">
        <is>
          <t>SwordCut</t>
        </is>
      </c>
      <c r="F169" s="6" t="inlineStr">
        <is>
          <t>Success</t>
        </is>
      </c>
      <c r="G169" s="6" t="inlineStr">
        <is>
          <t>Easy</t>
        </is>
      </c>
      <c r="K169" s="4">
        <v>0.4581</v>
      </c>
      <c r="M169" s="6">
        <v>173</v>
      </c>
      <c r="N169" s="6" t="inlineStr">
        <is>
          <t>2026-10-02 15:48:00.067 | Minigame: Jeremy | Type: SwordCut | Outcome: Success | Difficulty: Easy | ExpectedTime: 172.3037 | ActualTime: 172.7618 | TimingOffset: 0.4581 | TimingError: 0.4581 | ReactionTime: N/A | SpatialAccuracy: N/A | DirectionAccuracy: 1.0000 | CorrectHand: True</t>
        </is>
      </c>
    </row>
    <row r="170" ht="17" customHeight="1">
      <c r="A170" s="0">
        <v>169</v>
      </c>
      <c r="B170" s="0" t="inlineStr">
        <is>
          <t>2026-10-02 15:48:01.859</t>
        </is>
      </c>
      <c r="C170" s="0" t="inlineStr">
        <is>
          <t>Interaction</t>
        </is>
      </c>
      <c r="D170" s="0" t="inlineStr">
        <is>
          <t>Jeremy</t>
        </is>
      </c>
      <c r="E170" s="0" t="inlineStr">
        <is>
          <t>SwordCut</t>
        </is>
      </c>
      <c r="F170" s="0" t="inlineStr">
        <is>
          <t>Success</t>
        </is>
      </c>
      <c r="G170" s="0" t="inlineStr">
        <is>
          <t>Easy</t>
        </is>
      </c>
      <c r="K170" s="4">
        <v>0.0491</v>
      </c>
      <c r="M170" s="0">
        <v>174</v>
      </c>
      <c r="N170" s="0" t="inlineStr">
        <is>
          <t>2026-10-02 15:48:01.859 | Minigame: Jeremy | Type: SwordCut | Outcome: Success | Difficulty: Easy | ExpectedTime: 174.6024 | ActualTime: 174.5533 | TimingOffset: -0.0491 | TimingError: 0.0491 | ReactionTime: N/A | SpatialAccuracy: N/A | DirectionAccuracy: 1.0000 | CorrectHand: True</t>
        </is>
      </c>
    </row>
    <row r="171" ht="17" customHeight="1">
      <c r="A171" s="6">
        <v>170</v>
      </c>
      <c r="B171" s="6" t="inlineStr">
        <is>
          <t>2026-10-02 15:48:04.220</t>
        </is>
      </c>
      <c r="C171" s="6" t="inlineStr">
        <is>
          <t>Interaction</t>
        </is>
      </c>
      <c r="D171" s="6" t="inlineStr">
        <is>
          <t>Jeremy</t>
        </is>
      </c>
      <c r="E171" s="6" t="inlineStr">
        <is>
          <t>SwordCut</t>
        </is>
      </c>
      <c r="F171" s="6" t="inlineStr">
        <is>
          <t>Success</t>
        </is>
      </c>
      <c r="G171" s="6" t="inlineStr">
        <is>
          <t>Easy</t>
        </is>
      </c>
      <c r="K171" s="4">
        <v>0.0133</v>
      </c>
      <c r="M171" s="6">
        <v>175</v>
      </c>
      <c r="N171" s="6" t="inlineStr">
        <is>
          <t>2026-10-02 15:48:04.220 | Minigame: Jeremy | Type: SwordCut | Outcome: Success | Difficulty: Easy | ExpectedTime: 176.9012 | ActualTime: 176.9145 | TimingOffset: 0.0133 | TimingError: 0.0133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15:48:06.289</t>
        </is>
      </c>
      <c r="C172" s="0" t="inlineStr">
        <is>
          <t>Interaction</t>
        </is>
      </c>
      <c r="D172" s="0" t="inlineStr">
        <is>
          <t>Jeremy</t>
        </is>
      </c>
      <c r="E172" s="0" t="inlineStr">
        <is>
          <t>SwordCut</t>
        </is>
      </c>
      <c r="F172" s="0" t="inlineStr">
        <is>
          <t>Success</t>
        </is>
      </c>
      <c r="G172" s="0" t="inlineStr">
        <is>
          <t>Easy</t>
        </is>
      </c>
      <c r="K172" s="4">
        <v>0.2163</v>
      </c>
      <c r="M172" s="0">
        <v>176</v>
      </c>
      <c r="N172" s="0" t="inlineStr">
        <is>
          <t>2026-10-02 15:48:06.289 | Minigame: Jeremy | Type: SwordCut | Outcome: Success | Difficulty: Easy | ExpectedTime: 179.2000 | ActualTime: 178.9837 | TimingOffset: -0.2163 | TimingError: 0.2163 | ReactionTime: N/A | SpatialAccuracy: N/A | DirectionAccuracy: 1.0000 | CorrectHand: True</t>
        </is>
      </c>
    </row>
    <row r="173" ht="17" customHeight="1">
      <c r="A173" s="6">
        <v>172</v>
      </c>
      <c r="B173" s="6" t="inlineStr">
        <is>
          <t>2026-10-02 15:48:08.664</t>
        </is>
      </c>
      <c r="C173" s="6" t="inlineStr">
        <is>
          <t>Interaction</t>
        </is>
      </c>
      <c r="D173" s="6" t="inlineStr">
        <is>
          <t>Jeremy</t>
        </is>
      </c>
      <c r="E173" s="6" t="inlineStr">
        <is>
          <t>SwordCut</t>
        </is>
      </c>
      <c r="F173" s="6" t="inlineStr">
        <is>
          <t>Success</t>
        </is>
      </c>
      <c r="G173" s="6" t="inlineStr">
        <is>
          <t>Easy</t>
        </is>
      </c>
      <c r="K173" s="4">
        <v>0.1404</v>
      </c>
      <c r="M173" s="6">
        <v>177</v>
      </c>
      <c r="N173" s="6" t="inlineStr">
        <is>
          <t>2026-10-02 15:48:08.664 | Minigame: Jeremy | Type: SwordCut | Outcome: Success | Difficulty: Easy | ExpectedTime: 181.4988 | ActualTime: 181.3583 | TimingOffset: -0.1404 | TimingError: 0.1404 | ReactionTime: N/A | SpatialAccuracy: N/A | DirectionAccuracy: 1.0000 | CorrectHand: True</t>
        </is>
      </c>
    </row>
    <row r="174" ht="17" customHeight="1">
      <c r="A174" s="0">
        <v>173</v>
      </c>
      <c r="B174" s="0" t="inlineStr">
        <is>
          <t>2026-10-02 15:48:13.662</t>
        </is>
      </c>
      <c r="C174" s="0" t="inlineStr">
        <is>
          <t>PlayerState</t>
        </is>
      </c>
      <c r="H174" s="0" t="inlineStr">
        <is>
          <t>Idle</t>
        </is>
      </c>
      <c r="M174" s="0">
        <v>178</v>
      </c>
      <c r="N174" s="0" t="inlineStr">
        <is>
          <t>2026-10-02 15:48:13.662 | PlayerState: Idle</t>
        </is>
      </c>
    </row>
  </sheetData>
  <autoFilter ref="A1:N174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