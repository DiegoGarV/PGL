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'1.0' encoding='utf-8'?>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ns1="http://schemas.openxmlformats.org/officeDocument/2006/relationships">
  <sheets>
    <sheet name="Resumen" sheetId="1" ns1:id="rId2"/>
    <sheet name="Por minijuego" sheetId="2" ns1:id="rId3"/>
    <sheet name="Por accion" sheetId="3" ns1:id="rId4"/>
    <sheet name="Interacciones" sheetId="4" ns1:id="rId5"/>
    <sheet name="Adaptaciones" sheetId="5" ns1:id="rId6"/>
    <sheet name="Estados jugador" sheetId="6" ns1:id="rId7"/>
    <sheet name="Todos eventos" sheetId="7" ns1:id="rId8"/>
    <sheet name="Diccionario" sheetId="8" ns1:id="rId9"/>
  </sheets>
  <calcPr calcId="191029" fullCalcOnLoad="1"/>
</workbook>
</file>

<file path=xl/styles.xml><?xml version="1.0" encoding="utf-8"?>
<styleSheet xmlns="http://schemas.openxmlformats.org/spreadsheetml/2006/main">
  <numFmts count="2">
    <numFmt numFmtId="164" formatCode="0.00%"/>
    <numFmt numFmtId="165" formatCode="0.0000"/>
  </numFmts>
  <fonts count="3">
    <font>
      <sz val="10"/>
      <name val="Aptos"/>
      <color rgb="FF233047"/>
    </font>
    <font>
      <sz val="10"/>
      <name val="Aptos"/>
      <b/>
      <color rgb="FFFFFFFF"/>
    </font>
    <font>
      <sz val="15"/>
      <name val="Aptos"/>
      <b/>
      <color rgb="FF152F4F"/>
    </font>
  </fonts>
  <fills count="4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rgb="FFF0F7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0" applyAlignment="1">
      <alignment vertical="center" wrapText="0"/>
    </xf>
    <xf numFmtId="0" fontId="1" fillId="2" borderId="0" xfId="0" applyNumberFormat="0" applyAlignment="1">
      <alignment vertical="center" wrapText="1"/>
    </xf>
    <xf numFmtId="0" fontId="2" fillId="0" borderId="0" xfId="0" applyNumberFormat="0" applyAlignment="1">
      <alignment vertical="center" wrapText="0"/>
    </xf>
    <xf numFmtId="164" fontId="0" fillId="0" borderId="0" xfId="0" applyNumberFormat="1" applyAlignment="1">
      <alignment vertical="center" wrapText="0"/>
    </xf>
    <xf numFmtId="165" fontId="0" fillId="0" borderId="0" xfId="0" applyNumberFormat="1" applyAlignment="1">
      <alignment vertical="center" wrapText="0"/>
    </xf>
    <xf numFmtId="0" fontId="1" fillId="2" borderId="0" xfId="0" applyNumberFormat="0" applyAlignment="1">
      <alignment vertical="center" wrapText="1"/>
    </xf>
    <xf numFmtId="0" fontId="0" fillId="3" borderId="0" xfId="0" applyNumberFormat="0" applyAlignment="1">
      <alignment vertical="center" wrapText="0"/>
    </xf>
  </cellXfs>
  <cellStyles count="1">
    <cellStyle name="Normal" xfId="0" builtinId="0"/>
  </cellStyles>
</styleSheet>
</file>

<file path=xl/_rels/workbook.xml.rels><?xml version='1.0' encoding='utf-8'?>
<Relationships xmlns="http://schemas.openxmlformats.org/package/2006/relationships"><Relationship Id="rId1" Type="http://schemas.openxmlformats.org/officeDocument/2006/relationships/styles" Target="styles.xml" /><Relationship Id="rId2" Type="http://schemas.openxmlformats.org/officeDocument/2006/relationships/worksheet" Target="worksheets/sheet1.xml" /><Relationship Id="rId3" Type="http://schemas.openxmlformats.org/officeDocument/2006/relationships/worksheet" Target="worksheets/sheet2.xml" /><Relationship Id="rId4" Type="http://schemas.openxmlformats.org/officeDocument/2006/relationships/worksheet" Target="worksheets/sheet3.xml" /><Relationship Id="rId5" Type="http://schemas.openxmlformats.org/officeDocument/2006/relationships/worksheet" Target="worksheets/sheet4.xml" /><Relationship Id="rId6" Type="http://schemas.openxmlformats.org/officeDocument/2006/relationships/worksheet" Target="worksheets/sheet5.xml" /><Relationship Id="rId7" Type="http://schemas.openxmlformats.org/officeDocument/2006/relationships/worksheet" Target="worksheets/sheet6.xml" /><Relationship Id="rId8" Type="http://schemas.openxmlformats.org/officeDocument/2006/relationships/worksheet" Target="worksheets/sheet7.xml" /><Relationship Id="rId9" Type="http://schemas.openxmlformats.org/officeDocument/2006/relationships/worksheet" Target="worksheets/sheet8.xml" /></Relationships>
</file>

<file path=xl/worksheets/sheet1.xml><?xml version="1.0" encoding="utf-8"?>
<worksheet xmlns="http://schemas.openxmlformats.org/spreadsheetml/2006/main">
  <dimension ref="A1:G20"/>
  <sheetViews>
    <sheetView workbookViewId="0">
      <pane ySplit="5" topLeftCell="A6" activePane="bottomLeft" state="frozen"/>
    </sheetView>
  </sheetViews>
  <sheetFormatPr defaultRowHeight="17"/>
  <cols>
    <col min="1" max="1" width="38" customWidth="1"/>
    <col min="2" max="2" width="23" customWidth="1"/>
    <col min="3" max="3" width="26" customWidth="1"/>
    <col min="4" max="4" width="3" customWidth="1"/>
    <col min="5" max="5" width="25" customWidth="1"/>
    <col min="6" max="6" width="14" customWidth="1"/>
    <col min="7" max="7" width="45" customWidth="1"/>
  </cols>
  <sheetData>
    <row r="1" ht="30" customHeight="1">
      <c r="A1" s="2" t="inlineStr">
        <is>
          <t>Resumen de sesión VR · P008</t>
        </is>
      </c>
    </row>
    <row r="2" ht="17" customHeight="1"/>
    <row r="3" ht="17" customHeight="1">
      <c r="A3" s="6" t="inlineStr">
        <is>
          <t>Inicio: 2026-10-02 14:17:13     |     Fuente: Metrics_P008_2026-10-02_14-17-13.txt</t>
        </is>
      </c>
    </row>
    <row r="4" ht="17" customHeight="1"/>
    <row r="5" ht="22" customHeight="1">
      <c r="A5" s="1" t="inlineStr">
        <is>
          <t>Indicador</t>
        </is>
      </c>
      <c r="B5" s="1" t="inlineStr">
        <is>
          <t>Reportado en log</t>
        </is>
      </c>
      <c r="C5" s="1" t="inlineStr">
        <is>
          <t>Calculado de eventos</t>
        </is>
      </c>
      <c r="E5" s="1" t="inlineStr">
        <is>
          <t>Otros registros</t>
        </is>
      </c>
      <c r="F5" s="1" t="inlineStr">
        <is>
          <t>Cantidad</t>
        </is>
      </c>
      <c r="G5" s="1" t="inlineStr">
        <is>
          <t>Descripción</t>
        </is>
      </c>
    </row>
    <row r="6" ht="17" customHeight="1">
      <c r="A6" s="0" t="inlineStr">
        <is>
          <t>Interacciones totales</t>
        </is>
      </c>
      <c r="B6" s="0">
        <v>128.0</v>
      </c>
      <c r="C6" s="0">
        <f>COUNTA('Interacciones'!$A$2:$A$129)</f>
        <v>128</v>
      </c>
      <c r="E6" s="0" t="inlineStr">
        <is>
          <t>Cambios de dificultad</t>
        </is>
      </c>
      <c r="F6" s="0">
        <v>3</v>
      </c>
      <c r="G6" s="0" t="inlineStr">
        <is>
          <t>Eventos de adaptación de dificultad</t>
        </is>
      </c>
    </row>
    <row r="7" ht="17" customHeight="1">
      <c r="A7" s="6" t="inlineStr">
        <is>
          <t>Aciertos (Success)</t>
        </is>
      </c>
      <c r="B7" s="6">
        <v>70.0</v>
      </c>
      <c r="C7" s="6">
        <f>COUNTIF('Interacciones'!$F$2:$F$129,"Success")</f>
        <v>70</v>
      </c>
      <c r="E7" s="6" t="inlineStr">
        <is>
          <t>Estados del jugador</t>
        </is>
      </c>
      <c r="F7" s="6">
        <v>21</v>
      </c>
      <c r="G7" s="6" t="inlineStr">
        <is>
          <t>Cambios globales de estado</t>
        </is>
      </c>
    </row>
    <row r="8" ht="17" customHeight="1">
      <c r="A8" s="0" t="inlineStr">
        <is>
          <t>Fallos (Failed)</t>
        </is>
      </c>
      <c r="B8" s="0">
        <v>54.0</v>
      </c>
      <c r="C8" s="0">
        <f>COUNTIF('Interacciones'!$F$2:$F$129,"Failed")</f>
        <v>54</v>
      </c>
      <c r="E8" s="0" t="inlineStr">
        <is>
          <t>Eventos totales</t>
        </is>
      </c>
      <c r="F8" s="0">
        <v>152</v>
      </c>
      <c r="G8" s="0" t="inlineStr">
        <is>
          <t>Incluye todos los tipos de eventos</t>
        </is>
      </c>
    </row>
    <row r="9" ht="17" customHeight="1">
      <c r="A9" s="6" t="inlineStr">
        <is>
          <t>Omisiones (Missed)</t>
        </is>
      </c>
      <c r="B9" s="6">
        <v>4.0</v>
      </c>
      <c r="C9" s="6">
        <f>COUNTIF('Interacciones'!$F$2:$F$129,"Missed")</f>
        <v>4</v>
      </c>
      <c r="E9" s="6" t="inlineStr">
        <is>
          <t>Otros eventos</t>
        </is>
      </c>
      <c r="F9" s="6">
        <v>0</v>
      </c>
      <c r="G9" s="6" t="inlineStr">
        <is>
          <t>Eventos sin categoría estándar</t>
        </is>
      </c>
    </row>
    <row r="10" ht="17" customHeight="1">
      <c r="A10" s="0" t="inlineStr">
        <is>
          <t>Tasa de éxito</t>
        </is>
      </c>
      <c r="B10" s="0">
        <v>0.5469</v>
      </c>
      <c r="C10" s="0">
        <f>IFERROR(C7/C6,0)</f>
        <v>0.546875</v>
      </c>
    </row>
    <row r="11" ht="17" customHeight="1">
      <c r="A11" s="6" t="inlineStr">
        <is>
          <t>Error timing medio (s)</t>
        </is>
      </c>
      <c r="B11" s="6">
        <v>0.2904</v>
      </c>
      <c r="C11" s="6">
        <f>IFERROR(AVERAGE('Interacciones'!$K$2:$K$129),"")</f>
        <v>0.2903531914893617</v>
      </c>
    </row>
    <row r="12" ht="17" customHeight="1">
      <c r="A12" s="0" t="inlineStr">
        <is>
          <t>Reacción media (s)</t>
        </is>
      </c>
      <c r="B12" s="0">
        <v>0.4569</v>
      </c>
      <c r="C12" s="0">
        <f>IFERROR(AVERAGE('Interacciones'!$L$2:$L$129),"")</f>
        <v>0.45688666666666666</v>
      </c>
    </row>
    <row r="13" ht="17" customHeight="1">
      <c r="A13" s="6" t="inlineStr">
        <is>
          <t>Precisión espacial media</t>
        </is>
      </c>
      <c r="B13" s="6">
        <v>0.0</v>
      </c>
      <c r="C13" s="6" t="str">
        <f>IFERROR(AVERAGE('Interacciones'!$M$2:$M$129),"")</f>
        <v/>
      </c>
    </row>
    <row r="14" ht="17" customHeight="1">
      <c r="A14" s="0" t="inlineStr">
        <is>
          <t>Precisión dirección media</t>
        </is>
      </c>
      <c r="B14" s="0">
        <v>0.6444</v>
      </c>
      <c r="C14" s="0">
        <f>IFERROR(AVERAGE('Interacciones'!$N$2:$N$129),"")</f>
        <v>0.6444444444444445</v>
      </c>
    </row>
    <row r="15" ht="17" customHeight="1"/>
    <row r="16" ht="17" customHeight="1">
      <c r="A16" s="0" t="inlineStr">
        <is>
          <t>Observaciones</t>
        </is>
      </c>
    </row>
    <row r="17" ht="17" customHeight="1">
      <c r="A17" s="6" t="inlineStr">
        <is>
          <t>N/A se conserva como celda vacía: no equivale a cero.</t>
        </is>
      </c>
    </row>
    <row r="18" ht="17" customHeight="1">
      <c r="A18" s="0" t="inlineStr">
        <is>
          <t>Si no hay valores de precisión espacial, el promedio recalculado queda vacío; el log puede reportar 0.</t>
        </is>
      </c>
    </row>
    <row r="19" ht="17" customHeight="1">
      <c r="A19" s="6" t="inlineStr">
        <is>
          <t>Los estados del jugador no se asignan a minijuegos cuando el log no los identifica.</t>
        </is>
      </c>
    </row>
    <row r="20" ht="17" customHeight="1">
      <c r="A20" s="0" t="inlineStr">
        <is>
          <t>Se cuentan eventos tal como aparecen, incluso si comparten marca temporal; no se eliminan duplicados.</t>
        </is>
      </c>
    </row>
  </sheetData>
  <pageMargins left="0.4" right="0.4" top="0.7" bottom="0.7" header="0.3" footer="0.3"/>
</worksheet>
</file>

<file path=xl/worksheets/sheet2.xml><?xml version="1.0" encoding="utf-8"?>
<worksheet xmlns="http://schemas.openxmlformats.org/spreadsheetml/2006/main">
  <dimension ref="A1:J10"/>
  <sheetViews>
    <sheetView workbookViewId="0">
      <pane ySplit="4" topLeftCell="A5" activePane="bottomLeft" state="frozen"/>
    </sheetView>
  </sheetViews>
  <sheetFormatPr defaultRowHeight="17"/>
  <cols>
    <col min="1" max="1" width="22" customWidth="1"/>
    <col min="2" max="2" width="18" customWidth="1"/>
    <col min="3" max="3" width="14" customWidth="1"/>
    <col min="4" max="4" width="14" customWidth="1"/>
    <col min="5" max="5" width="14" customWidth="1"/>
    <col min="6" max="6" width="15" customWidth="1"/>
    <col min="7" max="7" width="19" customWidth="1"/>
    <col min="8" max="8" width="20" customWidth="1"/>
    <col min="9" max="9" width="17" customWidth="1"/>
    <col min="10" max="10" width="34" customWidth="1"/>
  </cols>
  <sheetData>
    <row r="1" ht="30" customHeight="1">
      <c r="A1" s="2" t="inlineStr">
        <is>
          <t>Rendimiento por minijuego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Interacciones</t>
        </is>
      </c>
      <c r="C4" s="1" t="inlineStr">
        <is>
          <t>Aciertos</t>
        </is>
      </c>
      <c r="D4" s="1" t="inlineStr">
        <is>
          <t>Fallos</t>
        </is>
      </c>
      <c r="E4" s="1" t="inlineStr">
        <is>
          <t>Omitidos</t>
        </is>
      </c>
      <c r="F4" s="1" t="inlineStr">
        <is>
          <t>TasaExito</t>
        </is>
      </c>
      <c r="G4" s="1" t="inlineStr">
        <is>
          <t>ErrorMedio_s</t>
        </is>
      </c>
      <c r="H4" s="1" t="inlineStr">
        <is>
          <t>ReaccionMedia_s</t>
        </is>
      </c>
      <c r="I4" s="1" t="inlineStr">
        <is>
          <t>CambiosDDA</t>
        </is>
      </c>
      <c r="J4" s="1" t="inlineStr">
        <is>
          <t>AccionesRegistradas</t>
        </is>
      </c>
    </row>
    <row r="5" ht="17" customHeight="1">
      <c r="A5" s="6" t="inlineStr">
        <is>
          <t>Alex</t>
        </is>
      </c>
      <c r="B5" s="6">
        <f>COUNTIF('Interacciones'!$D$2:$D$129,$A5)</f>
        <v>45</v>
      </c>
      <c r="C5" s="6">
        <f>COUNTIFS('Interacciones'!$D$2:$D$129,$A5,'Interacciones'!$F$2:$F$129,"Success")</f>
        <v>24</v>
      </c>
      <c r="D5" s="6">
        <f>COUNTIFS('Interacciones'!$D$2:$D$129,$A5,'Interacciones'!$F$2:$F$129,"Failed")</f>
        <v>18</v>
      </c>
      <c r="E5" s="6">
        <f>COUNTIFS('Interacciones'!$D$2:$D$129,$A5,'Interacciones'!$F$2:$F$129,"Missed")</f>
        <v>3</v>
      </c>
      <c r="F5" s="3">
        <f>IFERROR(C5/B5,0)</f>
        <v>0.5333333333333333</v>
      </c>
      <c r="G5" s="4">
        <f>IFERROR(AVERAGEIF('Interacciones'!$D$2:$D$129,$A5,'Interacciones'!$K$2:$K$129),"")</f>
        <v>0.031773333333333334</v>
      </c>
      <c r="H5" s="4" t="str">
        <f>IFERROR(AVERAGEIF('Interacciones'!$D$2:$D$129,$A5,'Interacciones'!$L$2:$L$129),"")</f>
        <v/>
      </c>
      <c r="I5" s="6">
        <f>COUNTIF('Adaptaciones'!$C$2:$C$4,$A5)</f>
        <v>1</v>
      </c>
      <c r="J5" s="6" t="inlineStr">
        <is>
          <t>HammerHit, HammerTouch</t>
        </is>
      </c>
    </row>
    <row r="6" ht="17" customHeight="1">
      <c r="A6" s="0" t="inlineStr">
        <is>
          <t>Danniel</t>
        </is>
      </c>
      <c r="B6" s="0">
        <f>COUNTIF('Interacciones'!$D$2:$D$129,$A6)</f>
        <v>18</v>
      </c>
      <c r="C6" s="0">
        <f>COUNTIFS('Interacciones'!$D$2:$D$129,$A6,'Interacciones'!$F$2:$F$129,"Success")</f>
        <v>9</v>
      </c>
      <c r="D6" s="0">
        <f>COUNTIFS('Interacciones'!$D$2:$D$129,$A6,'Interacciones'!$F$2:$F$129,"Failed")</f>
        <v>9</v>
      </c>
      <c r="E6" s="0">
        <f>COUNTIFS('Interacciones'!$D$2:$D$129,$A6,'Interacciones'!$F$2:$F$129,"Missed")</f>
        <v>0</v>
      </c>
      <c r="F6" s="3">
        <f>IFERROR(C6/B6,0)</f>
        <v>0.5</v>
      </c>
      <c r="G6" s="4">
        <f>IFERROR(AVERAGEIF('Interacciones'!$D$2:$D$129,$A6,'Interacciones'!$K$2:$K$129),"")</f>
        <v>0.09984444444444444</v>
      </c>
      <c r="H6" s="4" t="str">
        <f>IFERROR(AVERAGEIF('Interacciones'!$D$2:$D$129,$A6,'Interacciones'!$L$2:$L$129),"")</f>
        <v/>
      </c>
      <c r="I6" s="0">
        <f>COUNTIF('Adaptaciones'!$C$2:$C$4,$A6)</f>
        <v>0</v>
      </c>
      <c r="J6" s="0" t="inlineStr">
        <is>
          <t>GunShoot</t>
        </is>
      </c>
    </row>
    <row r="7" ht="17" customHeight="1">
      <c r="A7" s="6" t="inlineStr">
        <is>
          <t>Jeremy</t>
        </is>
      </c>
      <c r="B7" s="6">
        <f>COUNTIF('Interacciones'!$D$2:$D$129,$A7)</f>
        <v>8</v>
      </c>
      <c r="C7" s="6">
        <f>COUNTIFS('Interacciones'!$D$2:$D$129,$A7,'Interacciones'!$F$2:$F$129,"Success")</f>
        <v>3</v>
      </c>
      <c r="D7" s="6">
        <f>COUNTIFS('Interacciones'!$D$2:$D$129,$A7,'Interacciones'!$F$2:$F$129,"Failed")</f>
        <v>4</v>
      </c>
      <c r="E7" s="6">
        <f>COUNTIFS('Interacciones'!$D$2:$D$129,$A7,'Interacciones'!$F$2:$F$129,"Missed")</f>
        <v>1</v>
      </c>
      <c r="F7" s="3">
        <f>IFERROR(C7/B7,0)</f>
        <v>0.375</v>
      </c>
      <c r="G7" s="4">
        <f>IFERROR(AVERAGEIF('Interacciones'!$D$2:$D$129,$A7,'Interacciones'!$K$2:$K$129),"")</f>
        <v>0.1404</v>
      </c>
      <c r="H7" s="4" t="str">
        <f>IFERROR(AVERAGEIF('Interacciones'!$D$2:$D$129,$A7,'Interacciones'!$L$2:$L$129),"")</f>
        <v/>
      </c>
      <c r="I7" s="6">
        <f>COUNTIF('Adaptaciones'!$C$2:$C$4,$A7)</f>
        <v>0</v>
      </c>
      <c r="J7" s="6" t="inlineStr">
        <is>
          <t>SwordCut</t>
        </is>
      </c>
    </row>
    <row r="8" ht="17" customHeight="1">
      <c r="A8" s="0" t="inlineStr">
        <is>
          <t>Joaquin</t>
        </is>
      </c>
      <c r="B8" s="0">
        <f>COUNTIF('Interacciones'!$D$2:$D$129,$A8)</f>
        <v>15</v>
      </c>
      <c r="C8" s="0">
        <f>COUNTIFS('Interacciones'!$D$2:$D$129,$A8,'Interacciones'!$F$2:$F$129,"Success")</f>
        <v>10</v>
      </c>
      <c r="D8" s="0">
        <f>COUNTIFS('Interacciones'!$D$2:$D$129,$A8,'Interacciones'!$F$2:$F$129,"Failed")</f>
        <v>5</v>
      </c>
      <c r="E8" s="0">
        <f>COUNTIFS('Interacciones'!$D$2:$D$129,$A8,'Interacciones'!$F$2:$F$129,"Missed")</f>
        <v>0</v>
      </c>
      <c r="F8" s="3">
        <f>IFERROR(C8/B8,0)</f>
        <v>0.6666666666666666</v>
      </c>
      <c r="G8" s="4">
        <f>IFERROR(AVERAGEIF('Interacciones'!$D$2:$D$129,$A8,'Interacciones'!$K$2:$K$129),"")</f>
        <v>0.08538</v>
      </c>
      <c r="H8" s="4" t="str">
        <f>IFERROR(AVERAGEIF('Interacciones'!$D$2:$D$129,$A8,'Interacciones'!$L$2:$L$129),"")</f>
        <v/>
      </c>
      <c r="I8" s="0">
        <f>COUNTIF('Adaptaciones'!$C$2:$C$4,$A8)</f>
        <v>1</v>
      </c>
      <c r="J8" s="0" t="inlineStr">
        <is>
          <t>GuitarHit, PlayerHit</t>
        </is>
      </c>
    </row>
    <row r="9" ht="17" customHeight="1">
      <c r="A9" s="6" t="inlineStr">
        <is>
          <t>JuanAndres</t>
        </is>
      </c>
      <c r="B9" s="6">
        <f>COUNTIF('Interacciones'!$D$2:$D$129,$A9)</f>
        <v>23</v>
      </c>
      <c r="C9" s="6">
        <f>COUNTIFS('Interacciones'!$D$2:$D$129,$A9,'Interacciones'!$F$2:$F$129,"Success")</f>
        <v>12</v>
      </c>
      <c r="D9" s="6">
        <f>COUNTIFS('Interacciones'!$D$2:$D$129,$A9,'Interacciones'!$F$2:$F$129,"Failed")</f>
        <v>11</v>
      </c>
      <c r="E9" s="6">
        <f>COUNTIFS('Interacciones'!$D$2:$D$129,$A9,'Interacciones'!$F$2:$F$129,"Missed")</f>
        <v>0</v>
      </c>
      <c r="F9" s="3">
        <f>IFERROR(C9/B9,0)</f>
        <v>0.5217391304347826</v>
      </c>
      <c r="G9" s="4">
        <f>IFERROR(AVERAGEIF('Interacciones'!$D$2:$D$129,$A9,'Interacciones'!$K$2:$K$129),"")</f>
        <v>0.7733086956521739</v>
      </c>
      <c r="H9" s="4" t="str">
        <f>IFERROR(AVERAGEIF('Interacciones'!$D$2:$D$129,$A9,'Interacciones'!$L$2:$L$129),"")</f>
        <v/>
      </c>
      <c r="I9" s="6">
        <f>COUNTIF('Adaptaciones'!$C$2:$C$4,$A9)</f>
        <v>1</v>
      </c>
      <c r="J9" s="6" t="inlineStr">
        <is>
          <t>GroomStroke</t>
        </is>
      </c>
    </row>
    <row r="10" ht="17" customHeight="1">
      <c r="A10" s="0" t="inlineStr">
        <is>
          <t>Shipi</t>
        </is>
      </c>
      <c r="B10" s="0">
        <f>COUNTIF('Interacciones'!$D$2:$D$129,$A10)</f>
        <v>19</v>
      </c>
      <c r="C10" s="0">
        <f>COUNTIFS('Interacciones'!$D$2:$D$129,$A10,'Interacciones'!$F$2:$F$129,"Success")</f>
        <v>12</v>
      </c>
      <c r="D10" s="0">
        <f>COUNTIFS('Interacciones'!$D$2:$D$129,$A10,'Interacciones'!$F$2:$F$129,"Failed")</f>
        <v>7</v>
      </c>
      <c r="E10" s="0">
        <f>COUNTIFS('Interacciones'!$D$2:$D$129,$A10,'Interacciones'!$F$2:$F$129,"Missed")</f>
        <v>0</v>
      </c>
      <c r="F10" s="3">
        <f>IFERROR(C10/B10,0)</f>
        <v>0.631578947368421</v>
      </c>
      <c r="G10" s="4">
        <f>IFERROR(AVERAGEIF('Interacciones'!$D$2:$D$129,$A10,'Interacciones'!$K$2:$K$129),"")</f>
        <v>0.38791333333333333</v>
      </c>
      <c r="H10" s="4">
        <f>IFERROR(AVERAGEIF('Interacciones'!$D$2:$D$129,$A10,'Interacciones'!$L$2:$L$129),"")</f>
        <v>0.45688666666666666</v>
      </c>
      <c r="I10" s="0">
        <f>COUNTIF('Adaptaciones'!$C$2:$C$4,$A10)</f>
        <v>0</v>
      </c>
      <c r="J10" s="0" t="inlineStr">
        <is>
          <t>FoodClear, FoodCut</t>
        </is>
      </c>
    </row>
  </sheetData>
  <autoFilter ref="A4:J10"/>
  <pageMargins left="0.4" right="0.4" top="0.7" bottom="0.7" header="0.3" footer="0.3"/>
</worksheet>
</file>

<file path=xl/worksheets/sheet3.xml><?xml version="1.0" encoding="utf-8"?>
<worksheet xmlns="http://schemas.openxmlformats.org/spreadsheetml/2006/main">
  <dimension ref="A1:I13"/>
  <sheetViews>
    <sheetView workbookViewId="0">
      <pane ySplit="4" topLeftCell="A5" activePane="bottomLeft" state="frozen"/>
    </sheetView>
  </sheetViews>
  <sheetFormatPr defaultRowHeight="17"/>
  <cols>
    <col min="1" max="1" width="23" customWidth="1"/>
    <col min="2" max="2" width="23" customWidth="1"/>
    <col min="3" max="3" width="19" customWidth="1"/>
    <col min="4" max="4" width="14" customWidth="1"/>
    <col min="5" max="5" width="14" customWidth="1"/>
    <col min="6" max="6" width="14" customWidth="1"/>
    <col min="7" max="7" width="15" customWidth="1"/>
    <col min="8" max="8" width="20" customWidth="1"/>
    <col min="9" max="9" width="22" customWidth="1"/>
  </cols>
  <sheetData>
    <row r="1" ht="30" customHeight="1">
      <c r="A1" s="2" t="inlineStr">
        <is>
          <t>Rendimiento por tipo de acción</t>
        </is>
      </c>
    </row>
    <row r="2" ht="17" customHeight="1"/>
    <row r="3" ht="17" customHeight="1"/>
    <row r="4" ht="22" customHeight="1">
      <c r="A4" s="1" t="inlineStr">
        <is>
          <t>Minijuego</t>
        </is>
      </c>
      <c r="B4" s="1" t="inlineStr">
        <is>
          <t>TipoAccion</t>
        </is>
      </c>
      <c r="C4" s="1" t="inlineStr">
        <is>
          <t>Interacciones</t>
        </is>
      </c>
      <c r="D4" s="1" t="inlineStr">
        <is>
          <t>Aciertos</t>
        </is>
      </c>
      <c r="E4" s="1" t="inlineStr">
        <is>
          <t>Fallos</t>
        </is>
      </c>
      <c r="F4" s="1" t="inlineStr">
        <is>
          <t>Omitidos</t>
        </is>
      </c>
      <c r="G4" s="1" t="inlineStr">
        <is>
          <t>TasaExito</t>
        </is>
      </c>
      <c r="H4" s="1" t="inlineStr">
        <is>
          <t>ErrorMedio_s</t>
        </is>
      </c>
      <c r="I4" s="1" t="inlineStr">
        <is>
          <t>ReaccionMedia_s</t>
        </is>
      </c>
    </row>
    <row r="5" ht="17" customHeight="1">
      <c r="A5" s="6" t="inlineStr">
        <is>
          <t>Alex</t>
        </is>
      </c>
      <c r="B5" s="6" t="inlineStr">
        <is>
          <t>HammerHit</t>
        </is>
      </c>
      <c r="C5" s="6">
        <f>COUNTIFS('Interacciones'!$D$2:$D$129,$A5,'Interacciones'!$E$2:$E$129,$B5)</f>
        <v>40</v>
      </c>
      <c r="D5" s="6">
        <f>COUNTIFS('Interacciones'!$D$2:$D$129,$A5,'Interacciones'!$E$2:$E$129,$B5,'Interacciones'!$F$2:$F$129,"Success")</f>
        <v>22</v>
      </c>
      <c r="E5" s="6">
        <f>COUNTIFS('Interacciones'!$D$2:$D$129,$A5,'Interacciones'!$E$2:$E$129,$B5,'Interacciones'!$F$2:$F$129,"Failed")</f>
        <v>18</v>
      </c>
      <c r="F5" s="6">
        <f>COUNTIFS('Interacciones'!$D$2:$D$129,$A5,'Interacciones'!$E$2:$E$129,$B5,'Interacciones'!$F$2:$F$129,"Missed")</f>
        <v>0</v>
      </c>
      <c r="G5" s="3">
        <f>IFERROR(D5/C5,0)</f>
        <v>0.55</v>
      </c>
      <c r="H5" s="4">
        <f>IFERROR(AVERAGEIFS('Interacciones'!$K$2:$K$129,'Interacciones'!$D$2:$D$129,$A5,'Interacciones'!$E$2:$E$129,$B5),"")</f>
        <v>0.031773333333333334</v>
      </c>
      <c r="I5" s="4" t="str">
        <f>IFERROR(AVERAGEIFS('Interacciones'!$L$2:$L$129,'Interacciones'!$D$2:$D$129,$A5,'Interacciones'!$E$2:$E$129,$B5),"")</f>
        <v/>
      </c>
    </row>
    <row r="6" ht="17" customHeight="1">
      <c r="A6" s="0" t="inlineStr">
        <is>
          <t>Alex</t>
        </is>
      </c>
      <c r="B6" s="0" t="inlineStr">
        <is>
          <t>HammerTouch</t>
        </is>
      </c>
      <c r="C6" s="0">
        <f>COUNTIFS('Interacciones'!$D$2:$D$129,$A6,'Interacciones'!$E$2:$E$129,$B6)</f>
        <v>5</v>
      </c>
      <c r="D6" s="0">
        <f>COUNTIFS('Interacciones'!$D$2:$D$129,$A6,'Interacciones'!$E$2:$E$129,$B6,'Interacciones'!$F$2:$F$129,"Success")</f>
        <v>2</v>
      </c>
      <c r="E6" s="0">
        <f>COUNTIFS('Interacciones'!$D$2:$D$129,$A6,'Interacciones'!$E$2:$E$129,$B6,'Interacciones'!$F$2:$F$129,"Failed")</f>
        <v>0</v>
      </c>
      <c r="F6" s="0">
        <f>COUNTIFS('Interacciones'!$D$2:$D$129,$A6,'Interacciones'!$E$2:$E$129,$B6,'Interacciones'!$F$2:$F$129,"Missed")</f>
        <v>3</v>
      </c>
      <c r="G6" s="3">
        <f>IFERROR(D6/C6,0)</f>
        <v>0.4</v>
      </c>
      <c r="H6" s="4" t="str">
        <f>IFERROR(AVERAGEIFS('Interacciones'!$K$2:$K$129,'Interacciones'!$D$2:$D$129,$A6,'Interacciones'!$E$2:$E$129,$B6),"")</f>
        <v/>
      </c>
      <c r="I6" s="4" t="str">
        <f>IFERROR(AVERAGEIFS('Interacciones'!$L$2:$L$129,'Interacciones'!$D$2:$D$129,$A6,'Interacciones'!$E$2:$E$129,$B6),"")</f>
        <v/>
      </c>
    </row>
    <row r="7" ht="17" customHeight="1">
      <c r="A7" s="6" t="inlineStr">
        <is>
          <t>Danniel</t>
        </is>
      </c>
      <c r="B7" s="6" t="inlineStr">
        <is>
          <t>GunShoot</t>
        </is>
      </c>
      <c r="C7" s="6">
        <f>COUNTIFS('Interacciones'!$D$2:$D$129,$A7,'Interacciones'!$E$2:$E$129,$B7)</f>
        <v>18</v>
      </c>
      <c r="D7" s="6">
        <f>COUNTIFS('Interacciones'!$D$2:$D$129,$A7,'Interacciones'!$E$2:$E$129,$B7,'Interacciones'!$F$2:$F$129,"Success")</f>
        <v>9</v>
      </c>
      <c r="E7" s="6">
        <f>COUNTIFS('Interacciones'!$D$2:$D$129,$A7,'Interacciones'!$E$2:$E$129,$B7,'Interacciones'!$F$2:$F$129,"Failed")</f>
        <v>9</v>
      </c>
      <c r="F7" s="6">
        <f>COUNTIFS('Interacciones'!$D$2:$D$129,$A7,'Interacciones'!$E$2:$E$129,$B7,'Interacciones'!$F$2:$F$129,"Missed")</f>
        <v>0</v>
      </c>
      <c r="G7" s="3">
        <f>IFERROR(D7/C7,0)</f>
        <v>0.5</v>
      </c>
      <c r="H7" s="4">
        <f>IFERROR(AVERAGEIFS('Interacciones'!$K$2:$K$129,'Interacciones'!$D$2:$D$129,$A7,'Interacciones'!$E$2:$E$129,$B7),"")</f>
        <v>0.09984444444444444</v>
      </c>
      <c r="I7" s="4" t="str">
        <f>IFERROR(AVERAGEIFS('Interacciones'!$L$2:$L$129,'Interacciones'!$D$2:$D$129,$A7,'Interacciones'!$E$2:$E$129,$B7),"")</f>
        <v/>
      </c>
    </row>
    <row r="8" ht="17" customHeight="1">
      <c r="A8" s="0" t="inlineStr">
        <is>
          <t>Jeremy</t>
        </is>
      </c>
      <c r="B8" s="0" t="inlineStr">
        <is>
          <t>SwordCut</t>
        </is>
      </c>
      <c r="C8" s="0">
        <f>COUNTIFS('Interacciones'!$D$2:$D$129,$A8,'Interacciones'!$E$2:$E$129,$B8)</f>
        <v>8</v>
      </c>
      <c r="D8" s="0">
        <f>COUNTIFS('Interacciones'!$D$2:$D$129,$A8,'Interacciones'!$E$2:$E$129,$B8,'Interacciones'!$F$2:$F$129,"Success")</f>
        <v>3</v>
      </c>
      <c r="E8" s="0">
        <f>COUNTIFS('Interacciones'!$D$2:$D$129,$A8,'Interacciones'!$E$2:$E$129,$B8,'Interacciones'!$F$2:$F$129,"Failed")</f>
        <v>4</v>
      </c>
      <c r="F8" s="0">
        <f>COUNTIFS('Interacciones'!$D$2:$D$129,$A8,'Interacciones'!$E$2:$E$129,$B8,'Interacciones'!$F$2:$F$129,"Missed")</f>
        <v>1</v>
      </c>
      <c r="G8" s="3">
        <f>IFERROR(D8/C8,0)</f>
        <v>0.375</v>
      </c>
      <c r="H8" s="4">
        <f>IFERROR(AVERAGEIFS('Interacciones'!$K$2:$K$129,'Interacciones'!$D$2:$D$129,$A8,'Interacciones'!$E$2:$E$129,$B8),"")</f>
        <v>0.1404</v>
      </c>
      <c r="I8" s="4" t="str">
        <f>IFERROR(AVERAGEIFS('Interacciones'!$L$2:$L$129,'Interacciones'!$D$2:$D$129,$A8,'Interacciones'!$E$2:$E$129,$B8),"")</f>
        <v/>
      </c>
    </row>
    <row r="9" ht="17" customHeight="1">
      <c r="A9" s="6" t="inlineStr">
        <is>
          <t>Joaquin</t>
        </is>
      </c>
      <c r="B9" s="6" t="inlineStr">
        <is>
          <t>GuitarHit</t>
        </is>
      </c>
      <c r="C9" s="6">
        <f>COUNTIFS('Interacciones'!$D$2:$D$129,$A9,'Interacciones'!$E$2:$E$129,$B9)</f>
        <v>10</v>
      </c>
      <c r="D9" s="6">
        <f>COUNTIFS('Interacciones'!$D$2:$D$129,$A9,'Interacciones'!$E$2:$E$129,$B9,'Interacciones'!$F$2:$F$129,"Success")</f>
        <v>10</v>
      </c>
      <c r="E9" s="6">
        <f>COUNTIFS('Interacciones'!$D$2:$D$129,$A9,'Interacciones'!$E$2:$E$129,$B9,'Interacciones'!$F$2:$F$129,"Failed")</f>
        <v>0</v>
      </c>
      <c r="F9" s="6">
        <f>COUNTIFS('Interacciones'!$D$2:$D$129,$A9,'Interacciones'!$E$2:$E$129,$B9,'Interacciones'!$F$2:$F$129,"Missed")</f>
        <v>0</v>
      </c>
      <c r="G9" s="3">
        <f>IFERROR(D9/C9,0)</f>
        <v>1.0</v>
      </c>
      <c r="H9" s="4">
        <f>IFERROR(AVERAGEIFS('Interacciones'!$K$2:$K$129,'Interacciones'!$D$2:$D$129,$A9,'Interacciones'!$E$2:$E$129,$B9),"")</f>
        <v>0.08538</v>
      </c>
      <c r="I9" s="4" t="str">
        <f>IFERROR(AVERAGEIFS('Interacciones'!$L$2:$L$129,'Interacciones'!$D$2:$D$129,$A9,'Interacciones'!$E$2:$E$129,$B9),"")</f>
        <v/>
      </c>
    </row>
    <row r="10" ht="17" customHeight="1">
      <c r="A10" s="0" t="inlineStr">
        <is>
          <t>Joaquin</t>
        </is>
      </c>
      <c r="B10" s="0" t="inlineStr">
        <is>
          <t>PlayerHit</t>
        </is>
      </c>
      <c r="C10" s="0">
        <f>COUNTIFS('Interacciones'!$D$2:$D$129,$A10,'Interacciones'!$E$2:$E$129,$B10)</f>
        <v>5</v>
      </c>
      <c r="D10" s="0">
        <f>COUNTIFS('Interacciones'!$D$2:$D$129,$A10,'Interacciones'!$E$2:$E$129,$B10,'Interacciones'!$F$2:$F$129,"Success")</f>
        <v>0</v>
      </c>
      <c r="E10" s="0">
        <f>COUNTIFS('Interacciones'!$D$2:$D$129,$A10,'Interacciones'!$E$2:$E$129,$B10,'Interacciones'!$F$2:$F$129,"Failed")</f>
        <v>5</v>
      </c>
      <c r="F10" s="0">
        <f>COUNTIFS('Interacciones'!$D$2:$D$129,$A10,'Interacciones'!$E$2:$E$129,$B10,'Interacciones'!$F$2:$F$129,"Missed")</f>
        <v>0</v>
      </c>
      <c r="G10" s="3">
        <f>IFERROR(D10/C10,0)</f>
        <v>0.0</v>
      </c>
      <c r="H10" s="4" t="str">
        <f>IFERROR(AVERAGEIFS('Interacciones'!$K$2:$K$129,'Interacciones'!$D$2:$D$129,$A10,'Interacciones'!$E$2:$E$129,$B10),"")</f>
        <v/>
      </c>
      <c r="I10" s="4" t="str">
        <f>IFERROR(AVERAGEIFS('Interacciones'!$L$2:$L$129,'Interacciones'!$D$2:$D$129,$A10,'Interacciones'!$E$2:$E$129,$B10),"")</f>
        <v/>
      </c>
    </row>
    <row r="11" ht="17" customHeight="1">
      <c r="A11" s="6" t="inlineStr">
        <is>
          <t>JuanAndres</t>
        </is>
      </c>
      <c r="B11" s="6" t="inlineStr">
        <is>
          <t>GroomStroke</t>
        </is>
      </c>
      <c r="C11" s="6">
        <f>COUNTIFS('Interacciones'!$D$2:$D$129,$A11,'Interacciones'!$E$2:$E$129,$B11)</f>
        <v>23</v>
      </c>
      <c r="D11" s="6">
        <f>COUNTIFS('Interacciones'!$D$2:$D$129,$A11,'Interacciones'!$E$2:$E$129,$B11,'Interacciones'!$F$2:$F$129,"Success")</f>
        <v>12</v>
      </c>
      <c r="E11" s="6">
        <f>COUNTIFS('Interacciones'!$D$2:$D$129,$A11,'Interacciones'!$E$2:$E$129,$B11,'Interacciones'!$F$2:$F$129,"Failed")</f>
        <v>11</v>
      </c>
      <c r="F11" s="6">
        <f>COUNTIFS('Interacciones'!$D$2:$D$129,$A11,'Interacciones'!$E$2:$E$129,$B11,'Interacciones'!$F$2:$F$129,"Missed")</f>
        <v>0</v>
      </c>
      <c r="G11" s="3">
        <f>IFERROR(D11/C11,0)</f>
        <v>0.5217391304347826</v>
      </c>
      <c r="H11" s="4">
        <f>IFERROR(AVERAGEIFS('Interacciones'!$K$2:$K$129,'Interacciones'!$D$2:$D$129,$A11,'Interacciones'!$E$2:$E$129,$B11),"")</f>
        <v>0.7733086956521739</v>
      </c>
      <c r="I11" s="4" t="str">
        <f>IFERROR(AVERAGEIFS('Interacciones'!$L$2:$L$129,'Interacciones'!$D$2:$D$129,$A11,'Interacciones'!$E$2:$E$129,$B11),"")</f>
        <v/>
      </c>
    </row>
    <row r="12" ht="17" customHeight="1">
      <c r="A12" s="0" t="inlineStr">
        <is>
          <t>Shipi</t>
        </is>
      </c>
      <c r="B12" s="0" t="inlineStr">
        <is>
          <t>FoodClear</t>
        </is>
      </c>
      <c r="C12" s="0">
        <f>COUNTIFS('Interacciones'!$D$2:$D$129,$A12,'Interacciones'!$E$2:$E$129,$B12)</f>
        <v>2</v>
      </c>
      <c r="D12" s="0">
        <f>COUNTIFS('Interacciones'!$D$2:$D$129,$A12,'Interacciones'!$E$2:$E$129,$B12,'Interacciones'!$F$2:$F$129,"Success")</f>
        <v>2</v>
      </c>
      <c r="E12" s="0">
        <f>COUNTIFS('Interacciones'!$D$2:$D$129,$A12,'Interacciones'!$E$2:$E$129,$B12,'Interacciones'!$F$2:$F$129,"Failed")</f>
        <v>0</v>
      </c>
      <c r="F12" s="0">
        <f>COUNTIFS('Interacciones'!$D$2:$D$129,$A12,'Interacciones'!$E$2:$E$129,$B12,'Interacciones'!$F$2:$F$129,"Missed")</f>
        <v>0</v>
      </c>
      <c r="G12" s="3">
        <f>IFERROR(D12/C12,0)</f>
        <v>1.0</v>
      </c>
      <c r="H12" s="4" t="str">
        <f>IFERROR(AVERAGEIFS('Interacciones'!$K$2:$K$129,'Interacciones'!$D$2:$D$129,$A12,'Interacciones'!$E$2:$E$129,$B12),"")</f>
        <v/>
      </c>
      <c r="I12" s="4" t="str">
        <f>IFERROR(AVERAGEIFS('Interacciones'!$L$2:$L$129,'Interacciones'!$D$2:$D$129,$A12,'Interacciones'!$E$2:$E$129,$B12),"")</f>
        <v/>
      </c>
    </row>
    <row r="13" ht="17" customHeight="1">
      <c r="A13" s="6" t="inlineStr">
        <is>
          <t>Shipi</t>
        </is>
      </c>
      <c r="B13" s="6" t="inlineStr">
        <is>
          <t>FoodCut</t>
        </is>
      </c>
      <c r="C13" s="6">
        <f>COUNTIFS('Interacciones'!$D$2:$D$129,$A13,'Interacciones'!$E$2:$E$129,$B13)</f>
        <v>17</v>
      </c>
      <c r="D13" s="6">
        <f>COUNTIFS('Interacciones'!$D$2:$D$129,$A13,'Interacciones'!$E$2:$E$129,$B13,'Interacciones'!$F$2:$F$129,"Success")</f>
        <v>10</v>
      </c>
      <c r="E13" s="6">
        <f>COUNTIFS('Interacciones'!$D$2:$D$129,$A13,'Interacciones'!$E$2:$E$129,$B13,'Interacciones'!$F$2:$F$129,"Failed")</f>
        <v>7</v>
      </c>
      <c r="F13" s="6">
        <f>COUNTIFS('Interacciones'!$D$2:$D$129,$A13,'Interacciones'!$E$2:$E$129,$B13,'Interacciones'!$F$2:$F$129,"Missed")</f>
        <v>0</v>
      </c>
      <c r="G13" s="3">
        <f>IFERROR(D13/C13,0)</f>
        <v>0.5882352941176471</v>
      </c>
      <c r="H13" s="4">
        <f>IFERROR(AVERAGEIFS('Interacciones'!$K$2:$K$129,'Interacciones'!$D$2:$D$129,$A13,'Interacciones'!$E$2:$E$129,$B13),"")</f>
        <v>0.38791333333333333</v>
      </c>
      <c r="I13" s="4">
        <f>IFERROR(AVERAGEIFS('Interacciones'!$L$2:$L$129,'Interacciones'!$D$2:$D$129,$A13,'Interacciones'!$E$2:$E$129,$B13),"")</f>
        <v>0.45688666666666666</v>
      </c>
    </row>
  </sheetData>
  <autoFilter ref="A4:I13"/>
  <pageMargins left="0.4" right="0.4" top="0.7" bottom="0.7" header="0.3" footer="0.3"/>
</worksheet>
</file>

<file path=xl/worksheets/sheet4.xml><?xml version="1.0" encoding="utf-8"?>
<worksheet xmlns="http://schemas.openxmlformats.org/spreadsheetml/2006/main">
  <dimension ref="A1:P129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17" customWidth="1"/>
    <col min="3" max="3" width="27" customWidth="1"/>
    <col min="4" max="4" width="20" customWidth="1"/>
    <col min="5" max="5" width="21" customWidth="1"/>
    <col min="6" max="6" width="14" customWidth="1"/>
    <col min="7" max="7" width="14" customWidth="1"/>
    <col min="8" max="8" width="21" customWidth="1"/>
    <col min="9" max="9" width="19" customWidth="1"/>
    <col min="10" max="10" width="21" customWidth="1"/>
    <col min="11" max="11" width="20" customWidth="1"/>
    <col min="12" max="12" width="20" customWidth="1"/>
    <col min="13" max="13" width="20" customWidth="1"/>
    <col min="14" max="14" width="22" customWidth="1"/>
    <col min="15" max="15" width="17" customWidth="1"/>
    <col min="16" max="16" width="17" customWidth="1"/>
  </cols>
  <sheetData>
    <row r="1" ht="22" customHeight="1">
      <c r="A1" s="1" t="inlineStr">
        <is>
          <t>IdEvento</t>
        </is>
      </c>
      <c r="B1" s="1" t="inlineStr">
        <is>
          <t>Participante</t>
        </is>
      </c>
      <c r="C1" s="1" t="inlineStr">
        <is>
          <t>FechaHora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TiempoEsperado_s</t>
        </is>
      </c>
      <c r="I1" s="1" t="inlineStr">
        <is>
          <t>TiempoReal_s</t>
        </is>
      </c>
      <c r="J1" s="1" t="inlineStr">
        <is>
          <t>DesfaseTiming_s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PrecisionEspacial</t>
        </is>
      </c>
      <c r="N1" s="1" t="inlineStr">
        <is>
          <t>PrecisionDireccion</t>
        </is>
      </c>
      <c r="O1" s="1" t="inlineStr">
        <is>
          <t>ManoCorrecta</t>
        </is>
      </c>
      <c r="P1" s="1" t="inlineStr">
        <is>
          <t>LineaOrigen</t>
        </is>
      </c>
    </row>
    <row r="2" ht="17" customHeight="1">
      <c r="A2" s="0">
        <v>2</v>
      </c>
      <c r="B2" s="0" t="inlineStr">
        <is>
          <t>P008</t>
        </is>
      </c>
      <c r="C2" s="0" t="inlineStr">
        <is>
          <t>2026-10-02 14:17:15.378</t>
        </is>
      </c>
      <c r="D2" s="0" t="inlineStr">
        <is>
          <t>Alex</t>
        </is>
      </c>
      <c r="E2" s="0" t="inlineStr">
        <is>
          <t>HammerTouch</t>
        </is>
      </c>
      <c r="F2" s="0" t="inlineStr">
        <is>
          <t>Success</t>
        </is>
      </c>
      <c r="G2" s="0" t="inlineStr">
        <is>
          <t>Normal</t>
        </is>
      </c>
      <c r="H2" s="4">
        <v>0.896</v>
      </c>
      <c r="P2" s="0">
        <v>7</v>
      </c>
    </row>
    <row r="3" ht="17" customHeight="1">
      <c r="A3" s="6">
        <v>4</v>
      </c>
      <c r="B3" s="6" t="inlineStr">
        <is>
          <t>P008</t>
        </is>
      </c>
      <c r="C3" s="6" t="inlineStr">
        <is>
          <t>2026-10-02 14:17:15.380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H3" s="4">
        <v>0.896</v>
      </c>
      <c r="P3" s="6">
        <v>9</v>
      </c>
    </row>
    <row r="4" ht="17" customHeight="1">
      <c r="A4" s="0">
        <v>5</v>
      </c>
      <c r="B4" s="0" t="inlineStr">
        <is>
          <t>P008</t>
        </is>
      </c>
      <c r="C4" s="0" t="inlineStr">
        <is>
          <t>2026-10-02 14:17:16.074</t>
        </is>
      </c>
      <c r="D4" s="0" t="inlineStr">
        <is>
          <t>Alex</t>
        </is>
      </c>
      <c r="E4" s="0" t="inlineStr">
        <is>
          <t>HammerHit</t>
        </is>
      </c>
      <c r="F4" s="0" t="inlineStr">
        <is>
          <t>Success</t>
        </is>
      </c>
      <c r="G4" s="0" t="inlineStr">
        <is>
          <t>Normal</t>
        </is>
      </c>
      <c r="H4" s="4">
        <v>1.664</v>
      </c>
      <c r="I4" s="4">
        <v>1.6276</v>
      </c>
      <c r="J4" s="4">
        <v>-0.0364</v>
      </c>
      <c r="K4" s="4">
        <v>0.0364</v>
      </c>
      <c r="P4" s="0">
        <v>10</v>
      </c>
    </row>
    <row r="5" ht="17" customHeight="1">
      <c r="A5" s="6">
        <v>6</v>
      </c>
      <c r="B5" s="6" t="inlineStr">
        <is>
          <t>P008</t>
        </is>
      </c>
      <c r="C5" s="6" t="inlineStr">
        <is>
          <t>2026-10-02 14:17:16.087</t>
        </is>
      </c>
      <c r="D5" s="6" t="inlineStr">
        <is>
          <t>Alex</t>
        </is>
      </c>
      <c r="E5" s="6" t="inlineStr">
        <is>
          <t>HammerHit</t>
        </is>
      </c>
      <c r="F5" s="6" t="inlineStr">
        <is>
          <t>Failed</t>
        </is>
      </c>
      <c r="G5" s="6" t="inlineStr">
        <is>
          <t>Normal</t>
        </is>
      </c>
      <c r="H5" s="4">
        <v>1.664</v>
      </c>
      <c r="I5" s="4">
        <v>1.6276</v>
      </c>
      <c r="J5" s="4">
        <v>-0.0364</v>
      </c>
      <c r="K5" s="4">
        <v>0.0364</v>
      </c>
      <c r="P5" s="6">
        <v>11</v>
      </c>
    </row>
    <row r="6" ht="17" customHeight="1">
      <c r="A6" s="0">
        <v>7</v>
      </c>
      <c r="B6" s="0" t="inlineStr">
        <is>
          <t>P008</t>
        </is>
      </c>
      <c r="C6" s="0" t="inlineStr">
        <is>
          <t>2026-10-02 14:17:16.854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H6" s="4">
        <v>2.432</v>
      </c>
      <c r="I6" s="4">
        <v>2.4067</v>
      </c>
      <c r="J6" s="4">
        <v>-0.0253</v>
      </c>
      <c r="K6" s="4">
        <v>0.0253</v>
      </c>
      <c r="P6" s="0">
        <v>12</v>
      </c>
    </row>
    <row r="7" ht="17" customHeight="1">
      <c r="A7" s="6">
        <v>8</v>
      </c>
      <c r="B7" s="6" t="inlineStr">
        <is>
          <t>P008</t>
        </is>
      </c>
      <c r="C7" s="6" t="inlineStr">
        <is>
          <t>2026-10-02 14:17:17.967</t>
        </is>
      </c>
      <c r="D7" s="6" t="inlineStr">
        <is>
          <t>Alex</t>
        </is>
      </c>
      <c r="E7" s="6" t="inlineStr">
        <is>
          <t>HammerTouch</t>
        </is>
      </c>
      <c r="F7" s="6" t="inlineStr">
        <is>
          <t>Missed</t>
        </is>
      </c>
      <c r="G7" s="6" t="inlineStr">
        <is>
          <t>Normal</t>
        </is>
      </c>
      <c r="H7" s="4">
        <v>3.2</v>
      </c>
      <c r="P7" s="6">
        <v>13</v>
      </c>
    </row>
    <row r="8" ht="17" customHeight="1">
      <c r="A8" s="0">
        <v>9</v>
      </c>
      <c r="B8" s="0" t="inlineStr">
        <is>
          <t>P008</t>
        </is>
      </c>
      <c r="C8" s="0" t="inlineStr">
        <is>
          <t>2026-10-02 14:17:17.967</t>
        </is>
      </c>
      <c r="D8" s="0" t="inlineStr">
        <is>
          <t>Alex</t>
        </is>
      </c>
      <c r="E8" s="0" t="inlineStr">
        <is>
          <t>HammerTouch</t>
        </is>
      </c>
      <c r="F8" s="0" t="inlineStr">
        <is>
          <t>Missed</t>
        </is>
      </c>
      <c r="G8" s="0" t="inlineStr">
        <is>
          <t>Normal</t>
        </is>
      </c>
      <c r="H8" s="4">
        <v>3.2</v>
      </c>
      <c r="P8" s="0">
        <v>14</v>
      </c>
    </row>
    <row r="9" ht="17" customHeight="1">
      <c r="A9" s="6">
        <v>10</v>
      </c>
      <c r="B9" s="6" t="inlineStr">
        <is>
          <t>P008</t>
        </is>
      </c>
      <c r="C9" s="6" t="inlineStr">
        <is>
          <t>2026-10-02 14:17:18.413</t>
        </is>
      </c>
      <c r="D9" s="6" t="inlineStr">
        <is>
          <t>Alex</t>
        </is>
      </c>
      <c r="E9" s="6" t="inlineStr">
        <is>
          <t>HammerHit</t>
        </is>
      </c>
      <c r="F9" s="6" t="inlineStr">
        <is>
          <t>Success</t>
        </is>
      </c>
      <c r="G9" s="6" t="inlineStr">
        <is>
          <t>Normal</t>
        </is>
      </c>
      <c r="H9" s="4">
        <v>3.968</v>
      </c>
      <c r="P9" s="6">
        <v>15</v>
      </c>
    </row>
    <row r="10" ht="17" customHeight="1">
      <c r="A10" s="0">
        <v>11</v>
      </c>
      <c r="B10" s="0" t="inlineStr">
        <is>
          <t>P008</t>
        </is>
      </c>
      <c r="C10" s="0" t="inlineStr">
        <is>
          <t>2026-10-02 14:17:18.732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H10" s="4">
        <v>3.968</v>
      </c>
      <c r="P10" s="0">
        <v>16</v>
      </c>
    </row>
    <row r="11" ht="17" customHeight="1">
      <c r="A11" s="6">
        <v>12</v>
      </c>
      <c r="B11" s="6" t="inlineStr">
        <is>
          <t>P008</t>
        </is>
      </c>
      <c r="C11" s="6" t="inlineStr">
        <is>
          <t>2026-10-02 14:17:19.179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H11" s="4">
        <v>4.736</v>
      </c>
      <c r="I11" s="4">
        <v>4.7319</v>
      </c>
      <c r="J11" s="4">
        <v>-0.0041</v>
      </c>
      <c r="K11" s="4">
        <v>0.0041</v>
      </c>
      <c r="P11" s="6">
        <v>17</v>
      </c>
    </row>
    <row r="12" ht="17" customHeight="1">
      <c r="A12" s="0">
        <v>13</v>
      </c>
      <c r="B12" s="0" t="inlineStr">
        <is>
          <t>P008</t>
        </is>
      </c>
      <c r="C12" s="0" t="inlineStr">
        <is>
          <t>2026-10-02 14:17:19.180</t>
        </is>
      </c>
      <c r="D12" s="0" t="inlineStr">
        <is>
          <t>Alex</t>
        </is>
      </c>
      <c r="E12" s="0" t="inlineStr">
        <is>
          <t>HammerHit</t>
        </is>
      </c>
      <c r="F12" s="0" t="inlineStr">
        <is>
          <t>Failed</t>
        </is>
      </c>
      <c r="G12" s="0" t="inlineStr">
        <is>
          <t>Normal</t>
        </is>
      </c>
      <c r="H12" s="4">
        <v>4.736</v>
      </c>
      <c r="I12" s="4">
        <v>4.7319</v>
      </c>
      <c r="J12" s="4">
        <v>-0.0041</v>
      </c>
      <c r="K12" s="4">
        <v>0.0041</v>
      </c>
      <c r="P12" s="0">
        <v>18</v>
      </c>
    </row>
    <row r="13" ht="17" customHeight="1">
      <c r="A13" s="6">
        <v>17</v>
      </c>
      <c r="B13" s="6" t="inlineStr">
        <is>
          <t>P008</t>
        </is>
      </c>
      <c r="C13" s="6" t="inlineStr">
        <is>
          <t>2026-10-02 14:17:19.916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Failed</t>
        </is>
      </c>
      <c r="G13" s="6" t="inlineStr">
        <is>
          <t>Easy</t>
        </is>
      </c>
      <c r="H13" s="4">
        <v>5.504</v>
      </c>
      <c r="I13" s="4">
        <v>5.4697</v>
      </c>
      <c r="J13" s="4">
        <v>-0.0343</v>
      </c>
      <c r="K13" s="4">
        <v>0.0343</v>
      </c>
      <c r="P13" s="6">
        <v>22</v>
      </c>
    </row>
    <row r="14" ht="17" customHeight="1">
      <c r="A14" s="0">
        <v>18</v>
      </c>
      <c r="B14" s="0" t="inlineStr">
        <is>
          <t>P008</t>
        </is>
      </c>
      <c r="C14" s="0" t="inlineStr">
        <is>
          <t>2026-10-02 14:17:19.958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Success</t>
        </is>
      </c>
      <c r="G14" s="0" t="inlineStr">
        <is>
          <t>Easy</t>
        </is>
      </c>
      <c r="H14" s="4">
        <v>5.504</v>
      </c>
      <c r="P14" s="0">
        <v>23</v>
      </c>
    </row>
    <row r="15" ht="17" customHeight="1">
      <c r="A15" s="6">
        <v>19</v>
      </c>
      <c r="B15" s="6" t="inlineStr">
        <is>
          <t>P008</t>
        </is>
      </c>
      <c r="C15" s="6" t="inlineStr">
        <is>
          <t>2026-10-02 14:17:21.476</t>
        </is>
      </c>
      <c r="D15" s="6" t="inlineStr">
        <is>
          <t>Alex</t>
        </is>
      </c>
      <c r="E15" s="6" t="inlineStr">
        <is>
          <t>HammerHit</t>
        </is>
      </c>
      <c r="F15" s="6" t="inlineStr">
        <is>
          <t>Failed</t>
        </is>
      </c>
      <c r="G15" s="6" t="inlineStr">
        <is>
          <t>Easy</t>
        </is>
      </c>
      <c r="H15" s="4">
        <v>7.04</v>
      </c>
      <c r="I15" s="4">
        <v>7.0286</v>
      </c>
      <c r="J15" s="4">
        <v>-0.0114</v>
      </c>
      <c r="K15" s="4">
        <v>0.0114</v>
      </c>
      <c r="P15" s="6">
        <v>24</v>
      </c>
    </row>
    <row r="16" ht="17" customHeight="1">
      <c r="A16" s="0">
        <v>20</v>
      </c>
      <c r="B16" s="0" t="inlineStr">
        <is>
          <t>P008</t>
        </is>
      </c>
      <c r="C16" s="0" t="inlineStr">
        <is>
          <t>2026-10-02 14:17:21.489</t>
        </is>
      </c>
      <c r="D16" s="0" t="inlineStr">
        <is>
          <t>Alex</t>
        </is>
      </c>
      <c r="E16" s="0" t="inlineStr">
        <is>
          <t>HammerHit</t>
        </is>
      </c>
      <c r="F16" s="0" t="inlineStr">
        <is>
          <t>Success</t>
        </is>
      </c>
      <c r="G16" s="0" t="inlineStr">
        <is>
          <t>Easy</t>
        </is>
      </c>
      <c r="H16" s="4">
        <v>7.04</v>
      </c>
      <c r="I16" s="4">
        <v>7.0423</v>
      </c>
      <c r="J16" s="4">
        <v>0.0023</v>
      </c>
      <c r="K16" s="4">
        <v>0.0023</v>
      </c>
      <c r="P16" s="0">
        <v>25</v>
      </c>
    </row>
    <row r="17" ht="17" customHeight="1">
      <c r="A17" s="6">
        <v>21</v>
      </c>
      <c r="B17" s="6" t="inlineStr">
        <is>
          <t>P008</t>
        </is>
      </c>
      <c r="C17" s="6" t="inlineStr">
        <is>
          <t>2026-10-02 14:17:22.993</t>
        </is>
      </c>
      <c r="D17" s="6" t="inlineStr">
        <is>
          <t>Alex</t>
        </is>
      </c>
      <c r="E17" s="6" t="inlineStr">
        <is>
          <t>HammerHit</t>
        </is>
      </c>
      <c r="F17" s="6" t="inlineStr">
        <is>
          <t>Failed</t>
        </is>
      </c>
      <c r="G17" s="6" t="inlineStr">
        <is>
          <t>Easy</t>
        </is>
      </c>
      <c r="H17" s="4">
        <v>8.576</v>
      </c>
      <c r="I17" s="4">
        <v>8.5463</v>
      </c>
      <c r="J17" s="4">
        <v>-0.0297</v>
      </c>
      <c r="K17" s="4">
        <v>0.0297</v>
      </c>
      <c r="P17" s="6">
        <v>26</v>
      </c>
    </row>
    <row r="18" ht="17" customHeight="1">
      <c r="A18" s="0">
        <v>23</v>
      </c>
      <c r="B18" s="0" t="inlineStr">
        <is>
          <t>P008</t>
        </is>
      </c>
      <c r="C18" s="0" t="inlineStr">
        <is>
          <t>2026-10-02 14:17:23.007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Success</t>
        </is>
      </c>
      <c r="G18" s="0" t="inlineStr">
        <is>
          <t>Easy</t>
        </is>
      </c>
      <c r="H18" s="4">
        <v>8.576</v>
      </c>
      <c r="P18" s="0">
        <v>28</v>
      </c>
    </row>
    <row r="19" ht="17" customHeight="1">
      <c r="A19" s="6">
        <v>24</v>
      </c>
      <c r="B19" s="6" t="inlineStr">
        <is>
          <t>P008</t>
        </is>
      </c>
      <c r="C19" s="6" t="inlineStr">
        <is>
          <t>2026-10-02 14:17:24.511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H19" s="4">
        <v>10.112</v>
      </c>
      <c r="I19" s="4">
        <v>10.0637</v>
      </c>
      <c r="J19" s="4">
        <v>-0.0483</v>
      </c>
      <c r="K19" s="4">
        <v>0.0483</v>
      </c>
      <c r="P19" s="6">
        <v>29</v>
      </c>
    </row>
    <row r="20" ht="17" customHeight="1">
      <c r="A20" s="0">
        <v>25</v>
      </c>
      <c r="B20" s="0" t="inlineStr">
        <is>
          <t>P008</t>
        </is>
      </c>
      <c r="C20" s="0" t="inlineStr">
        <is>
          <t>2026-10-02 14:17:24.524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Easy</t>
        </is>
      </c>
      <c r="H20" s="4">
        <v>10.112</v>
      </c>
      <c r="I20" s="4">
        <v>10.0772</v>
      </c>
      <c r="J20" s="4">
        <v>-0.0348</v>
      </c>
      <c r="K20" s="4">
        <v>0.0348</v>
      </c>
      <c r="P20" s="0">
        <v>30</v>
      </c>
    </row>
    <row r="21" ht="17" customHeight="1">
      <c r="A21" s="6">
        <v>26</v>
      </c>
      <c r="B21" s="6" t="inlineStr">
        <is>
          <t>P008</t>
        </is>
      </c>
      <c r="C21" s="6" t="inlineStr">
        <is>
          <t>2026-10-02 14:17:26.042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Easy</t>
        </is>
      </c>
      <c r="H21" s="4">
        <v>11.648</v>
      </c>
      <c r="I21" s="4">
        <v>11.5945</v>
      </c>
      <c r="J21" s="4">
        <v>-0.0535</v>
      </c>
      <c r="K21" s="4">
        <v>0.0535</v>
      </c>
      <c r="P21" s="6">
        <v>31</v>
      </c>
    </row>
    <row r="22" ht="17" customHeight="1">
      <c r="A22" s="0">
        <v>27</v>
      </c>
      <c r="B22" s="0" t="inlineStr">
        <is>
          <t>P008</t>
        </is>
      </c>
      <c r="C22" s="0" t="inlineStr">
        <is>
          <t>2026-10-02 14:17:26.096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H22" s="4">
        <v>11.648</v>
      </c>
      <c r="P22" s="0">
        <v>32</v>
      </c>
    </row>
    <row r="23" ht="17" customHeight="1">
      <c r="A23" s="6">
        <v>28</v>
      </c>
      <c r="B23" s="6" t="inlineStr">
        <is>
          <t>P008</t>
        </is>
      </c>
      <c r="C23" s="6" t="inlineStr">
        <is>
          <t>2026-10-02 14:17:27.573</t>
        </is>
      </c>
      <c r="D23" s="6" t="inlineStr">
        <is>
          <t>Alex</t>
        </is>
      </c>
      <c r="E23" s="6" t="inlineStr">
        <is>
          <t>HammerHit</t>
        </is>
      </c>
      <c r="F23" s="6" t="inlineStr">
        <is>
          <t>Failed</t>
        </is>
      </c>
      <c r="G23" s="6" t="inlineStr">
        <is>
          <t>Easy</t>
        </is>
      </c>
      <c r="H23" s="4">
        <v>13.184</v>
      </c>
      <c r="I23" s="4">
        <v>13.1262</v>
      </c>
      <c r="J23" s="4">
        <v>-0.0578</v>
      </c>
      <c r="K23" s="4">
        <v>0.0578</v>
      </c>
      <c r="P23" s="6">
        <v>33</v>
      </c>
    </row>
    <row r="24" ht="17" customHeight="1">
      <c r="A24" s="0">
        <v>29</v>
      </c>
      <c r="B24" s="0" t="inlineStr">
        <is>
          <t>P008</t>
        </is>
      </c>
      <c r="C24" s="0" t="inlineStr">
        <is>
          <t>2026-10-02 14:17:27.587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Failed</t>
        </is>
      </c>
      <c r="G24" s="0" t="inlineStr">
        <is>
          <t>Easy</t>
        </is>
      </c>
      <c r="H24" s="4">
        <v>13.184</v>
      </c>
      <c r="I24" s="4">
        <v>13.1404</v>
      </c>
      <c r="J24" s="4">
        <v>-0.0436</v>
      </c>
      <c r="K24" s="4">
        <v>0.0436</v>
      </c>
      <c r="P24" s="0">
        <v>34</v>
      </c>
    </row>
    <row r="25" ht="17" customHeight="1">
      <c r="A25" s="6">
        <v>30</v>
      </c>
      <c r="B25" s="6" t="inlineStr">
        <is>
          <t>P008</t>
        </is>
      </c>
      <c r="C25" s="6" t="inlineStr">
        <is>
          <t>2026-10-02 14:17:29.104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Failed</t>
        </is>
      </c>
      <c r="G25" s="6" t="inlineStr">
        <is>
          <t>Easy</t>
        </is>
      </c>
      <c r="H25" s="4">
        <v>14.72</v>
      </c>
      <c r="I25" s="4">
        <v>14.6583</v>
      </c>
      <c r="J25" s="4">
        <v>-0.0617</v>
      </c>
      <c r="K25" s="4">
        <v>0.0617</v>
      </c>
      <c r="P25" s="6">
        <v>35</v>
      </c>
    </row>
    <row r="26" ht="17" customHeight="1">
      <c r="A26" s="0">
        <v>31</v>
      </c>
      <c r="B26" s="0" t="inlineStr">
        <is>
          <t>P008</t>
        </is>
      </c>
      <c r="C26" s="0" t="inlineStr">
        <is>
          <t>2026-10-02 14:17:29.133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Success</t>
        </is>
      </c>
      <c r="G26" s="0" t="inlineStr">
        <is>
          <t>Easy</t>
        </is>
      </c>
      <c r="H26" s="4">
        <v>14.72</v>
      </c>
      <c r="P26" s="0">
        <v>36</v>
      </c>
    </row>
    <row r="27" ht="17" customHeight="1">
      <c r="A27" s="6">
        <v>32</v>
      </c>
      <c r="B27" s="6" t="inlineStr">
        <is>
          <t>P008</t>
        </is>
      </c>
      <c r="C27" s="6" t="inlineStr">
        <is>
          <t>2026-10-02 14:17:30.665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Failed</t>
        </is>
      </c>
      <c r="G27" s="6" t="inlineStr">
        <is>
          <t>Easy</t>
        </is>
      </c>
      <c r="H27" s="4">
        <v>16.256</v>
      </c>
      <c r="I27" s="4">
        <v>16.2186</v>
      </c>
      <c r="J27" s="4">
        <v>-0.0374</v>
      </c>
      <c r="K27" s="4">
        <v>0.0374</v>
      </c>
      <c r="P27" s="6">
        <v>37</v>
      </c>
    </row>
    <row r="28" ht="17" customHeight="1">
      <c r="A28" s="0">
        <v>33</v>
      </c>
      <c r="B28" s="0" t="inlineStr">
        <is>
          <t>P008</t>
        </is>
      </c>
      <c r="C28" s="0" t="inlineStr">
        <is>
          <t>2026-10-02 14:17:30.666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Success</t>
        </is>
      </c>
      <c r="G28" s="0" t="inlineStr">
        <is>
          <t>Easy</t>
        </is>
      </c>
      <c r="H28" s="4">
        <v>16.256</v>
      </c>
      <c r="I28" s="4">
        <v>16.2186</v>
      </c>
      <c r="J28" s="4">
        <v>-0.0374</v>
      </c>
      <c r="K28" s="4">
        <v>0.0374</v>
      </c>
      <c r="P28" s="0">
        <v>38</v>
      </c>
    </row>
    <row r="29" ht="17" customHeight="1">
      <c r="A29" s="6">
        <v>34</v>
      </c>
      <c r="B29" s="6" t="inlineStr">
        <is>
          <t>P008</t>
        </is>
      </c>
      <c r="C29" s="6" t="inlineStr">
        <is>
          <t>2026-10-02 14:17:32.197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Success</t>
        </is>
      </c>
      <c r="G29" s="6" t="inlineStr">
        <is>
          <t>Easy</t>
        </is>
      </c>
      <c r="H29" s="4">
        <v>17.792</v>
      </c>
      <c r="I29" s="4">
        <v>17.7507</v>
      </c>
      <c r="J29" s="4">
        <v>-0.0413</v>
      </c>
      <c r="K29" s="4">
        <v>0.0413</v>
      </c>
      <c r="P29" s="6">
        <v>39</v>
      </c>
    </row>
    <row r="30" ht="17" customHeight="1">
      <c r="A30" s="0">
        <v>35</v>
      </c>
      <c r="B30" s="0" t="inlineStr">
        <is>
          <t>P008</t>
        </is>
      </c>
      <c r="C30" s="0" t="inlineStr">
        <is>
          <t>2026-10-02 14:17:32.295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Success</t>
        </is>
      </c>
      <c r="G30" s="0" t="inlineStr">
        <is>
          <t>Easy</t>
        </is>
      </c>
      <c r="H30" s="4">
        <v>17.792</v>
      </c>
      <c r="P30" s="0">
        <v>40</v>
      </c>
    </row>
    <row r="31" ht="17" customHeight="1">
      <c r="A31" s="6">
        <v>36</v>
      </c>
      <c r="B31" s="6" t="inlineStr">
        <is>
          <t>P008</t>
        </is>
      </c>
      <c r="C31" s="6" t="inlineStr">
        <is>
          <t>2026-10-02 14:17:33.730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Success</t>
        </is>
      </c>
      <c r="G31" s="6" t="inlineStr">
        <is>
          <t>Easy</t>
        </is>
      </c>
      <c r="H31" s="4">
        <v>19.328</v>
      </c>
      <c r="I31" s="4">
        <v>19.2822</v>
      </c>
      <c r="J31" s="4">
        <v>-0.0458</v>
      </c>
      <c r="K31" s="4">
        <v>0.0458</v>
      </c>
      <c r="P31" s="6">
        <v>41</v>
      </c>
    </row>
    <row r="32" ht="17" customHeight="1">
      <c r="A32" s="0">
        <v>37</v>
      </c>
      <c r="B32" s="0" t="inlineStr">
        <is>
          <t>P008</t>
        </is>
      </c>
      <c r="C32" s="0" t="inlineStr">
        <is>
          <t>2026-10-02 14:17:33.730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Failed</t>
        </is>
      </c>
      <c r="G32" s="0" t="inlineStr">
        <is>
          <t>Easy</t>
        </is>
      </c>
      <c r="H32" s="4">
        <v>19.328</v>
      </c>
      <c r="I32" s="4">
        <v>19.2822</v>
      </c>
      <c r="J32" s="4">
        <v>-0.0458</v>
      </c>
      <c r="K32" s="4">
        <v>0.0458</v>
      </c>
      <c r="P32" s="0">
        <v>42</v>
      </c>
    </row>
    <row r="33" ht="17" customHeight="1">
      <c r="A33" s="6">
        <v>38</v>
      </c>
      <c r="B33" s="6" t="inlineStr">
        <is>
          <t>P008</t>
        </is>
      </c>
      <c r="C33" s="6" t="inlineStr">
        <is>
          <t>2026-10-02 14:17:35.288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Success</t>
        </is>
      </c>
      <c r="G33" s="6" t="inlineStr">
        <is>
          <t>Easy</t>
        </is>
      </c>
      <c r="H33" s="4">
        <v>20.864</v>
      </c>
      <c r="I33" s="4">
        <v>20.8416</v>
      </c>
      <c r="J33" s="4">
        <v>-0.0224</v>
      </c>
      <c r="K33" s="4">
        <v>0.0224</v>
      </c>
      <c r="P33" s="6">
        <v>43</v>
      </c>
    </row>
    <row r="34" ht="17" customHeight="1">
      <c r="A34" s="0">
        <v>40</v>
      </c>
      <c r="B34" s="0" t="inlineStr">
        <is>
          <t>P008</t>
        </is>
      </c>
      <c r="C34" s="0" t="inlineStr">
        <is>
          <t>2026-10-02 14:17:35.302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Failed</t>
        </is>
      </c>
      <c r="G34" s="0" t="inlineStr">
        <is>
          <t>Easy</t>
        </is>
      </c>
      <c r="H34" s="4">
        <v>20.864</v>
      </c>
      <c r="P34" s="0">
        <v>45</v>
      </c>
    </row>
    <row r="35" ht="17" customHeight="1">
      <c r="A35" s="6">
        <v>41</v>
      </c>
      <c r="B35" s="6" t="inlineStr">
        <is>
          <t>P008</t>
        </is>
      </c>
      <c r="C35" s="6" t="inlineStr">
        <is>
          <t>2026-10-02 14:17:36.806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Failed</t>
        </is>
      </c>
      <c r="G35" s="6" t="inlineStr">
        <is>
          <t>Easy</t>
        </is>
      </c>
      <c r="H35" s="4">
        <v>22.4</v>
      </c>
      <c r="I35" s="4">
        <v>22.359</v>
      </c>
      <c r="J35" s="4">
        <v>-0.041</v>
      </c>
      <c r="K35" s="4">
        <v>0.041</v>
      </c>
      <c r="P35" s="6">
        <v>46</v>
      </c>
    </row>
    <row r="36" ht="17" customHeight="1">
      <c r="A36" s="0">
        <v>42</v>
      </c>
      <c r="B36" s="0" t="inlineStr">
        <is>
          <t>P008</t>
        </is>
      </c>
      <c r="C36" s="0" t="inlineStr">
        <is>
          <t>2026-10-02 14:17:36.834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Failed</t>
        </is>
      </c>
      <c r="G36" s="0" t="inlineStr">
        <is>
          <t>Easy</t>
        </is>
      </c>
      <c r="H36" s="4">
        <v>22.4</v>
      </c>
      <c r="I36" s="4">
        <v>22.3873</v>
      </c>
      <c r="J36" s="4">
        <v>-0.0127</v>
      </c>
      <c r="K36" s="4">
        <v>0.0127</v>
      </c>
      <c r="P36" s="0">
        <v>47</v>
      </c>
    </row>
    <row r="37" ht="17" customHeight="1">
      <c r="A37" s="6">
        <v>44</v>
      </c>
      <c r="B37" s="6" t="inlineStr">
        <is>
          <t>P008</t>
        </is>
      </c>
      <c r="C37" s="6" t="inlineStr">
        <is>
          <t>2026-10-02 14:17:38.352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Failed</t>
        </is>
      </c>
      <c r="G37" s="6" t="inlineStr">
        <is>
          <t>Easy</t>
        </is>
      </c>
      <c r="H37" s="4">
        <v>23.936</v>
      </c>
      <c r="I37" s="4">
        <v>23.9042</v>
      </c>
      <c r="J37" s="4">
        <v>-0.0318</v>
      </c>
      <c r="K37" s="4">
        <v>0.0318</v>
      </c>
      <c r="P37" s="6">
        <v>49</v>
      </c>
    </row>
    <row r="38" ht="17" customHeight="1">
      <c r="A38" s="0">
        <v>45</v>
      </c>
      <c r="B38" s="0" t="inlineStr">
        <is>
          <t>P008</t>
        </is>
      </c>
      <c r="C38" s="0" t="inlineStr">
        <is>
          <t>2026-10-02 14:17:38.379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Success</t>
        </is>
      </c>
      <c r="G38" s="0" t="inlineStr">
        <is>
          <t>Easy</t>
        </is>
      </c>
      <c r="H38" s="4">
        <v>23.936</v>
      </c>
      <c r="P38" s="0">
        <v>50</v>
      </c>
    </row>
    <row r="39" ht="17" customHeight="1">
      <c r="A39" s="6">
        <v>46</v>
      </c>
      <c r="B39" s="6" t="inlineStr">
        <is>
          <t>P008</t>
        </is>
      </c>
      <c r="C39" s="6" t="inlineStr">
        <is>
          <t>2026-10-02 14:17:39.897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H39" s="4">
        <v>25.472</v>
      </c>
      <c r="I39" s="4">
        <v>25.45</v>
      </c>
      <c r="J39" s="4">
        <v>-0.022</v>
      </c>
      <c r="K39" s="4">
        <v>0.022</v>
      </c>
      <c r="P39" s="6">
        <v>51</v>
      </c>
    </row>
    <row r="40" ht="17" customHeight="1">
      <c r="A40" s="0">
        <v>47</v>
      </c>
      <c r="B40" s="0" t="inlineStr">
        <is>
          <t>P008</t>
        </is>
      </c>
      <c r="C40" s="0" t="inlineStr">
        <is>
          <t>2026-10-02 14:17:39.898</t>
        </is>
      </c>
      <c r="D40" s="0" t="inlineStr">
        <is>
          <t>Alex</t>
        </is>
      </c>
      <c r="E40" s="0" t="inlineStr">
        <is>
          <t>HammerHit</t>
        </is>
      </c>
      <c r="F40" s="0" t="inlineStr">
        <is>
          <t>Failed</t>
        </is>
      </c>
      <c r="G40" s="0" t="inlineStr">
        <is>
          <t>Easy</t>
        </is>
      </c>
      <c r="H40" s="4">
        <v>25.472</v>
      </c>
      <c r="I40" s="4">
        <v>25.45</v>
      </c>
      <c r="J40" s="4">
        <v>-0.022</v>
      </c>
      <c r="K40" s="4">
        <v>0.022</v>
      </c>
      <c r="P40" s="0">
        <v>52</v>
      </c>
    </row>
    <row r="41" ht="17" customHeight="1">
      <c r="A41" s="6">
        <v>48</v>
      </c>
      <c r="B41" s="6" t="inlineStr">
        <is>
          <t>P008</t>
        </is>
      </c>
      <c r="C41" s="6" t="inlineStr">
        <is>
          <t>2026-10-02 14:17:41.414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Success</t>
        </is>
      </c>
      <c r="G41" s="6" t="inlineStr">
        <is>
          <t>Easy</t>
        </is>
      </c>
      <c r="H41" s="4">
        <v>27.008</v>
      </c>
      <c r="I41" s="4">
        <v>26.9675</v>
      </c>
      <c r="J41" s="4">
        <v>-0.0405</v>
      </c>
      <c r="K41" s="4">
        <v>0.0405</v>
      </c>
      <c r="P41" s="6">
        <v>53</v>
      </c>
    </row>
    <row r="42" ht="17" customHeight="1">
      <c r="A42" s="0">
        <v>49</v>
      </c>
      <c r="B42" s="0" t="inlineStr">
        <is>
          <t>P008</t>
        </is>
      </c>
      <c r="C42" s="0" t="inlineStr">
        <is>
          <t>2026-10-02 14:17:41.428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Success</t>
        </is>
      </c>
      <c r="G42" s="0" t="inlineStr">
        <is>
          <t>Easy</t>
        </is>
      </c>
      <c r="H42" s="4">
        <v>27.008</v>
      </c>
      <c r="P42" s="0">
        <v>54</v>
      </c>
    </row>
    <row r="43" ht="17" customHeight="1">
      <c r="A43" s="6">
        <v>50</v>
      </c>
      <c r="B43" s="6" t="inlineStr">
        <is>
          <t>P008</t>
        </is>
      </c>
      <c r="C43" s="6" t="inlineStr">
        <is>
          <t>2026-10-02 14:17:42.974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Failed</t>
        </is>
      </c>
      <c r="G43" s="6" t="inlineStr">
        <is>
          <t>Easy</t>
        </is>
      </c>
      <c r="H43" s="4">
        <v>28.544</v>
      </c>
      <c r="I43" s="4">
        <v>28.5271</v>
      </c>
      <c r="J43" s="4">
        <v>-0.0169</v>
      </c>
      <c r="K43" s="4">
        <v>0.0169</v>
      </c>
      <c r="P43" s="6">
        <v>55</v>
      </c>
    </row>
    <row r="44" ht="17" customHeight="1">
      <c r="A44" s="0">
        <v>51</v>
      </c>
      <c r="B44" s="0" t="inlineStr">
        <is>
          <t>P008</t>
        </is>
      </c>
      <c r="C44" s="0" t="inlineStr">
        <is>
          <t>2026-10-02 14:17:42.975</t>
        </is>
      </c>
      <c r="D44" s="0" t="inlineStr">
        <is>
          <t>Alex</t>
        </is>
      </c>
      <c r="E44" s="0" t="inlineStr">
        <is>
          <t>HammerHit</t>
        </is>
      </c>
      <c r="F44" s="0" t="inlineStr">
        <is>
          <t>Success</t>
        </is>
      </c>
      <c r="G44" s="0" t="inlineStr">
        <is>
          <t>Easy</t>
        </is>
      </c>
      <c r="H44" s="4">
        <v>28.544</v>
      </c>
      <c r="I44" s="4">
        <v>28.5271</v>
      </c>
      <c r="J44" s="4">
        <v>-0.0169</v>
      </c>
      <c r="K44" s="4">
        <v>0.0169</v>
      </c>
      <c r="P44" s="0">
        <v>56</v>
      </c>
    </row>
    <row r="45" ht="17" customHeight="1">
      <c r="A45" s="6">
        <v>52</v>
      </c>
      <c r="B45" s="6" t="inlineStr">
        <is>
          <t>P008</t>
        </is>
      </c>
      <c r="C45" s="6" t="inlineStr">
        <is>
          <t>2026-10-02 14:17:44.492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Success</t>
        </is>
      </c>
      <c r="G45" s="6" t="inlineStr">
        <is>
          <t>Easy</t>
        </is>
      </c>
      <c r="H45" s="4">
        <v>30.08</v>
      </c>
      <c r="I45" s="4">
        <v>30.0444</v>
      </c>
      <c r="J45" s="4">
        <v>-0.0356</v>
      </c>
      <c r="K45" s="4">
        <v>0.0356</v>
      </c>
      <c r="P45" s="6">
        <v>57</v>
      </c>
    </row>
    <row r="46" ht="17" customHeight="1">
      <c r="A46" s="0">
        <v>54</v>
      </c>
      <c r="B46" s="0" t="inlineStr">
        <is>
          <t>P008</t>
        </is>
      </c>
      <c r="C46" s="0" t="inlineStr">
        <is>
          <t>2026-10-02 14:17:44.493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H46" s="4">
        <v>30.08</v>
      </c>
      <c r="P46" s="0">
        <v>59</v>
      </c>
    </row>
    <row r="47" ht="17" customHeight="1">
      <c r="A47" s="6">
        <v>55</v>
      </c>
      <c r="B47" s="6" t="inlineStr">
        <is>
          <t>P008</t>
        </is>
      </c>
      <c r="C47" s="6" t="inlineStr">
        <is>
          <t>2026-10-02 14:17:48.248</t>
        </is>
      </c>
      <c r="D47" s="6" t="inlineStr">
        <is>
          <t>Joaquin</t>
        </is>
      </c>
      <c r="E47" s="6" t="inlineStr">
        <is>
          <t>GuitarHit</t>
        </is>
      </c>
      <c r="F47" s="6" t="inlineStr">
        <is>
          <t>Success</t>
        </is>
      </c>
      <c r="G47" s="6" t="inlineStr">
        <is>
          <t>Easy</t>
        </is>
      </c>
      <c r="H47" s="4">
        <v>33.92</v>
      </c>
      <c r="I47" s="4">
        <v>33.7873</v>
      </c>
      <c r="J47" s="4">
        <v>-0.1327</v>
      </c>
      <c r="K47" s="4">
        <v>0.1327</v>
      </c>
      <c r="P47" s="6">
        <v>60</v>
      </c>
    </row>
    <row r="48" ht="17" customHeight="1">
      <c r="A48" s="0">
        <v>56</v>
      </c>
      <c r="B48" s="0" t="inlineStr">
        <is>
          <t>P008</t>
        </is>
      </c>
      <c r="C48" s="0" t="inlineStr">
        <is>
          <t>2026-10-02 14:17:52.357</t>
        </is>
      </c>
      <c r="D48" s="0" t="inlineStr">
        <is>
          <t>Joaquin</t>
        </is>
      </c>
      <c r="E48" s="0" t="inlineStr">
        <is>
          <t>GuitarHit</t>
        </is>
      </c>
      <c r="F48" s="0" t="inlineStr">
        <is>
          <t>Success</t>
        </is>
      </c>
      <c r="G48" s="0" t="inlineStr">
        <is>
          <t>Easy</t>
        </is>
      </c>
      <c r="H48" s="4">
        <v>37.76</v>
      </c>
      <c r="I48" s="4">
        <v>37.8955</v>
      </c>
      <c r="J48" s="4">
        <v>0.1355</v>
      </c>
      <c r="K48" s="4">
        <v>0.1355</v>
      </c>
      <c r="P48" s="0">
        <v>61</v>
      </c>
    </row>
    <row r="49" ht="17" customHeight="1">
      <c r="A49" s="6">
        <v>57</v>
      </c>
      <c r="B49" s="6" t="inlineStr">
        <is>
          <t>P008</t>
        </is>
      </c>
      <c r="C49" s="6" t="inlineStr">
        <is>
          <t>2026-10-02 14:17:55.712</t>
        </is>
      </c>
      <c r="D49" s="6" t="inlineStr">
        <is>
          <t>Joaquin</t>
        </is>
      </c>
      <c r="E49" s="6" t="inlineStr">
        <is>
          <t>GuitarHit</t>
        </is>
      </c>
      <c r="F49" s="6" t="inlineStr">
        <is>
          <t>Success</t>
        </is>
      </c>
      <c r="G49" s="6" t="inlineStr">
        <is>
          <t>Easy</t>
        </is>
      </c>
      <c r="H49" s="4">
        <v>41.216</v>
      </c>
      <c r="I49" s="4">
        <v>41.251</v>
      </c>
      <c r="J49" s="4">
        <v>0.035</v>
      </c>
      <c r="K49" s="4">
        <v>0.035</v>
      </c>
      <c r="P49" s="6">
        <v>62</v>
      </c>
    </row>
    <row r="50" ht="17" customHeight="1">
      <c r="A50" s="0">
        <v>58</v>
      </c>
      <c r="B50" s="0" t="inlineStr">
        <is>
          <t>P008</t>
        </is>
      </c>
      <c r="C50" s="0" t="inlineStr">
        <is>
          <t>2026-10-02 14:17:57.897</t>
        </is>
      </c>
      <c r="D50" s="0" t="inlineStr">
        <is>
          <t>Joaquin</t>
        </is>
      </c>
      <c r="E50" s="0" t="inlineStr">
        <is>
          <t>GuitarHit</t>
        </is>
      </c>
      <c r="F50" s="0" t="inlineStr">
        <is>
          <t>Success</t>
        </is>
      </c>
      <c r="G50" s="0" t="inlineStr">
        <is>
          <t>Easy</t>
        </is>
      </c>
      <c r="H50" s="4">
        <v>43.52</v>
      </c>
      <c r="I50" s="4">
        <v>43.4359</v>
      </c>
      <c r="J50" s="4">
        <v>-0.0841</v>
      </c>
      <c r="K50" s="4">
        <v>0.0841</v>
      </c>
      <c r="P50" s="0">
        <v>63</v>
      </c>
    </row>
    <row r="51" ht="17" customHeight="1">
      <c r="A51" s="6">
        <v>59</v>
      </c>
      <c r="B51" s="6" t="inlineStr">
        <is>
          <t>P008</t>
        </is>
      </c>
      <c r="C51" s="6" t="inlineStr">
        <is>
          <t>2026-10-02 14:17:58.078</t>
        </is>
      </c>
      <c r="D51" s="6" t="inlineStr">
        <is>
          <t>Joaquin</t>
        </is>
      </c>
      <c r="E51" s="6" t="inlineStr">
        <is>
          <t>PlayerHit</t>
        </is>
      </c>
      <c r="F51" s="6" t="inlineStr">
        <is>
          <t>Failed</t>
        </is>
      </c>
      <c r="G51" s="6" t="inlineStr">
        <is>
          <t>Easy</t>
        </is>
      </c>
      <c r="H51" s="4">
        <v>43.6174</v>
      </c>
      <c r="P51" s="6">
        <v>64</v>
      </c>
    </row>
    <row r="52" ht="17" customHeight="1">
      <c r="A52" s="0">
        <v>60</v>
      </c>
      <c r="B52" s="0" t="inlineStr">
        <is>
          <t>P008</t>
        </is>
      </c>
      <c r="C52" s="0" t="inlineStr">
        <is>
          <t>2026-10-02 14:18:00.473</t>
        </is>
      </c>
      <c r="D52" s="0" t="inlineStr">
        <is>
          <t>Joaquin</t>
        </is>
      </c>
      <c r="E52" s="0" t="inlineStr">
        <is>
          <t>GuitarHit</t>
        </is>
      </c>
      <c r="F52" s="0" t="inlineStr">
        <is>
          <t>Success</t>
        </is>
      </c>
      <c r="G52" s="0" t="inlineStr">
        <is>
          <t>Easy</t>
        </is>
      </c>
      <c r="H52" s="4">
        <v>45.824</v>
      </c>
      <c r="I52" s="4">
        <v>46.0126</v>
      </c>
      <c r="J52" s="4">
        <v>0.1886</v>
      </c>
      <c r="K52" s="4">
        <v>0.1886</v>
      </c>
      <c r="P52" s="0">
        <v>65</v>
      </c>
    </row>
    <row r="53" ht="17" customHeight="1">
      <c r="A53" s="6">
        <v>61</v>
      </c>
      <c r="B53" s="6" t="inlineStr">
        <is>
          <t>P008</t>
        </is>
      </c>
      <c r="C53" s="6" t="inlineStr">
        <is>
          <t>2026-10-02 14:18:04.553</t>
        </is>
      </c>
      <c r="D53" s="6" t="inlineStr">
        <is>
          <t>Joaquin</t>
        </is>
      </c>
      <c r="E53" s="6" t="inlineStr">
        <is>
          <t>GuitarHit</t>
        </is>
      </c>
      <c r="F53" s="6" t="inlineStr">
        <is>
          <t>Success</t>
        </is>
      </c>
      <c r="G53" s="6" t="inlineStr">
        <is>
          <t>Easy</t>
        </is>
      </c>
      <c r="H53" s="4">
        <v>50.048</v>
      </c>
      <c r="I53" s="4">
        <v>50.0921</v>
      </c>
      <c r="J53" s="4">
        <v>0.0441</v>
      </c>
      <c r="K53" s="4">
        <v>0.0441</v>
      </c>
      <c r="P53" s="6">
        <v>66</v>
      </c>
    </row>
    <row r="54" ht="17" customHeight="1">
      <c r="A54" s="0">
        <v>62</v>
      </c>
      <c r="B54" s="0" t="inlineStr">
        <is>
          <t>P008</t>
        </is>
      </c>
      <c r="C54" s="0" t="inlineStr">
        <is>
          <t>2026-10-02 14:18:06.766</t>
        </is>
      </c>
      <c r="D54" s="0" t="inlineStr">
        <is>
          <t>Joaquin</t>
        </is>
      </c>
      <c r="E54" s="0" t="inlineStr">
        <is>
          <t>GuitarHit</t>
        </is>
      </c>
      <c r="F54" s="0" t="inlineStr">
        <is>
          <t>Success</t>
        </is>
      </c>
      <c r="G54" s="0" t="inlineStr">
        <is>
          <t>Easy</t>
        </is>
      </c>
      <c r="H54" s="4">
        <v>52.352</v>
      </c>
      <c r="I54" s="4">
        <v>52.3051</v>
      </c>
      <c r="J54" s="4">
        <v>-0.0469</v>
      </c>
      <c r="K54" s="4">
        <v>0.0469</v>
      </c>
      <c r="P54" s="0">
        <v>67</v>
      </c>
    </row>
    <row r="55" ht="17" customHeight="1">
      <c r="A55" s="6">
        <v>64</v>
      </c>
      <c r="B55" s="6" t="inlineStr">
        <is>
          <t>P008</t>
        </is>
      </c>
      <c r="C55" s="6" t="inlineStr">
        <is>
          <t>2026-10-02 14:18:07.253</t>
        </is>
      </c>
      <c r="D55" s="6" t="inlineStr">
        <is>
          <t>Joaquin</t>
        </is>
      </c>
      <c r="E55" s="6" t="inlineStr">
        <is>
          <t>GuitarHit</t>
        </is>
      </c>
      <c r="F55" s="6" t="inlineStr">
        <is>
          <t>Success</t>
        </is>
      </c>
      <c r="G55" s="6" t="inlineStr">
        <is>
          <t>Normal</t>
        </is>
      </c>
      <c r="H55" s="4">
        <v>52.736</v>
      </c>
      <c r="I55" s="4">
        <v>52.7925</v>
      </c>
      <c r="J55" s="4">
        <v>0.0565</v>
      </c>
      <c r="K55" s="4">
        <v>0.0565</v>
      </c>
      <c r="P55" s="6">
        <v>69</v>
      </c>
    </row>
    <row r="56" ht="17" customHeight="1">
      <c r="A56" s="0">
        <v>65</v>
      </c>
      <c r="B56" s="0" t="inlineStr">
        <is>
          <t>P008</t>
        </is>
      </c>
      <c r="C56" s="0" t="inlineStr">
        <is>
          <t>2026-10-02 14:18:10.914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Normal</t>
        </is>
      </c>
      <c r="H56" s="4">
        <v>56.576</v>
      </c>
      <c r="I56" s="4">
        <v>56.4529</v>
      </c>
      <c r="J56" s="4">
        <v>-0.1231</v>
      </c>
      <c r="K56" s="4">
        <v>0.1231</v>
      </c>
      <c r="P56" s="0">
        <v>70</v>
      </c>
    </row>
    <row r="57" ht="17" customHeight="1">
      <c r="A57" s="6">
        <v>66</v>
      </c>
      <c r="B57" s="6" t="inlineStr">
        <is>
          <t>P008</t>
        </is>
      </c>
      <c r="C57" s="6" t="inlineStr">
        <is>
          <t>2026-10-02 14:18:11.916</t>
        </is>
      </c>
      <c r="D57" s="6" t="inlineStr">
        <is>
          <t>Joaquin</t>
        </is>
      </c>
      <c r="E57" s="6" t="inlineStr">
        <is>
          <t>PlayerHit</t>
        </is>
      </c>
      <c r="F57" s="6" t="inlineStr">
        <is>
          <t>Failed</t>
        </is>
      </c>
      <c r="G57" s="6" t="inlineStr">
        <is>
          <t>Normal</t>
        </is>
      </c>
      <c r="H57" s="4">
        <v>57.456</v>
      </c>
      <c r="P57" s="6">
        <v>71</v>
      </c>
    </row>
    <row r="58" ht="17" customHeight="1">
      <c r="A58" s="0">
        <v>67</v>
      </c>
      <c r="B58" s="0" t="inlineStr">
        <is>
          <t>P008</t>
        </is>
      </c>
      <c r="C58" s="0" t="inlineStr">
        <is>
          <t>2026-10-02 14:18:13.921</t>
        </is>
      </c>
      <c r="D58" s="0" t="inlineStr">
        <is>
          <t>Joaquin</t>
        </is>
      </c>
      <c r="E58" s="0" t="inlineStr">
        <is>
          <t>PlayerHit</t>
        </is>
      </c>
      <c r="F58" s="0" t="inlineStr">
        <is>
          <t>Failed</t>
        </is>
      </c>
      <c r="G58" s="0" t="inlineStr">
        <is>
          <t>Normal</t>
        </is>
      </c>
      <c r="H58" s="4">
        <v>59.4604</v>
      </c>
      <c r="P58" s="0">
        <v>72</v>
      </c>
    </row>
    <row r="59" ht="17" customHeight="1">
      <c r="A59" s="6">
        <v>68</v>
      </c>
      <c r="B59" s="6" t="inlineStr">
        <is>
          <t>P008</t>
        </is>
      </c>
      <c r="C59" s="6" t="inlineStr">
        <is>
          <t>2026-10-02 14:18:14.116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Normal</t>
        </is>
      </c>
      <c r="H59" s="4">
        <v>59.648</v>
      </c>
      <c r="I59" s="4">
        <v>59.6553</v>
      </c>
      <c r="J59" s="4">
        <v>0.0073</v>
      </c>
      <c r="K59" s="4">
        <v>0.0073</v>
      </c>
      <c r="P59" s="6">
        <v>73</v>
      </c>
    </row>
    <row r="60" ht="17" customHeight="1">
      <c r="A60" s="0">
        <v>69</v>
      </c>
      <c r="B60" s="0" t="inlineStr">
        <is>
          <t>P008</t>
        </is>
      </c>
      <c r="C60" s="0" t="inlineStr">
        <is>
          <t>2026-10-02 14:18:14.757</t>
        </is>
      </c>
      <c r="D60" s="0" t="inlineStr">
        <is>
          <t>Joaquin</t>
        </is>
      </c>
      <c r="E60" s="0" t="inlineStr">
        <is>
          <t>PlayerHit</t>
        </is>
      </c>
      <c r="F60" s="0" t="inlineStr">
        <is>
          <t>Failed</t>
        </is>
      </c>
      <c r="G60" s="0" t="inlineStr">
        <is>
          <t>Normal</t>
        </is>
      </c>
      <c r="H60" s="4">
        <v>60.2962</v>
      </c>
      <c r="P60" s="0">
        <v>74</v>
      </c>
    </row>
    <row r="61" ht="17" customHeight="1">
      <c r="A61" s="6">
        <v>70</v>
      </c>
      <c r="B61" s="6" t="inlineStr">
        <is>
          <t>P008</t>
        </is>
      </c>
      <c r="C61" s="6" t="inlineStr">
        <is>
          <t>2026-10-02 14:18:15.913</t>
        </is>
      </c>
      <c r="D61" s="6" t="inlineStr">
        <is>
          <t>Joaquin</t>
        </is>
      </c>
      <c r="E61" s="6" t="inlineStr">
        <is>
          <t>PlayerHit</t>
        </is>
      </c>
      <c r="F61" s="6" t="inlineStr">
        <is>
          <t>Failed</t>
        </is>
      </c>
      <c r="G61" s="6" t="inlineStr">
        <is>
          <t>Normal</t>
        </is>
      </c>
      <c r="H61" s="4">
        <v>61.4525</v>
      </c>
      <c r="P61" s="6">
        <v>75</v>
      </c>
    </row>
    <row r="62" ht="17" customHeight="1">
      <c r="A62" s="0">
        <v>72</v>
      </c>
      <c r="B62" s="0" t="inlineStr">
        <is>
          <t>P008</t>
        </is>
      </c>
      <c r="C62" s="0" t="inlineStr">
        <is>
          <t>2026-10-02 14:18:20.856</t>
        </is>
      </c>
      <c r="D62" s="0" t="inlineStr">
        <is>
          <t>Shipi</t>
        </is>
      </c>
      <c r="E62" s="0" t="inlineStr">
        <is>
          <t>FoodCut</t>
        </is>
      </c>
      <c r="F62" s="0" t="inlineStr">
        <is>
          <t>Failed</t>
        </is>
      </c>
      <c r="G62" s="0" t="inlineStr">
        <is>
          <t>Normal</t>
        </is>
      </c>
      <c r="H62" s="4">
        <v>66.6368</v>
      </c>
      <c r="P62" s="0">
        <v>77</v>
      </c>
    </row>
    <row r="63" ht="17" customHeight="1">
      <c r="A63" s="6">
        <v>74</v>
      </c>
      <c r="B63" s="6" t="inlineStr">
        <is>
          <t>P008</t>
        </is>
      </c>
      <c r="C63" s="6" t="inlineStr">
        <is>
          <t>2026-10-02 14:18:21.816</t>
        </is>
      </c>
      <c r="D63" s="6" t="inlineStr">
        <is>
          <t>Shipi</t>
        </is>
      </c>
      <c r="E63" s="6" t="inlineStr">
        <is>
          <t>FoodCut</t>
        </is>
      </c>
      <c r="F63" s="6" t="inlineStr">
        <is>
          <t>Success</t>
        </is>
      </c>
      <c r="G63" s="6" t="inlineStr">
        <is>
          <t>Normal</t>
        </is>
      </c>
      <c r="H63" s="4">
        <v>68.1728</v>
      </c>
      <c r="I63" s="4">
        <v>67.3558</v>
      </c>
      <c r="J63" s="4">
        <v>-0.817</v>
      </c>
      <c r="K63" s="4">
        <v>0.817</v>
      </c>
      <c r="L63" s="4">
        <v>0.0278</v>
      </c>
      <c r="N63" s="4">
        <v>1.0</v>
      </c>
      <c r="P63" s="6">
        <v>79</v>
      </c>
    </row>
    <row r="64" ht="17" customHeight="1">
      <c r="A64" s="0">
        <v>75</v>
      </c>
      <c r="B64" s="0" t="inlineStr">
        <is>
          <t>P008</t>
        </is>
      </c>
      <c r="C64" s="0" t="inlineStr">
        <is>
          <t>2026-10-02 14:18:24.057</t>
        </is>
      </c>
      <c r="D64" s="0" t="inlineStr">
        <is>
          <t>Shipi</t>
        </is>
      </c>
      <c r="E64" s="0" t="inlineStr">
        <is>
          <t>FoodCut</t>
        </is>
      </c>
      <c r="F64" s="0" t="inlineStr">
        <is>
          <t>Success</t>
        </is>
      </c>
      <c r="G64" s="0" t="inlineStr">
        <is>
          <t>Normal</t>
        </is>
      </c>
      <c r="H64" s="4">
        <v>69.7088</v>
      </c>
      <c r="I64" s="4">
        <v>69.5973</v>
      </c>
      <c r="J64" s="4">
        <v>-0.1115</v>
      </c>
      <c r="K64" s="4">
        <v>0.1115</v>
      </c>
      <c r="L64" s="4">
        <v>0.7333</v>
      </c>
      <c r="N64" s="4">
        <v>1.0</v>
      </c>
      <c r="P64" s="0">
        <v>80</v>
      </c>
    </row>
    <row r="65" ht="17" customHeight="1">
      <c r="A65" s="6">
        <v>76</v>
      </c>
      <c r="B65" s="6" t="inlineStr">
        <is>
          <t>P008</t>
        </is>
      </c>
      <c r="C65" s="6" t="inlineStr">
        <is>
          <t>2026-10-02 14:18:25.575</t>
        </is>
      </c>
      <c r="D65" s="6" t="inlineStr">
        <is>
          <t>Shipi</t>
        </is>
      </c>
      <c r="E65" s="6" t="inlineStr">
        <is>
          <t>FoodCut</t>
        </is>
      </c>
      <c r="F65" s="6" t="inlineStr">
        <is>
          <t>Success</t>
        </is>
      </c>
      <c r="G65" s="6" t="inlineStr">
        <is>
          <t>Normal</t>
        </is>
      </c>
      <c r="H65" s="4">
        <v>71.2448</v>
      </c>
      <c r="I65" s="4">
        <v>71.1144</v>
      </c>
      <c r="J65" s="4">
        <v>-0.1304</v>
      </c>
      <c r="K65" s="4">
        <v>0.1304</v>
      </c>
      <c r="L65" s="4">
        <v>0.7144</v>
      </c>
      <c r="N65" s="4">
        <v>1.0</v>
      </c>
      <c r="P65" s="6">
        <v>81</v>
      </c>
    </row>
    <row r="66" ht="17" customHeight="1">
      <c r="A66" s="0">
        <v>77</v>
      </c>
      <c r="B66" s="0" t="inlineStr">
        <is>
          <t>P008</t>
        </is>
      </c>
      <c r="C66" s="0" t="inlineStr">
        <is>
          <t>2026-10-02 14:18:26.966</t>
        </is>
      </c>
      <c r="D66" s="0" t="inlineStr">
        <is>
          <t>Shipi</t>
        </is>
      </c>
      <c r="E66" s="0" t="inlineStr">
        <is>
          <t>FoodCut</t>
        </is>
      </c>
      <c r="F66" s="0" t="inlineStr">
        <is>
          <t>Failed</t>
        </is>
      </c>
      <c r="G66" s="0" t="inlineStr">
        <is>
          <t>Normal</t>
        </is>
      </c>
      <c r="H66" s="4">
        <v>72.7808</v>
      </c>
      <c r="I66" s="4">
        <v>72.5066</v>
      </c>
      <c r="J66" s="4">
        <v>-0.2742</v>
      </c>
      <c r="K66" s="4">
        <v>0.2742</v>
      </c>
      <c r="L66" s="4">
        <v>0.5706</v>
      </c>
      <c r="N66" s="4">
        <v>0.0</v>
      </c>
      <c r="P66" s="0">
        <v>82</v>
      </c>
    </row>
    <row r="67" ht="17" customHeight="1">
      <c r="A67" s="6">
        <v>78</v>
      </c>
      <c r="B67" s="6" t="inlineStr">
        <is>
          <t>P008</t>
        </is>
      </c>
      <c r="C67" s="6" t="inlineStr">
        <is>
          <t>2026-10-02 14:18:28.596</t>
        </is>
      </c>
      <c r="D67" s="6" t="inlineStr">
        <is>
          <t>Shipi</t>
        </is>
      </c>
      <c r="E67" s="6" t="inlineStr">
        <is>
          <t>FoodCut</t>
        </is>
      </c>
      <c r="F67" s="6" t="inlineStr">
        <is>
          <t>Failed</t>
        </is>
      </c>
      <c r="G67" s="6" t="inlineStr">
        <is>
          <t>Normal</t>
        </is>
      </c>
      <c r="H67" s="4">
        <v>74.3168</v>
      </c>
      <c r="I67" s="4">
        <v>74.1355</v>
      </c>
      <c r="J67" s="4">
        <v>-0.1813</v>
      </c>
      <c r="K67" s="4">
        <v>0.1813</v>
      </c>
      <c r="L67" s="4">
        <v>0.6635</v>
      </c>
      <c r="N67" s="4">
        <v>0.0</v>
      </c>
      <c r="P67" s="6">
        <v>83</v>
      </c>
    </row>
    <row r="68" ht="17" customHeight="1">
      <c r="A68" s="0">
        <v>79</v>
      </c>
      <c r="B68" s="0" t="inlineStr">
        <is>
          <t>P008</t>
        </is>
      </c>
      <c r="C68" s="0" t="inlineStr">
        <is>
          <t>2026-10-02 14:18:30.016</t>
        </is>
      </c>
      <c r="D68" s="0" t="inlineStr">
        <is>
          <t>Shipi</t>
        </is>
      </c>
      <c r="E68" s="0" t="inlineStr">
        <is>
          <t>FoodCut</t>
        </is>
      </c>
      <c r="F68" s="0" t="inlineStr">
        <is>
          <t>Success</t>
        </is>
      </c>
      <c r="G68" s="0" t="inlineStr">
        <is>
          <t>Normal</t>
        </is>
      </c>
      <c r="H68" s="4">
        <v>75.8528</v>
      </c>
      <c r="I68" s="4">
        <v>75.5557</v>
      </c>
      <c r="J68" s="4">
        <v>-0.2971</v>
      </c>
      <c r="K68" s="4">
        <v>0.2971</v>
      </c>
      <c r="L68" s="4">
        <v>0.5477</v>
      </c>
      <c r="N68" s="4">
        <v>1.0</v>
      </c>
      <c r="P68" s="0">
        <v>84</v>
      </c>
    </row>
    <row r="69" ht="17" customHeight="1">
      <c r="A69" s="6">
        <v>80</v>
      </c>
      <c r="B69" s="6" t="inlineStr">
        <is>
          <t>P008</t>
        </is>
      </c>
      <c r="C69" s="6" t="inlineStr">
        <is>
          <t>2026-10-02 14:18:31.297</t>
        </is>
      </c>
      <c r="D69" s="6" t="inlineStr">
        <is>
          <t>Shipi</t>
        </is>
      </c>
      <c r="E69" s="6" t="inlineStr">
        <is>
          <t>FoodCut</t>
        </is>
      </c>
      <c r="F69" s="6" t="inlineStr">
        <is>
          <t>Failed</t>
        </is>
      </c>
      <c r="G69" s="6" t="inlineStr">
        <is>
          <t>Normal</t>
        </is>
      </c>
      <c r="H69" s="4">
        <v>77.3888</v>
      </c>
      <c r="P69" s="6">
        <v>85</v>
      </c>
    </row>
    <row r="70" ht="17" customHeight="1">
      <c r="A70" s="0">
        <v>81</v>
      </c>
      <c r="B70" s="0" t="inlineStr">
        <is>
          <t>P008</t>
        </is>
      </c>
      <c r="C70" s="0" t="inlineStr">
        <is>
          <t>2026-10-02 14:18:33.177</t>
        </is>
      </c>
      <c r="D70" s="0" t="inlineStr">
        <is>
          <t>Shipi</t>
        </is>
      </c>
      <c r="E70" s="0" t="inlineStr">
        <is>
          <t>FoodCut</t>
        </is>
      </c>
      <c r="F70" s="0" t="inlineStr">
        <is>
          <t>Success</t>
        </is>
      </c>
      <c r="G70" s="0" t="inlineStr">
        <is>
          <t>Normal</t>
        </is>
      </c>
      <c r="H70" s="4">
        <v>78.9248</v>
      </c>
      <c r="I70" s="4">
        <v>78.7165</v>
      </c>
      <c r="J70" s="4">
        <v>-0.2083</v>
      </c>
      <c r="K70" s="4">
        <v>0.2083</v>
      </c>
      <c r="L70" s="4">
        <v>0.6365</v>
      </c>
      <c r="N70" s="4">
        <v>1.0</v>
      </c>
      <c r="P70" s="0">
        <v>86</v>
      </c>
    </row>
    <row r="71" ht="17" customHeight="1">
      <c r="A71" s="6">
        <v>82</v>
      </c>
      <c r="B71" s="6" t="inlineStr">
        <is>
          <t>P008</t>
        </is>
      </c>
      <c r="C71" s="6" t="inlineStr">
        <is>
          <t>2026-10-02 14:18:34.555</t>
        </is>
      </c>
      <c r="D71" s="6" t="inlineStr">
        <is>
          <t>Shipi</t>
        </is>
      </c>
      <c r="E71" s="6" t="inlineStr">
        <is>
          <t>FoodCut</t>
        </is>
      </c>
      <c r="F71" s="6" t="inlineStr">
        <is>
          <t>Failed</t>
        </is>
      </c>
      <c r="G71" s="6" t="inlineStr">
        <is>
          <t>Normal</t>
        </is>
      </c>
      <c r="H71" s="4">
        <v>80.4608</v>
      </c>
      <c r="I71" s="4">
        <v>80.0951</v>
      </c>
      <c r="J71" s="4">
        <v>-0.3657</v>
      </c>
      <c r="K71" s="4">
        <v>0.3657</v>
      </c>
      <c r="L71" s="4">
        <v>0.4791</v>
      </c>
      <c r="N71" s="4">
        <v>0.0</v>
      </c>
      <c r="P71" s="6">
        <v>87</v>
      </c>
    </row>
    <row r="72" ht="17" customHeight="1">
      <c r="A72" s="0">
        <v>83</v>
      </c>
      <c r="B72" s="0" t="inlineStr">
        <is>
          <t>P008</t>
        </is>
      </c>
      <c r="C72" s="0" t="inlineStr">
        <is>
          <t>2026-10-02 14:18:36.253</t>
        </is>
      </c>
      <c r="D72" s="0" t="inlineStr">
        <is>
          <t>Shipi</t>
        </is>
      </c>
      <c r="E72" s="0" t="inlineStr">
        <is>
          <t>FoodCut</t>
        </is>
      </c>
      <c r="F72" s="0" t="inlineStr">
        <is>
          <t>Success</t>
        </is>
      </c>
      <c r="G72" s="0" t="inlineStr">
        <is>
          <t>Normal</t>
        </is>
      </c>
      <c r="H72" s="4">
        <v>81.9968</v>
      </c>
      <c r="I72" s="4">
        <v>81.794</v>
      </c>
      <c r="J72" s="4">
        <v>-0.2028</v>
      </c>
      <c r="K72" s="4">
        <v>0.2028</v>
      </c>
      <c r="L72" s="4">
        <v>0.642</v>
      </c>
      <c r="N72" s="4">
        <v>1.0</v>
      </c>
      <c r="P72" s="0">
        <v>88</v>
      </c>
    </row>
    <row r="73" ht="17" customHeight="1">
      <c r="A73" s="6">
        <v>84</v>
      </c>
      <c r="B73" s="6" t="inlineStr">
        <is>
          <t>P008</t>
        </is>
      </c>
      <c r="C73" s="6" t="inlineStr">
        <is>
          <t>2026-10-02 14:18:37.827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Success</t>
        </is>
      </c>
      <c r="G73" s="6" t="inlineStr">
        <is>
          <t>Normal</t>
        </is>
      </c>
      <c r="H73" s="4">
        <v>83.5328</v>
      </c>
      <c r="I73" s="4">
        <v>83.3668</v>
      </c>
      <c r="J73" s="4">
        <v>-0.166</v>
      </c>
      <c r="K73" s="4">
        <v>0.166</v>
      </c>
      <c r="L73" s="4">
        <v>0.6788</v>
      </c>
      <c r="N73" s="4">
        <v>1.0</v>
      </c>
      <c r="P73" s="6">
        <v>89</v>
      </c>
    </row>
    <row r="74" ht="17" customHeight="1">
      <c r="A74" s="0">
        <v>85</v>
      </c>
      <c r="B74" s="0" t="inlineStr">
        <is>
          <t>P008</t>
        </is>
      </c>
      <c r="C74" s="0" t="inlineStr">
        <is>
          <t>2026-10-02 14:18:39.178</t>
        </is>
      </c>
      <c r="D74" s="0" t="inlineStr">
        <is>
          <t>Shipi</t>
        </is>
      </c>
      <c r="E74" s="0" t="inlineStr">
        <is>
          <t>FoodCut</t>
        </is>
      </c>
      <c r="F74" s="0" t="inlineStr">
        <is>
          <t>Success</t>
        </is>
      </c>
      <c r="G74" s="0" t="inlineStr">
        <is>
          <t>Normal</t>
        </is>
      </c>
      <c r="H74" s="4">
        <v>85.0688</v>
      </c>
      <c r="I74" s="4">
        <v>84.7173</v>
      </c>
      <c r="J74" s="4">
        <v>-0.3515</v>
      </c>
      <c r="K74" s="4">
        <v>0.3515</v>
      </c>
      <c r="L74" s="4">
        <v>0.4933</v>
      </c>
      <c r="N74" s="4">
        <v>1.0</v>
      </c>
      <c r="P74" s="0">
        <v>90</v>
      </c>
    </row>
    <row r="75" ht="17" customHeight="1">
      <c r="A75" s="6">
        <v>86</v>
      </c>
      <c r="B75" s="6" t="inlineStr">
        <is>
          <t>P008</t>
        </is>
      </c>
      <c r="C75" s="6" t="inlineStr">
        <is>
          <t>2026-10-02 14:18:40.793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Failed</t>
        </is>
      </c>
      <c r="G75" s="6" t="inlineStr">
        <is>
          <t>Normal</t>
        </is>
      </c>
      <c r="H75" s="4">
        <v>86.6048</v>
      </c>
      <c r="I75" s="4">
        <v>86.3321</v>
      </c>
      <c r="J75" s="4">
        <v>-0.2727</v>
      </c>
      <c r="K75" s="4">
        <v>0.2727</v>
      </c>
      <c r="L75" s="4">
        <v>0.5721</v>
      </c>
      <c r="N75" s="4">
        <v>0.0</v>
      </c>
      <c r="P75" s="6">
        <v>91</v>
      </c>
    </row>
    <row r="76" ht="17" customHeight="1">
      <c r="A76" s="0">
        <v>87</v>
      </c>
      <c r="B76" s="0" t="inlineStr">
        <is>
          <t>P008</t>
        </is>
      </c>
      <c r="C76" s="0" t="inlineStr">
        <is>
          <t>2026-10-02 14:18:41.794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Failed</t>
        </is>
      </c>
      <c r="G76" s="0" t="inlineStr">
        <is>
          <t>Normal</t>
        </is>
      </c>
      <c r="H76" s="4">
        <v>88.1408</v>
      </c>
      <c r="I76" s="4">
        <v>87.3348</v>
      </c>
      <c r="J76" s="4">
        <v>-0.806</v>
      </c>
      <c r="K76" s="4">
        <v>0.806</v>
      </c>
      <c r="L76" s="4">
        <v>0.0388</v>
      </c>
      <c r="N76" s="4">
        <v>0.0</v>
      </c>
      <c r="P76" s="0">
        <v>92</v>
      </c>
    </row>
    <row r="77" ht="17" customHeight="1">
      <c r="A77" s="6">
        <v>88</v>
      </c>
      <c r="B77" s="6" t="inlineStr">
        <is>
          <t>P008</t>
        </is>
      </c>
      <c r="C77" s="6" t="inlineStr">
        <is>
          <t>2026-10-02 14:18:43.312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Normal</t>
        </is>
      </c>
      <c r="H77" s="4">
        <v>89.6768</v>
      </c>
      <c r="I77" s="4">
        <v>88.8525</v>
      </c>
      <c r="J77" s="4">
        <v>-0.8243</v>
      </c>
      <c r="K77" s="4">
        <v>0.8243</v>
      </c>
      <c r="L77" s="4">
        <v>0.0205</v>
      </c>
      <c r="N77" s="4">
        <v>1.0</v>
      </c>
      <c r="P77" s="6">
        <v>93</v>
      </c>
    </row>
    <row r="78" ht="17" customHeight="1">
      <c r="A78" s="0">
        <v>89</v>
      </c>
      <c r="B78" s="0" t="inlineStr">
        <is>
          <t>P008</t>
        </is>
      </c>
      <c r="C78" s="0" t="inlineStr">
        <is>
          <t>2026-10-02 14:18:46.376</t>
        </is>
      </c>
      <c r="D78" s="0" t="inlineStr">
        <is>
          <t>Shipi</t>
        </is>
      </c>
      <c r="E78" s="0" t="inlineStr">
        <is>
          <t>FoodClear</t>
        </is>
      </c>
      <c r="F78" s="0" t="inlineStr">
        <is>
          <t>Success</t>
        </is>
      </c>
      <c r="G78" s="0" t="inlineStr">
        <is>
          <t>Normal</t>
        </is>
      </c>
      <c r="H78" s="4">
        <v>91.2128</v>
      </c>
      <c r="P78" s="0">
        <v>94</v>
      </c>
    </row>
    <row r="79" ht="17" customHeight="1">
      <c r="A79" s="6">
        <v>90</v>
      </c>
      <c r="B79" s="6" t="inlineStr">
        <is>
          <t>P008</t>
        </is>
      </c>
      <c r="C79" s="6" t="inlineStr">
        <is>
          <t>2026-10-02 14:18:47.908</t>
        </is>
      </c>
      <c r="D79" s="6" t="inlineStr">
        <is>
          <t>Shipi</t>
        </is>
      </c>
      <c r="E79" s="6" t="inlineStr">
        <is>
          <t>FoodClear</t>
        </is>
      </c>
      <c r="F79" s="6" t="inlineStr">
        <is>
          <t>Success</t>
        </is>
      </c>
      <c r="G79" s="6" t="inlineStr">
        <is>
          <t>Normal</t>
        </is>
      </c>
      <c r="H79" s="4">
        <v>92.7488</v>
      </c>
      <c r="P79" s="6">
        <v>95</v>
      </c>
    </row>
    <row r="80" ht="17" customHeight="1">
      <c r="A80" s="0">
        <v>91</v>
      </c>
      <c r="B80" s="0" t="inlineStr">
        <is>
          <t>P008</t>
        </is>
      </c>
      <c r="C80" s="0" t="inlineStr">
        <is>
          <t>2026-10-02 14:18:47.935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Success</t>
        </is>
      </c>
      <c r="G80" s="0" t="inlineStr">
        <is>
          <t>Normal</t>
        </is>
      </c>
      <c r="H80" s="4">
        <v>94.2848</v>
      </c>
      <c r="I80" s="4">
        <v>93.4749</v>
      </c>
      <c r="J80" s="4">
        <v>-0.8099</v>
      </c>
      <c r="K80" s="4">
        <v>0.8099</v>
      </c>
      <c r="L80" s="4">
        <v>0.0349</v>
      </c>
      <c r="N80" s="4">
        <v>1.0</v>
      </c>
      <c r="P80" s="0">
        <v>96</v>
      </c>
    </row>
    <row r="81" ht="17" customHeight="1">
      <c r="A81" s="6">
        <v>92</v>
      </c>
      <c r="B81" s="6" t="inlineStr">
        <is>
          <t>P008</t>
        </is>
      </c>
      <c r="C81" s="6" t="inlineStr">
        <is>
          <t>2026-10-02 14:18:51.110</t>
        </is>
      </c>
      <c r="D81" s="6" t="inlineStr">
        <is>
          <t>JuanAndres</t>
        </is>
      </c>
      <c r="E81" s="6" t="inlineStr">
        <is>
          <t>GroomStroke</t>
        </is>
      </c>
      <c r="F81" s="6" t="inlineStr">
        <is>
          <t>Success</t>
        </is>
      </c>
      <c r="G81" s="6" t="inlineStr">
        <is>
          <t>Normal</t>
        </is>
      </c>
      <c r="H81" s="4">
        <v>94.976</v>
      </c>
      <c r="I81" s="4">
        <v>96.4681</v>
      </c>
      <c r="J81" s="4">
        <v>1.4921</v>
      </c>
      <c r="K81" s="4">
        <v>1.4921</v>
      </c>
      <c r="N81" s="4">
        <v>1.0</v>
      </c>
      <c r="O81" s="6" t="b">
        <v>1</v>
      </c>
      <c r="P81" s="6">
        <v>97</v>
      </c>
    </row>
    <row r="82" ht="17" customHeight="1">
      <c r="A82" s="0">
        <v>93</v>
      </c>
      <c r="B82" s="0" t="inlineStr">
        <is>
          <t>P008</t>
        </is>
      </c>
      <c r="C82" s="0" t="inlineStr">
        <is>
          <t>2026-10-02 14:18:51.234</t>
        </is>
      </c>
      <c r="D82" s="0" t="inlineStr">
        <is>
          <t>JuanAndres</t>
        </is>
      </c>
      <c r="E82" s="0" t="inlineStr">
        <is>
          <t>GroomStroke</t>
        </is>
      </c>
      <c r="F82" s="0" t="inlineStr">
        <is>
          <t>Failed</t>
        </is>
      </c>
      <c r="G82" s="0" t="inlineStr">
        <is>
          <t>Normal</t>
        </is>
      </c>
      <c r="H82" s="4">
        <v>96.128</v>
      </c>
      <c r="I82" s="4">
        <v>96.5517</v>
      </c>
      <c r="J82" s="4">
        <v>0.4237</v>
      </c>
      <c r="K82" s="4">
        <v>0.4237</v>
      </c>
      <c r="N82" s="4">
        <v>0.0</v>
      </c>
      <c r="O82" s="0" t="b">
        <v>0</v>
      </c>
      <c r="P82" s="0">
        <v>98</v>
      </c>
    </row>
    <row r="83" ht="17" customHeight="1">
      <c r="A83" s="6">
        <v>94</v>
      </c>
      <c r="B83" s="6" t="inlineStr">
        <is>
          <t>P008</t>
        </is>
      </c>
      <c r="C83" s="6" t="inlineStr">
        <is>
          <t>2026-10-02 14:18:51.890</t>
        </is>
      </c>
      <c r="D83" s="6" t="inlineStr">
        <is>
          <t>JuanAndres</t>
        </is>
      </c>
      <c r="E83" s="6" t="inlineStr">
        <is>
          <t>GroomStroke</t>
        </is>
      </c>
      <c r="F83" s="6" t="inlineStr">
        <is>
          <t>Success</t>
        </is>
      </c>
      <c r="G83" s="6" t="inlineStr">
        <is>
          <t>Normal</t>
        </is>
      </c>
      <c r="H83" s="4">
        <v>96.128</v>
      </c>
      <c r="I83" s="4">
        <v>97.1511</v>
      </c>
      <c r="J83" s="4">
        <v>1.0231</v>
      </c>
      <c r="K83" s="4">
        <v>1.0231</v>
      </c>
      <c r="N83" s="4">
        <v>1.0</v>
      </c>
      <c r="O83" s="6" t="b">
        <v>1</v>
      </c>
      <c r="P83" s="6">
        <v>99</v>
      </c>
    </row>
    <row r="84" ht="17" customHeight="1">
      <c r="A84" s="0">
        <v>95</v>
      </c>
      <c r="B84" s="0" t="inlineStr">
        <is>
          <t>P008</t>
        </is>
      </c>
      <c r="C84" s="0" t="inlineStr">
        <is>
          <t>2026-10-02 14:18:52.530</t>
        </is>
      </c>
      <c r="D84" s="0" t="inlineStr">
        <is>
          <t>JuanAndres</t>
        </is>
      </c>
      <c r="E84" s="0" t="inlineStr">
        <is>
          <t>GroomStroke</t>
        </is>
      </c>
      <c r="F84" s="0" t="inlineStr">
        <is>
          <t>Success</t>
        </is>
      </c>
      <c r="G84" s="0" t="inlineStr">
        <is>
          <t>Normal</t>
        </is>
      </c>
      <c r="H84" s="4">
        <v>98.432</v>
      </c>
      <c r="I84" s="4">
        <v>97.9863</v>
      </c>
      <c r="J84" s="4">
        <v>-0.4457</v>
      </c>
      <c r="K84" s="4">
        <v>0.4457</v>
      </c>
      <c r="N84" s="4">
        <v>1.0</v>
      </c>
      <c r="O84" s="0" t="b">
        <v>1</v>
      </c>
      <c r="P84" s="0">
        <v>100</v>
      </c>
    </row>
    <row r="85" ht="17" customHeight="1">
      <c r="A85" s="6">
        <v>96</v>
      </c>
      <c r="B85" s="6" t="inlineStr">
        <is>
          <t>P008</t>
        </is>
      </c>
      <c r="C85" s="6" t="inlineStr">
        <is>
          <t>2026-10-02 14:18:53.254</t>
        </is>
      </c>
      <c r="D85" s="6" t="inlineStr">
        <is>
          <t>JuanAndres</t>
        </is>
      </c>
      <c r="E85" s="6" t="inlineStr">
        <is>
          <t>GroomStroke</t>
        </is>
      </c>
      <c r="F85" s="6" t="inlineStr">
        <is>
          <t>Success</t>
        </is>
      </c>
      <c r="G85" s="6" t="inlineStr">
        <is>
          <t>Normal</t>
        </is>
      </c>
      <c r="H85" s="4">
        <v>97.664</v>
      </c>
      <c r="I85" s="4">
        <v>98.6268</v>
      </c>
      <c r="J85" s="4">
        <v>0.9628</v>
      </c>
      <c r="K85" s="4">
        <v>0.9628</v>
      </c>
      <c r="N85" s="4">
        <v>1.0</v>
      </c>
      <c r="O85" s="6" t="b">
        <v>1</v>
      </c>
      <c r="P85" s="6">
        <v>101</v>
      </c>
    </row>
    <row r="86" ht="17" customHeight="1">
      <c r="A86" s="0">
        <v>97</v>
      </c>
      <c r="B86" s="0" t="inlineStr">
        <is>
          <t>P008</t>
        </is>
      </c>
      <c r="C86" s="0" t="inlineStr">
        <is>
          <t>2026-10-02 14:18:56.387</t>
        </is>
      </c>
      <c r="D86" s="0" t="inlineStr">
        <is>
          <t>JuanAndres</t>
        </is>
      </c>
      <c r="E86" s="0" t="inlineStr">
        <is>
          <t>GroomStroke</t>
        </is>
      </c>
      <c r="F86" s="0" t="inlineStr">
        <is>
          <t>Failed</t>
        </is>
      </c>
      <c r="G86" s="0" t="inlineStr">
        <is>
          <t>Normal</t>
        </is>
      </c>
      <c r="H86" s="4">
        <v>101.12</v>
      </c>
      <c r="I86" s="4">
        <v>101.4115</v>
      </c>
      <c r="J86" s="4">
        <v>0.2915</v>
      </c>
      <c r="K86" s="4">
        <v>0.2915</v>
      </c>
      <c r="N86" s="4">
        <v>0.0</v>
      </c>
      <c r="O86" s="0" t="b">
        <v>0</v>
      </c>
      <c r="P86" s="0">
        <v>102</v>
      </c>
    </row>
    <row r="87" ht="17" customHeight="1">
      <c r="A87" s="6">
        <v>98</v>
      </c>
      <c r="B87" s="6" t="inlineStr">
        <is>
          <t>P008</t>
        </is>
      </c>
      <c r="C87" s="6" t="inlineStr">
        <is>
          <t>2026-10-02 14:18:57.793</t>
        </is>
      </c>
      <c r="D87" s="6" t="inlineStr">
        <is>
          <t>JuanAndres</t>
        </is>
      </c>
      <c r="E87" s="6" t="inlineStr">
        <is>
          <t>GroomStroke</t>
        </is>
      </c>
      <c r="F87" s="6" t="inlineStr">
        <is>
          <t>Failed</t>
        </is>
      </c>
      <c r="G87" s="6" t="inlineStr">
        <is>
          <t>Normal</t>
        </is>
      </c>
      <c r="H87" s="4">
        <v>102.656</v>
      </c>
      <c r="I87" s="4">
        <v>103.2908</v>
      </c>
      <c r="J87" s="4">
        <v>0.6348</v>
      </c>
      <c r="K87" s="4">
        <v>0.6348</v>
      </c>
      <c r="N87" s="4">
        <v>1.0</v>
      </c>
      <c r="O87" s="6" t="b">
        <v>0</v>
      </c>
      <c r="P87" s="6">
        <v>103</v>
      </c>
    </row>
    <row r="88" ht="17" customHeight="1">
      <c r="A88" s="0">
        <v>99</v>
      </c>
      <c r="B88" s="0" t="inlineStr">
        <is>
          <t>P008</t>
        </is>
      </c>
      <c r="C88" s="0" t="inlineStr">
        <is>
          <t>2026-10-02 14:18:58.976</t>
        </is>
      </c>
      <c r="D88" s="0" t="inlineStr">
        <is>
          <t>JuanAndres</t>
        </is>
      </c>
      <c r="E88" s="0" t="inlineStr">
        <is>
          <t>GroomStroke</t>
        </is>
      </c>
      <c r="F88" s="0" t="inlineStr">
        <is>
          <t>Failed</t>
        </is>
      </c>
      <c r="G88" s="0" t="inlineStr">
        <is>
          <t>Normal</t>
        </is>
      </c>
      <c r="H88" s="4">
        <v>104.192</v>
      </c>
      <c r="I88" s="4">
        <v>104.4462</v>
      </c>
      <c r="J88" s="4">
        <v>0.2542</v>
      </c>
      <c r="K88" s="4">
        <v>0.2542</v>
      </c>
      <c r="N88" s="4">
        <v>1.0</v>
      </c>
      <c r="O88" s="0" t="b">
        <v>0</v>
      </c>
      <c r="P88" s="0">
        <v>104</v>
      </c>
    </row>
    <row r="89" ht="17" customHeight="1">
      <c r="A89" s="6">
        <v>103</v>
      </c>
      <c r="B89" s="6" t="inlineStr">
        <is>
          <t>P008</t>
        </is>
      </c>
      <c r="C89" s="6" t="inlineStr">
        <is>
          <t>2026-10-02 14:19:00.576</t>
        </is>
      </c>
      <c r="D89" s="6" t="inlineStr">
        <is>
          <t>JuanAndres</t>
        </is>
      </c>
      <c r="E89" s="6" t="inlineStr">
        <is>
          <t>GroomStroke</t>
        </is>
      </c>
      <c r="F89" s="6" t="inlineStr">
        <is>
          <t>Success</t>
        </is>
      </c>
      <c r="G89" s="6" t="inlineStr">
        <is>
          <t>Normal</t>
        </is>
      </c>
      <c r="H89" s="4">
        <v>104.96</v>
      </c>
      <c r="I89" s="4">
        <v>105.9912</v>
      </c>
      <c r="J89" s="4">
        <v>1.0312</v>
      </c>
      <c r="K89" s="4">
        <v>1.0312</v>
      </c>
      <c r="N89" s="4">
        <v>1.0</v>
      </c>
      <c r="O89" s="6" t="b">
        <v>1</v>
      </c>
      <c r="P89" s="6">
        <v>108</v>
      </c>
    </row>
    <row r="90" ht="17" customHeight="1">
      <c r="A90" s="0">
        <v>104</v>
      </c>
      <c r="B90" s="0" t="inlineStr">
        <is>
          <t>P008</t>
        </is>
      </c>
      <c r="C90" s="0" t="inlineStr">
        <is>
          <t>2026-10-02 14:19:01.732</t>
        </is>
      </c>
      <c r="D90" s="0" t="inlineStr">
        <is>
          <t>JuanAndres</t>
        </is>
      </c>
      <c r="E90" s="0" t="inlineStr">
        <is>
          <t>GroomStroke</t>
        </is>
      </c>
      <c r="F90" s="0" t="inlineStr">
        <is>
          <t>Success</t>
        </is>
      </c>
      <c r="G90" s="0" t="inlineStr">
        <is>
          <t>Normal</t>
        </is>
      </c>
      <c r="H90" s="4">
        <v>104.192</v>
      </c>
      <c r="I90" s="4">
        <v>106.8125</v>
      </c>
      <c r="J90" s="4">
        <v>2.6205</v>
      </c>
      <c r="K90" s="4">
        <v>2.6205</v>
      </c>
      <c r="N90" s="4">
        <v>1.0</v>
      </c>
      <c r="O90" s="0" t="b">
        <v>1</v>
      </c>
      <c r="P90" s="0">
        <v>109</v>
      </c>
    </row>
    <row r="91" ht="17" customHeight="1">
      <c r="A91" s="6">
        <v>105</v>
      </c>
      <c r="B91" s="6" t="inlineStr">
        <is>
          <t>P008</t>
        </is>
      </c>
      <c r="C91" s="6" t="inlineStr">
        <is>
          <t>2026-10-02 14:19:02.456</t>
        </is>
      </c>
      <c r="D91" s="6" t="inlineStr">
        <is>
          <t>JuanAndres</t>
        </is>
      </c>
      <c r="E91" s="6" t="inlineStr">
        <is>
          <t>GroomStroke</t>
        </is>
      </c>
      <c r="F91" s="6" t="inlineStr">
        <is>
          <t>Success</t>
        </is>
      </c>
      <c r="G91" s="6" t="inlineStr">
        <is>
          <t>Normal</t>
        </is>
      </c>
      <c r="H91" s="4">
        <v>106.88</v>
      </c>
      <c r="I91" s="4">
        <v>107.9261</v>
      </c>
      <c r="J91" s="4">
        <v>1.0461</v>
      </c>
      <c r="K91" s="4">
        <v>1.0461</v>
      </c>
      <c r="N91" s="4">
        <v>1.0</v>
      </c>
      <c r="O91" s="6" t="b">
        <v>1</v>
      </c>
      <c r="P91" s="6">
        <v>110</v>
      </c>
    </row>
    <row r="92" ht="17" customHeight="1">
      <c r="A92" s="0">
        <v>106</v>
      </c>
      <c r="B92" s="0" t="inlineStr">
        <is>
          <t>P008</t>
        </is>
      </c>
      <c r="C92" s="0" t="inlineStr">
        <is>
          <t>2026-10-02 14:19:03.334</t>
        </is>
      </c>
      <c r="D92" s="0" t="inlineStr">
        <is>
          <t>JuanAndres</t>
        </is>
      </c>
      <c r="E92" s="0" t="inlineStr">
        <is>
          <t>GroomStroke</t>
        </is>
      </c>
      <c r="F92" s="0" t="inlineStr">
        <is>
          <t>Failed</t>
        </is>
      </c>
      <c r="G92" s="0" t="inlineStr">
        <is>
          <t>Normal</t>
        </is>
      </c>
      <c r="H92" s="4">
        <v>108.032</v>
      </c>
      <c r="I92" s="4">
        <v>108.8312</v>
      </c>
      <c r="J92" s="4">
        <v>0.7992</v>
      </c>
      <c r="K92" s="4">
        <v>0.7992</v>
      </c>
      <c r="N92" s="4">
        <v>1.0</v>
      </c>
      <c r="O92" s="0" t="b">
        <v>0</v>
      </c>
      <c r="P92" s="0">
        <v>111</v>
      </c>
    </row>
    <row r="93" ht="17" customHeight="1">
      <c r="A93" s="6">
        <v>108</v>
      </c>
      <c r="B93" s="6" t="inlineStr">
        <is>
          <t>P008</t>
        </is>
      </c>
      <c r="C93" s="6" t="inlineStr">
        <is>
          <t>2026-10-02 14:19:04.614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Failed</t>
        </is>
      </c>
      <c r="G93" s="6" t="inlineStr">
        <is>
          <t>Normal</t>
        </is>
      </c>
      <c r="H93" s="4">
        <v>109.184</v>
      </c>
      <c r="I93" s="4">
        <v>110.0281</v>
      </c>
      <c r="J93" s="4">
        <v>0.8441</v>
      </c>
      <c r="K93" s="4">
        <v>0.8441</v>
      </c>
      <c r="N93" s="4">
        <v>0.0</v>
      </c>
      <c r="O93" s="6" t="b">
        <v>1</v>
      </c>
      <c r="P93" s="6">
        <v>113</v>
      </c>
    </row>
    <row r="94" ht="17" customHeight="1">
      <c r="A94" s="0">
        <v>109</v>
      </c>
      <c r="B94" s="0" t="inlineStr">
        <is>
          <t>P008</t>
        </is>
      </c>
      <c r="C94" s="0" t="inlineStr">
        <is>
          <t>2026-10-02 14:19:05.797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Failed</t>
        </is>
      </c>
      <c r="G94" s="0" t="inlineStr">
        <is>
          <t>Normal</t>
        </is>
      </c>
      <c r="H94" s="4">
        <v>111.104</v>
      </c>
      <c r="I94" s="4">
        <v>110.6545</v>
      </c>
      <c r="J94" s="4">
        <v>-0.4495</v>
      </c>
      <c r="K94" s="4">
        <v>0.4495</v>
      </c>
      <c r="N94" s="4">
        <v>1.0</v>
      </c>
      <c r="O94" s="0" t="b">
        <v>0</v>
      </c>
      <c r="P94" s="0">
        <v>114</v>
      </c>
    </row>
    <row r="95" ht="17" customHeight="1">
      <c r="A95" s="6">
        <v>110</v>
      </c>
      <c r="B95" s="6" t="inlineStr">
        <is>
          <t>P008</t>
        </is>
      </c>
      <c r="C95" s="6" t="inlineStr">
        <is>
          <t>2026-10-02 14:19:08.275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Failed</t>
        </is>
      </c>
      <c r="G95" s="6" t="inlineStr">
        <is>
          <t>Normal</t>
        </is>
      </c>
      <c r="H95" s="4">
        <v>113.024</v>
      </c>
      <c r="I95" s="4">
        <v>113.6477</v>
      </c>
      <c r="J95" s="4">
        <v>0.6237</v>
      </c>
      <c r="K95" s="4">
        <v>0.6237</v>
      </c>
      <c r="N95" s="4">
        <v>0.0</v>
      </c>
      <c r="O95" s="6" t="b">
        <v>1</v>
      </c>
      <c r="P95" s="6">
        <v>115</v>
      </c>
    </row>
    <row r="96" ht="17" customHeight="1">
      <c r="A96" s="0">
        <v>111</v>
      </c>
      <c r="B96" s="0" t="inlineStr">
        <is>
          <t>P008</t>
        </is>
      </c>
      <c r="C96" s="0" t="inlineStr">
        <is>
          <t>2026-10-02 14:19:08.470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Success</t>
        </is>
      </c>
      <c r="G96" s="0" t="inlineStr">
        <is>
          <t>Normal</t>
        </is>
      </c>
      <c r="H96" s="4">
        <v>113.024</v>
      </c>
      <c r="I96" s="4">
        <v>112.5758</v>
      </c>
      <c r="J96" s="4">
        <v>-0.4482</v>
      </c>
      <c r="K96" s="4">
        <v>0.4482</v>
      </c>
      <c r="N96" s="4">
        <v>1.0</v>
      </c>
      <c r="O96" s="0" t="b">
        <v>1</v>
      </c>
      <c r="P96" s="0">
        <v>116</v>
      </c>
    </row>
    <row r="97" ht="17" customHeight="1">
      <c r="A97" s="6">
        <v>112</v>
      </c>
      <c r="B97" s="6" t="inlineStr">
        <is>
          <t>P008</t>
        </is>
      </c>
      <c r="C97" s="6" t="inlineStr">
        <is>
          <t>2026-10-02 14:19:09.390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Success</t>
        </is>
      </c>
      <c r="G97" s="6" t="inlineStr">
        <is>
          <t>Normal</t>
        </is>
      </c>
      <c r="H97" s="4">
        <v>113.792</v>
      </c>
      <c r="I97" s="4">
        <v>114.5109</v>
      </c>
      <c r="J97" s="4">
        <v>0.7189</v>
      </c>
      <c r="K97" s="4">
        <v>0.7189</v>
      </c>
      <c r="N97" s="4">
        <v>1.0</v>
      </c>
      <c r="O97" s="6" t="b">
        <v>1</v>
      </c>
      <c r="P97" s="6">
        <v>117</v>
      </c>
    </row>
    <row r="98" ht="17" customHeight="1">
      <c r="A98" s="0">
        <v>113</v>
      </c>
      <c r="B98" s="0" t="inlineStr">
        <is>
          <t>P008</t>
        </is>
      </c>
      <c r="C98" s="0" t="inlineStr">
        <is>
          <t>2026-10-02 14:19:10.948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Failed</t>
        </is>
      </c>
      <c r="G98" s="0" t="inlineStr">
        <is>
          <t>Easy</t>
        </is>
      </c>
      <c r="H98" s="4">
        <v>116.096</v>
      </c>
      <c r="I98" s="4">
        <v>116.1674</v>
      </c>
      <c r="J98" s="4">
        <v>0.0714</v>
      </c>
      <c r="K98" s="4">
        <v>0.0714</v>
      </c>
      <c r="N98" s="4">
        <v>0.0</v>
      </c>
      <c r="O98" s="0" t="b">
        <v>1</v>
      </c>
      <c r="P98" s="0">
        <v>118</v>
      </c>
    </row>
    <row r="99" ht="17" customHeight="1">
      <c r="A99" s="6">
        <v>115</v>
      </c>
      <c r="B99" s="6" t="inlineStr">
        <is>
          <t>P008</t>
        </is>
      </c>
      <c r="C99" s="6" t="inlineStr">
        <is>
          <t>2026-10-02 14:19:11.993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Failed</t>
        </is>
      </c>
      <c r="G99" s="6" t="inlineStr">
        <is>
          <t>Easy</t>
        </is>
      </c>
      <c r="H99" s="4">
        <v>117.248</v>
      </c>
      <c r="I99" s="4">
        <v>116.7943</v>
      </c>
      <c r="J99" s="4">
        <v>-0.4537</v>
      </c>
      <c r="K99" s="4">
        <v>0.4537</v>
      </c>
      <c r="N99" s="4">
        <v>0.0</v>
      </c>
      <c r="O99" s="6" t="b">
        <v>0</v>
      </c>
      <c r="P99" s="6">
        <v>120</v>
      </c>
    </row>
    <row r="100" ht="17" customHeight="1">
      <c r="A100" s="0">
        <v>116</v>
      </c>
      <c r="B100" s="0" t="inlineStr">
        <is>
          <t>P008</t>
        </is>
      </c>
      <c r="C100" s="0" t="inlineStr">
        <is>
          <t>2026-10-02 14:19:14.137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Success</t>
        </is>
      </c>
      <c r="G100" s="0" t="inlineStr">
        <is>
          <t>Easy</t>
        </is>
      </c>
      <c r="H100" s="4">
        <v>118.4</v>
      </c>
      <c r="I100" s="4">
        <v>119.3562</v>
      </c>
      <c r="J100" s="4">
        <v>0.9562</v>
      </c>
      <c r="K100" s="4">
        <v>0.9562</v>
      </c>
      <c r="N100" s="4">
        <v>1.0</v>
      </c>
      <c r="O100" s="0" t="b">
        <v>1</v>
      </c>
      <c r="P100" s="0">
        <v>121</v>
      </c>
    </row>
    <row r="101" ht="17" customHeight="1">
      <c r="A101" s="6">
        <v>117</v>
      </c>
      <c r="B101" s="6" t="inlineStr">
        <is>
          <t>P008</t>
        </is>
      </c>
      <c r="C101" s="6" t="inlineStr">
        <is>
          <t>2026-10-02 14:19:15.586</t>
        </is>
      </c>
      <c r="D101" s="6" t="inlineStr">
        <is>
          <t>JuanAndres</t>
        </is>
      </c>
      <c r="E101" s="6" t="inlineStr">
        <is>
          <t>GroomStroke</t>
        </is>
      </c>
      <c r="F101" s="6" t="inlineStr">
        <is>
          <t>Failed</t>
        </is>
      </c>
      <c r="G101" s="6" t="inlineStr">
        <is>
          <t>Easy</t>
        </is>
      </c>
      <c r="H101" s="4">
        <v>119.936</v>
      </c>
      <c r="I101" s="4">
        <v>121.0552</v>
      </c>
      <c r="J101" s="4">
        <v>1.1192</v>
      </c>
      <c r="K101" s="4">
        <v>1.1192</v>
      </c>
      <c r="N101" s="4">
        <v>0.0</v>
      </c>
      <c r="O101" s="6" t="b">
        <v>1</v>
      </c>
      <c r="P101" s="6">
        <v>122</v>
      </c>
    </row>
    <row r="102" ht="17" customHeight="1">
      <c r="A102" s="0">
        <v>118</v>
      </c>
      <c r="B102" s="0" t="inlineStr">
        <is>
          <t>P008</t>
        </is>
      </c>
      <c r="C102" s="0" t="inlineStr">
        <is>
          <t>2026-10-02 14:19:16.630</t>
        </is>
      </c>
      <c r="D102" s="0" t="inlineStr">
        <is>
          <t>JuanAndres</t>
        </is>
      </c>
      <c r="E102" s="0" t="inlineStr">
        <is>
          <t>GroomStroke</t>
        </is>
      </c>
      <c r="F102" s="0" t="inlineStr">
        <is>
          <t>Success</t>
        </is>
      </c>
      <c r="G102" s="0" t="inlineStr">
        <is>
          <t>Easy</t>
        </is>
      </c>
      <c r="H102" s="4">
        <v>121.472</v>
      </c>
      <c r="I102" s="4">
        <v>122.0303</v>
      </c>
      <c r="J102" s="4">
        <v>0.5583</v>
      </c>
      <c r="K102" s="4">
        <v>0.5583</v>
      </c>
      <c r="N102" s="4">
        <v>1.0</v>
      </c>
      <c r="O102" s="0" t="b">
        <v>1</v>
      </c>
      <c r="P102" s="0">
        <v>123</v>
      </c>
    </row>
    <row r="103" ht="17" customHeight="1">
      <c r="A103" s="6">
        <v>120</v>
      </c>
      <c r="B103" s="6" t="inlineStr">
        <is>
          <t>P008</t>
        </is>
      </c>
      <c r="C103" s="6" t="inlineStr">
        <is>
          <t>2026-10-02 14:19:18.496</t>
        </is>
      </c>
      <c r="D103" s="6" t="inlineStr">
        <is>
          <t>JuanAndres</t>
        </is>
      </c>
      <c r="E103" s="6" t="inlineStr">
        <is>
          <t>GroomStroke</t>
        </is>
      </c>
      <c r="F103" s="6" t="inlineStr">
        <is>
          <t>Success</t>
        </is>
      </c>
      <c r="G103" s="6" t="inlineStr">
        <is>
          <t>Easy</t>
        </is>
      </c>
      <c r="H103" s="4">
        <v>123.392</v>
      </c>
      <c r="I103" s="4">
        <v>123.91</v>
      </c>
      <c r="J103" s="4">
        <v>0.518</v>
      </c>
      <c r="K103" s="4">
        <v>0.518</v>
      </c>
      <c r="N103" s="4">
        <v>1.0</v>
      </c>
      <c r="O103" s="6" t="b">
        <v>1</v>
      </c>
      <c r="P103" s="6">
        <v>125</v>
      </c>
    </row>
    <row r="104" ht="17" customHeight="1">
      <c r="A104" s="0">
        <v>121</v>
      </c>
      <c r="B104" s="0" t="inlineStr">
        <is>
          <t>P008</t>
        </is>
      </c>
      <c r="C104" s="0" t="inlineStr">
        <is>
          <t>2026-10-02 14:19:20.927</t>
        </is>
      </c>
      <c r="D104" s="0" t="inlineStr">
        <is>
          <t>Danniel</t>
        </is>
      </c>
      <c r="E104" s="0" t="inlineStr">
        <is>
          <t>GunShoot</t>
        </is>
      </c>
      <c r="F104" s="0" t="inlineStr">
        <is>
          <t>Success</t>
        </is>
      </c>
      <c r="G104" s="0" t="inlineStr">
        <is>
          <t>Easy</t>
        </is>
      </c>
      <c r="H104" s="4">
        <v>126.464</v>
      </c>
      <c r="I104" s="4">
        <v>126.3282</v>
      </c>
      <c r="J104" s="4">
        <v>-0.1358</v>
      </c>
      <c r="K104" s="4">
        <v>0.1358</v>
      </c>
      <c r="P104" s="0">
        <v>126</v>
      </c>
    </row>
    <row r="105" ht="17" customHeight="1">
      <c r="A105" s="6">
        <v>123</v>
      </c>
      <c r="B105" s="6" t="inlineStr">
        <is>
          <t>P008</t>
        </is>
      </c>
      <c r="C105" s="6" t="inlineStr">
        <is>
          <t>2026-10-02 14:19:22.210</t>
        </is>
      </c>
      <c r="D105" s="6" t="inlineStr">
        <is>
          <t>Danniel</t>
        </is>
      </c>
      <c r="E105" s="6" t="inlineStr">
        <is>
          <t>GunShoot</t>
        </is>
      </c>
      <c r="F105" s="6" t="inlineStr">
        <is>
          <t>Success</t>
        </is>
      </c>
      <c r="G105" s="6" t="inlineStr">
        <is>
          <t>Easy</t>
        </is>
      </c>
      <c r="H105" s="4">
        <v>127.232</v>
      </c>
      <c r="I105" s="4">
        <v>127.2332</v>
      </c>
      <c r="J105" s="4">
        <v>0.0012</v>
      </c>
      <c r="K105" s="4">
        <v>0.0012</v>
      </c>
      <c r="P105" s="6">
        <v>128</v>
      </c>
    </row>
    <row r="106" ht="17" customHeight="1">
      <c r="A106" s="0">
        <v>124</v>
      </c>
      <c r="B106" s="0" t="inlineStr">
        <is>
          <t>P008</t>
        </is>
      </c>
      <c r="C106" s="0" t="inlineStr">
        <is>
          <t>2026-10-02 14:19:24.646</t>
        </is>
      </c>
      <c r="D106" s="0" t="inlineStr">
        <is>
          <t>Danniel</t>
        </is>
      </c>
      <c r="E106" s="0" t="inlineStr">
        <is>
          <t>GunShoot</t>
        </is>
      </c>
      <c r="F106" s="0" t="inlineStr">
        <is>
          <t>Failed</t>
        </is>
      </c>
      <c r="G106" s="0" t="inlineStr">
        <is>
          <t>Easy</t>
        </is>
      </c>
      <c r="H106" s="4">
        <v>130.1853</v>
      </c>
      <c r="P106" s="0">
        <v>129</v>
      </c>
    </row>
    <row r="107" ht="17" customHeight="1">
      <c r="A107" s="6">
        <v>125</v>
      </c>
      <c r="B107" s="6" t="inlineStr">
        <is>
          <t>P008</t>
        </is>
      </c>
      <c r="C107" s="6" t="inlineStr">
        <is>
          <t>2026-10-02 14:19:27.472</t>
        </is>
      </c>
      <c r="D107" s="6" t="inlineStr">
        <is>
          <t>Danniel</t>
        </is>
      </c>
      <c r="E107" s="6" t="inlineStr">
        <is>
          <t>GunShoot</t>
        </is>
      </c>
      <c r="F107" s="6" t="inlineStr">
        <is>
          <t>Success</t>
        </is>
      </c>
      <c r="G107" s="6" t="inlineStr">
        <is>
          <t>Easy</t>
        </is>
      </c>
      <c r="H107" s="4">
        <v>131.84</v>
      </c>
      <c r="I107" s="4">
        <v>131.8982</v>
      </c>
      <c r="J107" s="4">
        <v>0.0582</v>
      </c>
      <c r="K107" s="4">
        <v>0.0582</v>
      </c>
      <c r="P107" s="6">
        <v>130</v>
      </c>
    </row>
    <row r="108" ht="17" customHeight="1">
      <c r="A108" s="0">
        <v>126</v>
      </c>
      <c r="B108" s="0" t="inlineStr">
        <is>
          <t>P008</t>
        </is>
      </c>
      <c r="C108" s="0" t="inlineStr">
        <is>
          <t>2026-10-02 14:19:27.918</t>
        </is>
      </c>
      <c r="D108" s="0" t="inlineStr">
        <is>
          <t>Danniel</t>
        </is>
      </c>
      <c r="E108" s="0" t="inlineStr">
        <is>
          <t>GunShoot</t>
        </is>
      </c>
      <c r="F108" s="0" t="inlineStr">
        <is>
          <t>Success</t>
        </is>
      </c>
      <c r="G108" s="0" t="inlineStr">
        <is>
          <t>Easy</t>
        </is>
      </c>
      <c r="H108" s="4">
        <v>132.992</v>
      </c>
      <c r="I108" s="4">
        <v>132.9974</v>
      </c>
      <c r="J108" s="4">
        <v>0.0054</v>
      </c>
      <c r="K108" s="4">
        <v>0.0054</v>
      </c>
      <c r="P108" s="0">
        <v>131</v>
      </c>
    </row>
    <row r="109" ht="17" customHeight="1">
      <c r="A109" s="6">
        <v>127</v>
      </c>
      <c r="B109" s="6" t="inlineStr">
        <is>
          <t>P008</t>
        </is>
      </c>
      <c r="C109" s="6" t="inlineStr">
        <is>
          <t>2026-10-02 14:19:28.308</t>
        </is>
      </c>
      <c r="D109" s="6" t="inlineStr">
        <is>
          <t>Danniel</t>
        </is>
      </c>
      <c r="E109" s="6" t="inlineStr">
        <is>
          <t>GunShoot</t>
        </is>
      </c>
      <c r="F109" s="6" t="inlineStr">
        <is>
          <t>Failed</t>
        </is>
      </c>
      <c r="G109" s="6" t="inlineStr">
        <is>
          <t>Easy</t>
        </is>
      </c>
      <c r="H109" s="4">
        <v>133.8473</v>
      </c>
      <c r="P109" s="6">
        <v>132</v>
      </c>
    </row>
    <row r="110" ht="17" customHeight="1">
      <c r="A110" s="0">
        <v>128</v>
      </c>
      <c r="B110" s="0" t="inlineStr">
        <is>
          <t>P008</t>
        </is>
      </c>
      <c r="C110" s="0" t="inlineStr">
        <is>
          <t>2026-10-02 14:19:29.366</t>
        </is>
      </c>
      <c r="D110" s="0" t="inlineStr">
        <is>
          <t>Danniel</t>
        </is>
      </c>
      <c r="E110" s="0" t="inlineStr">
        <is>
          <t>GunShoot</t>
        </is>
      </c>
      <c r="F110" s="0" t="inlineStr">
        <is>
          <t>Success</t>
        </is>
      </c>
      <c r="G110" s="0" t="inlineStr">
        <is>
          <t>Easy</t>
        </is>
      </c>
      <c r="H110" s="4">
        <v>134.144</v>
      </c>
      <c r="I110" s="4">
        <v>134.0846</v>
      </c>
      <c r="J110" s="4">
        <v>-0.0594</v>
      </c>
      <c r="K110" s="4">
        <v>0.0594</v>
      </c>
      <c r="P110" s="0">
        <v>133</v>
      </c>
    </row>
    <row r="111" ht="17" customHeight="1">
      <c r="A111" s="6">
        <v>129</v>
      </c>
      <c r="B111" s="6" t="inlineStr">
        <is>
          <t>P008</t>
        </is>
      </c>
      <c r="C111" s="6" t="inlineStr">
        <is>
          <t>2026-10-02 14:19:32.110</t>
        </is>
      </c>
      <c r="D111" s="6" t="inlineStr">
        <is>
          <t>Danniel</t>
        </is>
      </c>
      <c r="E111" s="6" t="inlineStr">
        <is>
          <t>GunShoot</t>
        </is>
      </c>
      <c r="F111" s="6" t="inlineStr">
        <is>
          <t>Failed</t>
        </is>
      </c>
      <c r="G111" s="6" t="inlineStr">
        <is>
          <t>Easy</t>
        </is>
      </c>
      <c r="H111" s="4">
        <v>137.6488</v>
      </c>
      <c r="P111" s="6">
        <v>134</v>
      </c>
    </row>
    <row r="112" ht="17" customHeight="1">
      <c r="A112" s="0">
        <v>130</v>
      </c>
      <c r="B112" s="0" t="inlineStr">
        <is>
          <t>P008</t>
        </is>
      </c>
      <c r="C112" s="0" t="inlineStr">
        <is>
          <t>2026-10-02 14:19:32.694</t>
        </is>
      </c>
      <c r="D112" s="0" t="inlineStr">
        <is>
          <t>Danniel</t>
        </is>
      </c>
      <c r="E112" s="0" t="inlineStr">
        <is>
          <t>GunShoot</t>
        </is>
      </c>
      <c r="F112" s="0" t="inlineStr">
        <is>
          <t>Success</t>
        </is>
      </c>
      <c r="G112" s="0" t="inlineStr">
        <is>
          <t>Easy</t>
        </is>
      </c>
      <c r="H112" s="4">
        <v>137.216</v>
      </c>
      <c r="I112" s="4">
        <v>137.3562</v>
      </c>
      <c r="J112" s="4">
        <v>0.1402</v>
      </c>
      <c r="K112" s="4">
        <v>0.1402</v>
      </c>
      <c r="P112" s="0">
        <v>135</v>
      </c>
    </row>
    <row r="113" ht="17" customHeight="1">
      <c r="A113" s="6">
        <v>131</v>
      </c>
      <c r="B113" s="6" t="inlineStr">
        <is>
          <t>P008</t>
        </is>
      </c>
      <c r="C113" s="6" t="inlineStr">
        <is>
          <t>2026-10-02 14:19:34.992</t>
        </is>
      </c>
      <c r="D113" s="6" t="inlineStr">
        <is>
          <t>Danniel</t>
        </is>
      </c>
      <c r="E113" s="6" t="inlineStr">
        <is>
          <t>GunShoot</t>
        </is>
      </c>
      <c r="F113" s="6" t="inlineStr">
        <is>
          <t>Failed</t>
        </is>
      </c>
      <c r="G113" s="6" t="inlineStr">
        <is>
          <t>Easy</t>
        </is>
      </c>
      <c r="H113" s="4">
        <v>140.5314</v>
      </c>
      <c r="P113" s="6">
        <v>136</v>
      </c>
    </row>
    <row r="114" ht="17" customHeight="1">
      <c r="A114" s="0">
        <v>132</v>
      </c>
      <c r="B114" s="0" t="inlineStr">
        <is>
          <t>P008</t>
        </is>
      </c>
      <c r="C114" s="0" t="inlineStr">
        <is>
          <t>2026-10-02 14:19:36.884</t>
        </is>
      </c>
      <c r="D114" s="0" t="inlineStr">
        <is>
          <t>Danniel</t>
        </is>
      </c>
      <c r="E114" s="0" t="inlineStr">
        <is>
          <t>GunShoot</t>
        </is>
      </c>
      <c r="F114" s="0" t="inlineStr">
        <is>
          <t>Success</t>
        </is>
      </c>
      <c r="G114" s="0" t="inlineStr">
        <is>
          <t>Easy</t>
        </is>
      </c>
      <c r="H114" s="4">
        <v>141.44</v>
      </c>
      <c r="I114" s="4">
        <v>141.6173</v>
      </c>
      <c r="J114" s="4">
        <v>0.1773</v>
      </c>
      <c r="K114" s="4">
        <v>0.1773</v>
      </c>
      <c r="P114" s="0">
        <v>137</v>
      </c>
    </row>
    <row r="115" ht="17" customHeight="1">
      <c r="A115" s="6">
        <v>133</v>
      </c>
      <c r="B115" s="6" t="inlineStr">
        <is>
          <t>P008</t>
        </is>
      </c>
      <c r="C115" s="6" t="inlineStr">
        <is>
          <t>2026-10-02 14:19:38.974</t>
        </is>
      </c>
      <c r="D115" s="6" t="inlineStr">
        <is>
          <t>Danniel</t>
        </is>
      </c>
      <c r="E115" s="6" t="inlineStr">
        <is>
          <t>GunShoot</t>
        </is>
      </c>
      <c r="F115" s="6" t="inlineStr">
        <is>
          <t>Success</t>
        </is>
      </c>
      <c r="G115" s="6" t="inlineStr">
        <is>
          <t>Easy</t>
        </is>
      </c>
      <c r="H115" s="4">
        <v>143.36</v>
      </c>
      <c r="I115" s="4">
        <v>143.5246</v>
      </c>
      <c r="J115" s="4">
        <v>0.1646</v>
      </c>
      <c r="K115" s="4">
        <v>0.1646</v>
      </c>
      <c r="P115" s="6">
        <v>138</v>
      </c>
    </row>
    <row r="116" ht="17" customHeight="1">
      <c r="A116" s="0">
        <v>134</v>
      </c>
      <c r="B116" s="0" t="inlineStr">
        <is>
          <t>P008</t>
        </is>
      </c>
      <c r="C116" s="0" t="inlineStr">
        <is>
          <t>2026-10-02 14:19:41.910</t>
        </is>
      </c>
      <c r="D116" s="0" t="inlineStr">
        <is>
          <t>Danniel</t>
        </is>
      </c>
      <c r="E116" s="0" t="inlineStr">
        <is>
          <t>GunShoot</t>
        </is>
      </c>
      <c r="F116" s="0" t="inlineStr">
        <is>
          <t>Failed</t>
        </is>
      </c>
      <c r="G116" s="0" t="inlineStr">
        <is>
          <t>Easy</t>
        </is>
      </c>
      <c r="H116" s="4">
        <v>147.4501</v>
      </c>
      <c r="P116" s="0">
        <v>139</v>
      </c>
    </row>
    <row r="117" ht="17" customHeight="1">
      <c r="A117" s="6">
        <v>135</v>
      </c>
      <c r="B117" s="6" t="inlineStr">
        <is>
          <t>P008</t>
        </is>
      </c>
      <c r="C117" s="6" t="inlineStr">
        <is>
          <t>2026-10-02 14:19:43.610</t>
        </is>
      </c>
      <c r="D117" s="6" t="inlineStr">
        <is>
          <t>Danniel</t>
        </is>
      </c>
      <c r="E117" s="6" t="inlineStr">
        <is>
          <t>GunShoot</t>
        </is>
      </c>
      <c r="F117" s="6" t="inlineStr">
        <is>
          <t>Failed</t>
        </is>
      </c>
      <c r="G117" s="6" t="inlineStr">
        <is>
          <t>Easy</t>
        </is>
      </c>
      <c r="H117" s="4">
        <v>149.1495</v>
      </c>
      <c r="P117" s="6">
        <v>140</v>
      </c>
    </row>
    <row r="118" ht="17" customHeight="1">
      <c r="A118" s="0">
        <v>136</v>
      </c>
      <c r="B118" s="0" t="inlineStr">
        <is>
          <t>P008</t>
        </is>
      </c>
      <c r="C118" s="0" t="inlineStr">
        <is>
          <t>2026-10-02 14:19:44.892</t>
        </is>
      </c>
      <c r="D118" s="0" t="inlineStr">
        <is>
          <t>Danniel</t>
        </is>
      </c>
      <c r="E118" s="0" t="inlineStr">
        <is>
          <t>GunShoot</t>
        </is>
      </c>
      <c r="F118" s="0" t="inlineStr">
        <is>
          <t>Failed</t>
        </is>
      </c>
      <c r="G118" s="0" t="inlineStr">
        <is>
          <t>Easy</t>
        </is>
      </c>
      <c r="H118" s="4">
        <v>150.4305</v>
      </c>
      <c r="P118" s="0">
        <v>141</v>
      </c>
    </row>
    <row r="119" ht="17" customHeight="1">
      <c r="A119" s="6">
        <v>138</v>
      </c>
      <c r="B119" s="6" t="inlineStr">
        <is>
          <t>P008</t>
        </is>
      </c>
      <c r="C119" s="6" t="inlineStr">
        <is>
          <t>2026-10-02 14:19:46.575</t>
        </is>
      </c>
      <c r="D119" s="6" t="inlineStr">
        <is>
          <t>Danniel</t>
        </is>
      </c>
      <c r="E119" s="6" t="inlineStr">
        <is>
          <t>GunShoot</t>
        </is>
      </c>
      <c r="F119" s="6" t="inlineStr">
        <is>
          <t>Success</t>
        </is>
      </c>
      <c r="G119" s="6" t="inlineStr">
        <is>
          <t>Easy</t>
        </is>
      </c>
      <c r="H119" s="4">
        <v>151.04</v>
      </c>
      <c r="I119" s="4">
        <v>151.1965</v>
      </c>
      <c r="J119" s="4">
        <v>0.1565</v>
      </c>
      <c r="K119" s="4">
        <v>0.1565</v>
      </c>
      <c r="P119" s="6">
        <v>143</v>
      </c>
    </row>
    <row r="120" ht="17" customHeight="1">
      <c r="A120" s="0">
        <v>139</v>
      </c>
      <c r="B120" s="0" t="inlineStr">
        <is>
          <t>P008</t>
        </is>
      </c>
      <c r="C120" s="0" t="inlineStr">
        <is>
          <t>2026-10-02 14:19:46.966</t>
        </is>
      </c>
      <c r="D120" s="0" t="inlineStr">
        <is>
          <t>Danniel</t>
        </is>
      </c>
      <c r="E120" s="0" t="inlineStr">
        <is>
          <t>GunShoot</t>
        </is>
      </c>
      <c r="F120" s="0" t="inlineStr">
        <is>
          <t>Failed</t>
        </is>
      </c>
      <c r="G120" s="0" t="inlineStr">
        <is>
          <t>Easy</t>
        </is>
      </c>
      <c r="H120" s="4">
        <v>152.505</v>
      </c>
      <c r="P120" s="0">
        <v>144</v>
      </c>
    </row>
    <row r="121" ht="17" customHeight="1">
      <c r="A121" s="6">
        <v>140</v>
      </c>
      <c r="B121" s="6" t="inlineStr">
        <is>
          <t>P008</t>
        </is>
      </c>
      <c r="C121" s="6" t="inlineStr">
        <is>
          <t>2026-10-02 14:19:50.250</t>
        </is>
      </c>
      <c r="D121" s="6" t="inlineStr">
        <is>
          <t>Danniel</t>
        </is>
      </c>
      <c r="E121" s="6" t="inlineStr">
        <is>
          <t>GunShoot</t>
        </is>
      </c>
      <c r="F121" s="6" t="inlineStr">
        <is>
          <t>Failed</t>
        </is>
      </c>
      <c r="G121" s="6" t="inlineStr">
        <is>
          <t>Easy</t>
        </is>
      </c>
      <c r="H121" s="4">
        <v>155.7894</v>
      </c>
      <c r="P121" s="6">
        <v>145</v>
      </c>
    </row>
    <row r="122" ht="17" customHeight="1">
      <c r="A122" s="0">
        <v>142</v>
      </c>
      <c r="B122" s="0" t="inlineStr">
        <is>
          <t>P008</t>
        </is>
      </c>
      <c r="C122" s="0" t="inlineStr">
        <is>
          <t>2026-10-02 14:20:00.053</t>
        </is>
      </c>
      <c r="D122" s="0" t="inlineStr">
        <is>
          <t>Jeremy</t>
        </is>
      </c>
      <c r="E122" s="0" t="inlineStr">
        <is>
          <t>SwordCut</t>
        </is>
      </c>
      <c r="F122" s="0" t="inlineStr">
        <is>
          <t>Failed</t>
        </is>
      </c>
      <c r="G122" s="0" t="inlineStr">
        <is>
          <t>Easy</t>
        </is>
      </c>
      <c r="H122" s="4">
        <v>165.4073</v>
      </c>
      <c r="I122" s="4">
        <v>165.5933</v>
      </c>
      <c r="J122" s="4">
        <v>0.1859</v>
      </c>
      <c r="K122" s="4">
        <v>0.1859</v>
      </c>
      <c r="N122" s="4">
        <v>0.0</v>
      </c>
      <c r="O122" s="0" t="b">
        <v>1</v>
      </c>
      <c r="P122" s="0">
        <v>147</v>
      </c>
    </row>
    <row r="123" ht="17" customHeight="1">
      <c r="A123" s="6">
        <v>144</v>
      </c>
      <c r="B123" s="6" t="inlineStr">
        <is>
          <t>P008</t>
        </is>
      </c>
      <c r="C123" s="6" t="inlineStr">
        <is>
          <t>2026-10-02 14:20:02.016</t>
        </is>
      </c>
      <c r="D123" s="6" t="inlineStr">
        <is>
          <t>Jeremy</t>
        </is>
      </c>
      <c r="E123" s="6" t="inlineStr">
        <is>
          <t>SwordCut</t>
        </is>
      </c>
      <c r="F123" s="6" t="inlineStr">
        <is>
          <t>Success</t>
        </is>
      </c>
      <c r="G123" s="6" t="inlineStr">
        <is>
          <t>Easy</t>
        </is>
      </c>
      <c r="H123" s="4">
        <v>167.7061</v>
      </c>
      <c r="I123" s="4">
        <v>167.5563</v>
      </c>
      <c r="J123" s="4">
        <v>-0.1499</v>
      </c>
      <c r="K123" s="4">
        <v>0.1499</v>
      </c>
      <c r="N123" s="4">
        <v>1.0</v>
      </c>
      <c r="O123" s="6" t="b">
        <v>1</v>
      </c>
      <c r="P123" s="6">
        <v>149</v>
      </c>
    </row>
    <row r="124" ht="17" customHeight="1">
      <c r="A124" s="0">
        <v>145</v>
      </c>
      <c r="B124" s="0" t="inlineStr">
        <is>
          <t>P008</t>
        </is>
      </c>
      <c r="C124" s="0" t="inlineStr">
        <is>
          <t>2026-10-02 14:20:05.093</t>
        </is>
      </c>
      <c r="D124" s="0" t="inlineStr">
        <is>
          <t>Jeremy</t>
        </is>
      </c>
      <c r="E124" s="0" t="inlineStr">
        <is>
          <t>SwordCut</t>
        </is>
      </c>
      <c r="F124" s="0" t="inlineStr">
        <is>
          <t>Missed</t>
        </is>
      </c>
      <c r="G124" s="0" t="inlineStr">
        <is>
          <t>Easy</t>
        </is>
      </c>
      <c r="H124" s="4">
        <v>170.0049</v>
      </c>
      <c r="P124" s="0">
        <v>150</v>
      </c>
    </row>
    <row r="125" ht="17" customHeight="1">
      <c r="A125" s="6">
        <v>146</v>
      </c>
      <c r="B125" s="6" t="inlineStr">
        <is>
          <t>P008</t>
        </is>
      </c>
      <c r="C125" s="6" t="inlineStr">
        <is>
          <t>2026-10-02 14:20:06.945</t>
        </is>
      </c>
      <c r="D125" s="6" t="inlineStr">
        <is>
          <t>Jeremy</t>
        </is>
      </c>
      <c r="E125" s="6" t="inlineStr">
        <is>
          <t>SwordCut</t>
        </is>
      </c>
      <c r="F125" s="6" t="inlineStr">
        <is>
          <t>Failed</t>
        </is>
      </c>
      <c r="G125" s="6" t="inlineStr">
        <is>
          <t>Easy</t>
        </is>
      </c>
      <c r="H125" s="4">
        <v>172.3037</v>
      </c>
      <c r="I125" s="4">
        <v>172.4844</v>
      </c>
      <c r="J125" s="4">
        <v>0.1808</v>
      </c>
      <c r="K125" s="4">
        <v>0.1808</v>
      </c>
      <c r="N125" s="4">
        <v>0.0</v>
      </c>
      <c r="O125" s="6" t="b">
        <v>1</v>
      </c>
      <c r="P125" s="6">
        <v>151</v>
      </c>
    </row>
    <row r="126" ht="17" customHeight="1">
      <c r="A126" s="0">
        <v>147</v>
      </c>
      <c r="B126" s="0" t="inlineStr">
        <is>
          <t>P008</t>
        </is>
      </c>
      <c r="C126" s="0" t="inlineStr">
        <is>
          <t>2026-10-02 14:20:08.992</t>
        </is>
      </c>
      <c r="D126" s="0" t="inlineStr">
        <is>
          <t>Jeremy</t>
        </is>
      </c>
      <c r="E126" s="0" t="inlineStr">
        <is>
          <t>SwordCut</t>
        </is>
      </c>
      <c r="F126" s="0" t="inlineStr">
        <is>
          <t>Failed</t>
        </is>
      </c>
      <c r="G126" s="0" t="inlineStr">
        <is>
          <t>Easy</t>
        </is>
      </c>
      <c r="H126" s="4">
        <v>174.6024</v>
      </c>
      <c r="I126" s="4">
        <v>174.531</v>
      </c>
      <c r="J126" s="4">
        <v>-0.0715</v>
      </c>
      <c r="K126" s="4">
        <v>0.0715</v>
      </c>
      <c r="N126" s="4">
        <v>0.0</v>
      </c>
      <c r="O126" s="0" t="b">
        <v>1</v>
      </c>
      <c r="P126" s="0">
        <v>152</v>
      </c>
    </row>
    <row r="127" ht="17" customHeight="1">
      <c r="A127" s="6">
        <v>149</v>
      </c>
      <c r="B127" s="6" t="inlineStr">
        <is>
          <t>P008</t>
        </is>
      </c>
      <c r="C127" s="6" t="inlineStr">
        <is>
          <t>2026-10-02 14:20:11.177</t>
        </is>
      </c>
      <c r="D127" s="6" t="inlineStr">
        <is>
          <t>Jeremy</t>
        </is>
      </c>
      <c r="E127" s="6" t="inlineStr">
        <is>
          <t>SwordCut</t>
        </is>
      </c>
      <c r="F127" s="6" t="inlineStr">
        <is>
          <t>Success</t>
        </is>
      </c>
      <c r="G127" s="6" t="inlineStr">
        <is>
          <t>Easy</t>
        </is>
      </c>
      <c r="H127" s="4">
        <v>176.9012</v>
      </c>
      <c r="I127" s="4">
        <v>176.7164</v>
      </c>
      <c r="J127" s="4">
        <v>-0.1848</v>
      </c>
      <c r="K127" s="4">
        <v>0.1848</v>
      </c>
      <c r="N127" s="4">
        <v>1.0</v>
      </c>
      <c r="O127" s="6" t="b">
        <v>1</v>
      </c>
      <c r="P127" s="6">
        <v>154</v>
      </c>
    </row>
    <row r="128" ht="17" customHeight="1">
      <c r="A128" s="0">
        <v>150</v>
      </c>
      <c r="B128" s="0" t="inlineStr">
        <is>
          <t>P008</t>
        </is>
      </c>
      <c r="C128" s="0" t="inlineStr">
        <is>
          <t>2026-10-02 14:20:13.668</t>
        </is>
      </c>
      <c r="D128" s="0" t="inlineStr">
        <is>
          <t>Jeremy</t>
        </is>
      </c>
      <c r="E128" s="0" t="inlineStr">
        <is>
          <t>SwordCut</t>
        </is>
      </c>
      <c r="F128" s="0" t="inlineStr">
        <is>
          <t>Failed</t>
        </is>
      </c>
      <c r="G128" s="0" t="inlineStr">
        <is>
          <t>Easy</t>
        </is>
      </c>
      <c r="H128" s="4">
        <v>179.2</v>
      </c>
      <c r="I128" s="4">
        <v>179.2082</v>
      </c>
      <c r="J128" s="4">
        <v>0.0082</v>
      </c>
      <c r="K128" s="4">
        <v>0.0082</v>
      </c>
      <c r="N128" s="4">
        <v>0.0</v>
      </c>
      <c r="O128" s="0" t="b">
        <v>1</v>
      </c>
      <c r="P128" s="0">
        <v>155</v>
      </c>
    </row>
    <row r="129" ht="17" customHeight="1">
      <c r="A129" s="6">
        <v>151</v>
      </c>
      <c r="B129" s="6" t="inlineStr">
        <is>
          <t>P008</t>
        </is>
      </c>
      <c r="C129" s="6" t="inlineStr">
        <is>
          <t>2026-10-02 14:20:15.757</t>
        </is>
      </c>
      <c r="D129" s="6" t="inlineStr">
        <is>
          <t>Jeremy</t>
        </is>
      </c>
      <c r="E129" s="6" t="inlineStr">
        <is>
          <t>SwordCut</t>
        </is>
      </c>
      <c r="F129" s="6" t="inlineStr">
        <is>
          <t>Success</t>
        </is>
      </c>
      <c r="G129" s="6" t="inlineStr">
        <is>
          <t>Easy</t>
        </is>
      </c>
      <c r="H129" s="4">
        <v>181.4988</v>
      </c>
      <c r="I129" s="4">
        <v>181.297</v>
      </c>
      <c r="J129" s="4">
        <v>-0.2017</v>
      </c>
      <c r="K129" s="4">
        <v>0.2017</v>
      </c>
      <c r="N129" s="4">
        <v>1.0</v>
      </c>
      <c r="O129" s="6" t="b">
        <v>1</v>
      </c>
      <c r="P129" s="6">
        <v>156</v>
      </c>
    </row>
  </sheetData>
  <autoFilter ref="A1:P129"/>
  <pageMargins left="0.4" right="0.4" top="0.7" bottom="0.7" header="0.3" footer="0.3"/>
</worksheet>
</file>

<file path=xl/worksheets/sheet5.xml><?xml version="1.0" encoding="utf-8"?>
<worksheet xmlns="http://schemas.openxmlformats.org/spreadsheetml/2006/main">
  <dimension ref="A1:I4"/>
  <sheetViews>
    <sheetView workbookViewId="0">
      <pane ySplit="1" topLeftCell="A2" activePane="bottomLeft" state="frozen"/>
    </sheetView>
  </sheetViews>
  <sheetFormatPr defaultRowHeight="17"/>
  <cols>
    <col min="1" max="1" width="12" customWidth="1"/>
    <col min="2" max="2" width="27" customWidth="1"/>
    <col min="3" max="3" width="20" customWidth="1"/>
    <col min="4" max="4" width="21" customWidth="1"/>
    <col min="5" max="5" width="19" customWidth="1"/>
    <col min="6" max="6" width="31" customWidth="1"/>
    <col min="7" max="7" width="21" customWidth="1"/>
    <col min="8" max="8" width="18" customWidth="1"/>
    <col min="9" max="9" width="16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Minijuego</t>
        </is>
      </c>
      <c r="D1" s="1" t="inlineStr">
        <is>
          <t>DificultadAnterior</t>
        </is>
      </c>
      <c r="E1" s="1" t="inlineStr">
        <is>
          <t>DificultadNueva</t>
        </is>
      </c>
      <c r="F1" s="1" t="inlineStr">
        <is>
          <t>Motivo</t>
        </is>
      </c>
      <c r="G1" s="1" t="inlineStr">
        <is>
          <t>TasaExitoReciente</t>
        </is>
      </c>
      <c r="H1" s="1" t="inlineStr">
        <is>
          <t>TasaExito</t>
        </is>
      </c>
      <c r="I1" s="1" t="inlineStr">
        <is>
          <t>LineaOrigen</t>
        </is>
      </c>
    </row>
    <row r="2" ht="17" customHeight="1">
      <c r="A2" s="0">
        <v>15</v>
      </c>
      <c r="B2" s="0" t="inlineStr">
        <is>
          <t>2026-10-02 14:17:19.180</t>
        </is>
      </c>
      <c r="C2" s="0" t="inlineStr">
        <is>
          <t>Alex</t>
        </is>
      </c>
      <c r="D2" s="0" t="inlineStr">
        <is>
          <t>Normal</t>
        </is>
      </c>
      <c r="E2" s="0" t="inlineStr">
        <is>
          <t>Easy</t>
        </is>
      </c>
      <c r="F2" s="0" t="inlineStr">
        <is>
          <t>PlayerState: Overloaded</t>
        </is>
      </c>
      <c r="G2" s="3">
        <v>0.5</v>
      </c>
      <c r="I2" s="0">
        <v>20</v>
      </c>
    </row>
    <row r="3" ht="17" customHeight="1">
      <c r="A3" s="6">
        <v>63</v>
      </c>
      <c r="B3" s="6" t="inlineStr">
        <is>
          <t>2026-10-02 14:18:06.766</t>
        </is>
      </c>
      <c r="C3" s="6" t="inlineStr">
        <is>
          <t>Joaquin</t>
        </is>
      </c>
      <c r="D3" s="6" t="inlineStr">
        <is>
          <t>Easy</t>
        </is>
      </c>
      <c r="E3" s="6" t="inlineStr">
        <is>
          <t>Normal</t>
        </is>
      </c>
      <c r="F3" s="6" t="inlineStr">
        <is>
          <t>High recent performance</t>
        </is>
      </c>
      <c r="H3" s="3">
        <v>0.88</v>
      </c>
      <c r="I3" s="6">
        <v>68</v>
      </c>
    </row>
    <row r="4" ht="17" customHeight="1">
      <c r="A4" s="0">
        <v>101</v>
      </c>
      <c r="B4" s="0" t="inlineStr">
        <is>
          <t>2026-10-02 14:18:58.979</t>
        </is>
      </c>
      <c r="C4" s="0" t="inlineStr">
        <is>
          <t>JuanAndres</t>
        </is>
      </c>
      <c r="D4" s="0" t="inlineStr">
        <is>
          <t>Normal</t>
        </is>
      </c>
      <c r="E4" s="0" t="inlineStr">
        <is>
          <t>Easy</t>
        </is>
      </c>
      <c r="F4" s="0" t="inlineStr">
        <is>
          <t>PlayerState: Overloaded</t>
        </is>
      </c>
      <c r="G4" s="3">
        <v>0.57</v>
      </c>
      <c r="I4" s="0">
        <v>106</v>
      </c>
    </row>
  </sheetData>
  <autoFilter ref="A1:I4"/>
  <pageMargins left="0.4" right="0.4" top="0.7" bottom="0.7" header="0.3" footer="0.3"/>
</worksheet>
</file>

<file path=xl/worksheets/sheet6.xml><?xml version="1.0" encoding="utf-8"?>
<worksheet xmlns="http://schemas.openxmlformats.org/spreadsheetml/2006/main">
  <dimension ref="A1:D22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7" customWidth="1"/>
    <col min="3" max="3" width="23" customWidth="1"/>
    <col min="4" max="4" width="17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EstadoJugador</t>
        </is>
      </c>
      <c r="D1" s="1" t="inlineStr">
        <is>
          <t>LineaOrigen</t>
        </is>
      </c>
    </row>
    <row r="2" ht="17" customHeight="1">
      <c r="A2" s="0">
        <v>1</v>
      </c>
      <c r="B2" s="0" t="inlineStr">
        <is>
          <t>2026-10-02 14:17:14.461</t>
        </is>
      </c>
      <c r="C2" s="0" t="inlineStr">
        <is>
          <t>Idle</t>
        </is>
      </c>
      <c r="D2" s="0">
        <v>6</v>
      </c>
    </row>
    <row r="3" ht="17" customHeight="1">
      <c r="A3" s="6">
        <v>3</v>
      </c>
      <c r="B3" s="6" t="inlineStr">
        <is>
          <t>2026-10-02 14:17:15.380</t>
        </is>
      </c>
      <c r="C3" s="6" t="inlineStr">
        <is>
          <t>Engaged</t>
        </is>
      </c>
      <c r="D3" s="6">
        <v>8</v>
      </c>
    </row>
    <row r="4" ht="17" customHeight="1">
      <c r="A4" s="0">
        <v>14</v>
      </c>
      <c r="B4" s="0" t="inlineStr">
        <is>
          <t>2026-10-02 14:17:19.180</t>
        </is>
      </c>
      <c r="C4" s="0" t="inlineStr">
        <is>
          <t>Overloaded</t>
        </is>
      </c>
      <c r="D4" s="0">
        <v>19</v>
      </c>
    </row>
    <row r="5" ht="17" customHeight="1">
      <c r="A5" s="6">
        <v>16</v>
      </c>
      <c r="B5" s="6" t="inlineStr">
        <is>
          <t>2026-10-02 14:17:19.193</t>
        </is>
      </c>
      <c r="C5" s="6" t="inlineStr">
        <is>
          <t>Engaged</t>
        </is>
      </c>
      <c r="D5" s="6">
        <v>21</v>
      </c>
    </row>
    <row r="6" ht="17" customHeight="1">
      <c r="A6" s="0">
        <v>22</v>
      </c>
      <c r="B6" s="0" t="inlineStr">
        <is>
          <t>2026-10-02 14:17:22.995</t>
        </is>
      </c>
      <c r="C6" s="0" t="inlineStr">
        <is>
          <t>Overloaded</t>
        </is>
      </c>
      <c r="D6" s="0">
        <v>27</v>
      </c>
    </row>
    <row r="7" ht="17" customHeight="1">
      <c r="A7" s="6">
        <v>39</v>
      </c>
      <c r="B7" s="6" t="inlineStr">
        <is>
          <t>2026-10-02 14:17:35.290</t>
        </is>
      </c>
      <c r="C7" s="6" t="inlineStr">
        <is>
          <t>Engaged</t>
        </is>
      </c>
      <c r="D7" s="6">
        <v>44</v>
      </c>
    </row>
    <row r="8" ht="17" customHeight="1">
      <c r="A8" s="0">
        <v>43</v>
      </c>
      <c r="B8" s="0" t="inlineStr">
        <is>
          <t>2026-10-02 14:17:36.834</t>
        </is>
      </c>
      <c r="C8" s="0" t="inlineStr">
        <is>
          <t>Overloaded</t>
        </is>
      </c>
      <c r="D8" s="0">
        <v>48</v>
      </c>
    </row>
    <row r="9" ht="17" customHeight="1">
      <c r="A9" s="6">
        <v>53</v>
      </c>
      <c r="B9" s="6" t="inlineStr">
        <is>
          <t>2026-10-02 14:17:44.492</t>
        </is>
      </c>
      <c r="C9" s="6" t="inlineStr">
        <is>
          <t>Engaged</t>
        </is>
      </c>
      <c r="D9" s="6">
        <v>58</v>
      </c>
    </row>
    <row r="10" ht="17" customHeight="1">
      <c r="A10" s="0">
        <v>71</v>
      </c>
      <c r="B10" s="0" t="inlineStr">
        <is>
          <t>2026-10-02 14:18:19.116</t>
        </is>
      </c>
      <c r="C10" s="0" t="inlineStr">
        <is>
          <t>Idle</t>
        </is>
      </c>
      <c r="D10" s="0">
        <v>76</v>
      </c>
    </row>
    <row r="11" ht="17" customHeight="1">
      <c r="A11" s="6">
        <v>73</v>
      </c>
      <c r="B11" s="6" t="inlineStr">
        <is>
          <t>2026-10-02 14:18:20.856</t>
        </is>
      </c>
      <c r="C11" s="6" t="inlineStr">
        <is>
          <t>Engaged</t>
        </is>
      </c>
      <c r="D11" s="6">
        <v>78</v>
      </c>
    </row>
    <row r="12" ht="17" customHeight="1">
      <c r="A12" s="0">
        <v>100</v>
      </c>
      <c r="B12" s="0" t="inlineStr">
        <is>
          <t>2026-10-02 14:18:58.976</t>
        </is>
      </c>
      <c r="C12" s="0" t="inlineStr">
        <is>
          <t>Overloaded</t>
        </is>
      </c>
      <c r="D12" s="0">
        <v>105</v>
      </c>
    </row>
    <row r="13" ht="17" customHeight="1">
      <c r="A13" s="6">
        <v>102</v>
      </c>
      <c r="B13" s="6" t="inlineStr">
        <is>
          <t>2026-10-02 14:18:58.980</t>
        </is>
      </c>
      <c r="C13" s="6" t="inlineStr">
        <is>
          <t>Engaged</t>
        </is>
      </c>
      <c r="D13" s="6">
        <v>107</v>
      </c>
    </row>
    <row r="14" ht="17" customHeight="1">
      <c r="A14" s="0">
        <v>107</v>
      </c>
      <c r="B14" s="0" t="inlineStr">
        <is>
          <t>2026-10-02 14:19:03.974</t>
        </is>
      </c>
      <c r="C14" s="0" t="inlineStr">
        <is>
          <t>Idle</t>
        </is>
      </c>
      <c r="D14" s="0">
        <v>112</v>
      </c>
    </row>
    <row r="15" ht="17" customHeight="1">
      <c r="A15" s="6">
        <v>114</v>
      </c>
      <c r="B15" s="6" t="inlineStr">
        <is>
          <t>2026-10-02 14:19:10.949</t>
        </is>
      </c>
      <c r="C15" s="6" t="inlineStr">
        <is>
          <t>Engaged</t>
        </is>
      </c>
      <c r="D15" s="6">
        <v>119</v>
      </c>
    </row>
    <row r="16" ht="17" customHeight="1">
      <c r="A16" s="0">
        <v>119</v>
      </c>
      <c r="B16" s="0" t="inlineStr">
        <is>
          <t>2026-10-02 14:19:16.631</t>
        </is>
      </c>
      <c r="C16" s="0" t="inlineStr">
        <is>
          <t>Overloaded</t>
        </is>
      </c>
      <c r="D16" s="0">
        <v>124</v>
      </c>
    </row>
    <row r="17" ht="17" customHeight="1">
      <c r="A17" s="6">
        <v>122</v>
      </c>
      <c r="B17" s="6" t="inlineStr">
        <is>
          <t>2026-10-02 14:19:20.928</t>
        </is>
      </c>
      <c r="C17" s="6" t="inlineStr">
        <is>
          <t>Engaged</t>
        </is>
      </c>
      <c r="D17" s="6">
        <v>127</v>
      </c>
    </row>
    <row r="18" ht="17" customHeight="1">
      <c r="A18" s="0">
        <v>137</v>
      </c>
      <c r="B18" s="0" t="inlineStr">
        <is>
          <t>2026-10-02 14:19:44.892</t>
        </is>
      </c>
      <c r="C18" s="0" t="inlineStr">
        <is>
          <t>Overloaded</t>
        </is>
      </c>
      <c r="D18" s="0">
        <v>142</v>
      </c>
    </row>
    <row r="19" ht="17" customHeight="1">
      <c r="A19" s="6">
        <v>141</v>
      </c>
      <c r="B19" s="6" t="inlineStr">
        <is>
          <t>2026-10-02 14:19:55.250</t>
        </is>
      </c>
      <c r="C19" s="6" t="inlineStr">
        <is>
          <t>Idle</t>
        </is>
      </c>
      <c r="D19" s="6">
        <v>146</v>
      </c>
    </row>
    <row r="20" ht="17" customHeight="1">
      <c r="A20" s="0">
        <v>143</v>
      </c>
      <c r="B20" s="0" t="inlineStr">
        <is>
          <t>2026-10-02 14:20:00.054</t>
        </is>
      </c>
      <c r="C20" s="0" t="inlineStr">
        <is>
          <t>Engaged</t>
        </is>
      </c>
      <c r="D20" s="0">
        <v>148</v>
      </c>
    </row>
    <row r="21" ht="17" customHeight="1">
      <c r="A21" s="6">
        <v>148</v>
      </c>
      <c r="B21" s="6" t="inlineStr">
        <is>
          <t>2026-10-02 14:20:08.992</t>
        </is>
      </c>
      <c r="C21" s="6" t="inlineStr">
        <is>
          <t>Overloaded</t>
        </is>
      </c>
      <c r="D21" s="6">
        <v>153</v>
      </c>
    </row>
    <row r="22" ht="17" customHeight="1">
      <c r="A22" s="0">
        <v>152</v>
      </c>
      <c r="B22" s="0" t="inlineStr">
        <is>
          <t>2026-10-02 14:20:20.754</t>
        </is>
      </c>
      <c r="C22" s="0" t="inlineStr">
        <is>
          <t>Idle</t>
        </is>
      </c>
      <c r="D22" s="0">
        <v>157</v>
      </c>
    </row>
  </sheetData>
  <autoFilter ref="A1:D22"/>
  <pageMargins left="0.4" right="0.4" top="0.7" bottom="0.7" header="0.3" footer="0.3"/>
</worksheet>
</file>

<file path=xl/worksheets/sheet7.xml><?xml version="1.0" encoding="utf-8"?>
<worksheet xmlns="http://schemas.openxmlformats.org/spreadsheetml/2006/main">
  <dimension ref="A1:N153"/>
  <sheetViews>
    <sheetView workbookViewId="0">
      <pane ySplit="1" topLeftCell="A2" activePane="bottomLeft" state="frozen"/>
    </sheetView>
  </sheetViews>
  <sheetFormatPr defaultRowHeight="17"/>
  <cols>
    <col min="1" max="1" width="13" customWidth="1"/>
    <col min="2" max="2" width="26" customWidth="1"/>
    <col min="3" max="3" width="20" customWidth="1"/>
    <col min="4" max="4" width="20" customWidth="1"/>
    <col min="5" max="5" width="21" customWidth="1"/>
    <col min="6" max="6" width="16" customWidth="1"/>
    <col min="7" max="7" width="17" customWidth="1"/>
    <col min="8" max="8" width="18" customWidth="1"/>
    <col min="9" max="9" width="23" customWidth="1"/>
    <col min="10" max="10" width="30" customWidth="1"/>
    <col min="11" max="11" width="20" customWidth="1"/>
    <col min="12" max="12" width="20" customWidth="1"/>
    <col min="13" max="13" width="17" customWidth="1"/>
    <col min="14" max="14" width="90" customWidth="1"/>
  </cols>
  <sheetData>
    <row r="1" ht="22" customHeight="1">
      <c r="A1" s="1" t="inlineStr">
        <is>
          <t>IdEvento</t>
        </is>
      </c>
      <c r="B1" s="1" t="inlineStr">
        <is>
          <t>FechaHora</t>
        </is>
      </c>
      <c r="C1" s="1" t="inlineStr">
        <is>
          <t>Categoria</t>
        </is>
      </c>
      <c r="D1" s="1" t="inlineStr">
        <is>
          <t>Minijuego</t>
        </is>
      </c>
      <c r="E1" s="1" t="inlineStr">
        <is>
          <t>TipoAccion</t>
        </is>
      </c>
      <c r="F1" s="1" t="inlineStr">
        <is>
          <t>Resultado</t>
        </is>
      </c>
      <c r="G1" s="1" t="inlineStr">
        <is>
          <t>Dificultad</t>
        </is>
      </c>
      <c r="H1" s="1" t="inlineStr">
        <is>
          <t>EstadoJugador</t>
        </is>
      </c>
      <c r="I1" s="1" t="inlineStr">
        <is>
          <t>CambioDificultad</t>
        </is>
      </c>
      <c r="J1" s="1" t="inlineStr">
        <is>
          <t>Motivo</t>
        </is>
      </c>
      <c r="K1" s="1" t="inlineStr">
        <is>
          <t>ErrorTiming_s</t>
        </is>
      </c>
      <c r="L1" s="1" t="inlineStr">
        <is>
          <t>TiempoReaccion_s</t>
        </is>
      </c>
      <c r="M1" s="1" t="inlineStr">
        <is>
          <t>LineaOrigen</t>
        </is>
      </c>
      <c r="N1" s="1" t="inlineStr">
        <is>
          <t>TextoOriginal</t>
        </is>
      </c>
    </row>
    <row r="2" ht="17" customHeight="1">
      <c r="A2" s="0">
        <v>1</v>
      </c>
      <c r="B2" s="0" t="inlineStr">
        <is>
          <t>2026-10-02 14:17:14.461</t>
        </is>
      </c>
      <c r="C2" s="0" t="inlineStr">
        <is>
          <t>PlayerState</t>
        </is>
      </c>
      <c r="H2" s="0" t="inlineStr">
        <is>
          <t>Idle</t>
        </is>
      </c>
      <c r="M2" s="0">
        <v>6</v>
      </c>
      <c r="N2" s="0" t="inlineStr">
        <is>
          <t>2026-10-02 14:17:14.461 | PlayerState: Idle</t>
        </is>
      </c>
    </row>
    <row r="3" ht="17" customHeight="1">
      <c r="A3" s="6">
        <v>2</v>
      </c>
      <c r="B3" s="6" t="inlineStr">
        <is>
          <t>2026-10-02 14:17:15.378</t>
        </is>
      </c>
      <c r="C3" s="6" t="inlineStr">
        <is>
          <t>Interaction</t>
        </is>
      </c>
      <c r="D3" s="6" t="inlineStr">
        <is>
          <t>Alex</t>
        </is>
      </c>
      <c r="E3" s="6" t="inlineStr">
        <is>
          <t>HammerTouch</t>
        </is>
      </c>
      <c r="F3" s="6" t="inlineStr">
        <is>
          <t>Success</t>
        </is>
      </c>
      <c r="G3" s="6" t="inlineStr">
        <is>
          <t>Normal</t>
        </is>
      </c>
      <c r="M3" s="6">
        <v>7</v>
      </c>
      <c r="N3" s="6" t="inlineStr">
        <is>
          <t>2026-10-02 14:17:15.378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4" ht="17" customHeight="1">
      <c r="A4" s="0">
        <v>3</v>
      </c>
      <c r="B4" s="0" t="inlineStr">
        <is>
          <t>2026-10-02 14:17:15.380</t>
        </is>
      </c>
      <c r="C4" s="0" t="inlineStr">
        <is>
          <t>PlayerState</t>
        </is>
      </c>
      <c r="H4" s="0" t="inlineStr">
        <is>
          <t>Engaged</t>
        </is>
      </c>
      <c r="M4" s="0">
        <v>8</v>
      </c>
      <c r="N4" s="0" t="inlineStr">
        <is>
          <t>2026-10-02 14:17:15.380 | PlayerState: Engaged</t>
        </is>
      </c>
    </row>
    <row r="5" ht="17" customHeight="1">
      <c r="A5" s="6">
        <v>4</v>
      </c>
      <c r="B5" s="6" t="inlineStr">
        <is>
          <t>2026-10-02 14:17:15.380</t>
        </is>
      </c>
      <c r="C5" s="6" t="inlineStr">
        <is>
          <t>Interaction</t>
        </is>
      </c>
      <c r="D5" s="6" t="inlineStr">
        <is>
          <t>Alex</t>
        </is>
      </c>
      <c r="E5" s="6" t="inlineStr">
        <is>
          <t>HammerTouch</t>
        </is>
      </c>
      <c r="F5" s="6" t="inlineStr">
        <is>
          <t>Success</t>
        </is>
      </c>
      <c r="G5" s="6" t="inlineStr">
        <is>
          <t>Normal</t>
        </is>
      </c>
      <c r="M5" s="6">
        <v>9</v>
      </c>
      <c r="N5" s="6" t="inlineStr">
        <is>
          <t>2026-10-02 14:17:15.380 | Minigame: Alex | Type: HammerTouch | Outcome: Success | Difficulty: Normal | ExpectedTime: 0.8960 | ActualTime: N/A | TimingOffset: N/A | TimingError: N/A | ReactionTime: N/A | SpatialAccuracy: N/A | DirectionAccuracy: N/A | CorrectHand: N/A</t>
        </is>
      </c>
    </row>
    <row r="6" ht="17" customHeight="1">
      <c r="A6" s="0">
        <v>5</v>
      </c>
      <c r="B6" s="0" t="inlineStr">
        <is>
          <t>2026-10-02 14:17:16.074</t>
        </is>
      </c>
      <c r="C6" s="0" t="inlineStr">
        <is>
          <t>Interaction</t>
        </is>
      </c>
      <c r="D6" s="0" t="inlineStr">
        <is>
          <t>Alex</t>
        </is>
      </c>
      <c r="E6" s="0" t="inlineStr">
        <is>
          <t>HammerHit</t>
        </is>
      </c>
      <c r="F6" s="0" t="inlineStr">
        <is>
          <t>Success</t>
        </is>
      </c>
      <c r="G6" s="0" t="inlineStr">
        <is>
          <t>Normal</t>
        </is>
      </c>
      <c r="K6" s="4">
        <v>0.0364</v>
      </c>
      <c r="M6" s="0">
        <v>10</v>
      </c>
      <c r="N6" s="0" t="inlineStr">
        <is>
          <t>2026-10-02 14:17:16.074 | Minigame: Alex | Type: HammerHit | Outcome: Success | Difficulty: Normal | ExpectedTime: 1.6640 | ActualTime: 1.6276 | TimingOffset: -0.0364 | TimingError: 0.0364 | ReactionTime: N/A | SpatialAccuracy: N/A | DirectionAccuracy: N/A | CorrectHand: N/A</t>
        </is>
      </c>
    </row>
    <row r="7" ht="17" customHeight="1">
      <c r="A7" s="6">
        <v>6</v>
      </c>
      <c r="B7" s="6" t="inlineStr">
        <is>
          <t>2026-10-02 14:17:16.087</t>
        </is>
      </c>
      <c r="C7" s="6" t="inlineStr">
        <is>
          <t>Interaction</t>
        </is>
      </c>
      <c r="D7" s="6" t="inlineStr">
        <is>
          <t>Alex</t>
        </is>
      </c>
      <c r="E7" s="6" t="inlineStr">
        <is>
          <t>HammerHit</t>
        </is>
      </c>
      <c r="F7" s="6" t="inlineStr">
        <is>
          <t>Failed</t>
        </is>
      </c>
      <c r="G7" s="6" t="inlineStr">
        <is>
          <t>Normal</t>
        </is>
      </c>
      <c r="K7" s="4">
        <v>0.0364</v>
      </c>
      <c r="M7" s="6">
        <v>11</v>
      </c>
      <c r="N7" s="6" t="inlineStr">
        <is>
          <t>2026-10-02 14:17:16.087 | Minigame: Alex | Type: HammerHit | Outcome: Failed | Difficulty: Normal | ExpectedTime: 1.6640 | ActualTime: 1.6276 | TimingOffset: -0.0364 | TimingError: 0.0364 | ReactionTime: N/A | SpatialAccuracy: N/A | DirectionAccuracy: N/A | CorrectHand: N/A</t>
        </is>
      </c>
    </row>
    <row r="8" ht="17" customHeight="1">
      <c r="A8" s="0">
        <v>7</v>
      </c>
      <c r="B8" s="0" t="inlineStr">
        <is>
          <t>2026-10-02 14:17:16.854</t>
        </is>
      </c>
      <c r="C8" s="0" t="inlineStr">
        <is>
          <t>Interaction</t>
        </is>
      </c>
      <c r="D8" s="0" t="inlineStr">
        <is>
          <t>Alex</t>
        </is>
      </c>
      <c r="E8" s="0" t="inlineStr">
        <is>
          <t>HammerHit</t>
        </is>
      </c>
      <c r="F8" s="0" t="inlineStr">
        <is>
          <t>Success</t>
        </is>
      </c>
      <c r="G8" s="0" t="inlineStr">
        <is>
          <t>Normal</t>
        </is>
      </c>
      <c r="K8" s="4">
        <v>0.0253</v>
      </c>
      <c r="M8" s="0">
        <v>12</v>
      </c>
      <c r="N8" s="0" t="inlineStr">
        <is>
          <t>2026-10-02 14:17:16.854 | Minigame: Alex | Type: HammerHit | Outcome: Success | Difficulty: Normal | ExpectedTime: 2.4320 | ActualTime: 2.4067 | TimingOffset: -0.0253 | TimingError: 0.0253 | ReactionTime: N/A | SpatialAccuracy: N/A | DirectionAccuracy: N/A | CorrectHand: N/A</t>
        </is>
      </c>
    </row>
    <row r="9" ht="17" customHeight="1">
      <c r="A9" s="6">
        <v>8</v>
      </c>
      <c r="B9" s="6" t="inlineStr">
        <is>
          <t>2026-10-02 14:17:17.967</t>
        </is>
      </c>
      <c r="C9" s="6" t="inlineStr">
        <is>
          <t>Interaction</t>
        </is>
      </c>
      <c r="D9" s="6" t="inlineStr">
        <is>
          <t>Alex</t>
        </is>
      </c>
      <c r="E9" s="6" t="inlineStr">
        <is>
          <t>HammerTouch</t>
        </is>
      </c>
      <c r="F9" s="6" t="inlineStr">
        <is>
          <t>Missed</t>
        </is>
      </c>
      <c r="G9" s="6" t="inlineStr">
        <is>
          <t>Normal</t>
        </is>
      </c>
      <c r="M9" s="6">
        <v>13</v>
      </c>
      <c r="N9" s="6" t="inlineStr">
        <is>
          <t>2026-10-02 14:17:17.967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0" ht="17" customHeight="1">
      <c r="A10" s="0">
        <v>9</v>
      </c>
      <c r="B10" s="0" t="inlineStr">
        <is>
          <t>2026-10-02 14:17:17.967</t>
        </is>
      </c>
      <c r="C10" s="0" t="inlineStr">
        <is>
          <t>Interaction</t>
        </is>
      </c>
      <c r="D10" s="0" t="inlineStr">
        <is>
          <t>Alex</t>
        </is>
      </c>
      <c r="E10" s="0" t="inlineStr">
        <is>
          <t>HammerTouch</t>
        </is>
      </c>
      <c r="F10" s="0" t="inlineStr">
        <is>
          <t>Missed</t>
        </is>
      </c>
      <c r="G10" s="0" t="inlineStr">
        <is>
          <t>Normal</t>
        </is>
      </c>
      <c r="M10" s="0">
        <v>14</v>
      </c>
      <c r="N10" s="0" t="inlineStr">
        <is>
          <t>2026-10-02 14:17:17.967 | Minigame: Alex | Type: HammerTouch | Outcome: Missed | Difficulty: Normal | ExpectedTime: 3.2000 | ActualTime: N/A | TimingOffset: N/A | TimingError: N/A | ReactionTime: N/A | SpatialAccuracy: N/A | DirectionAccuracy: N/A | CorrectHand: N/A</t>
        </is>
      </c>
    </row>
    <row r="11" ht="17" customHeight="1">
      <c r="A11" s="6">
        <v>10</v>
      </c>
      <c r="B11" s="6" t="inlineStr">
        <is>
          <t>2026-10-02 14:17:18.413</t>
        </is>
      </c>
      <c r="C11" s="6" t="inlineStr">
        <is>
          <t>Interaction</t>
        </is>
      </c>
      <c r="D11" s="6" t="inlineStr">
        <is>
          <t>Alex</t>
        </is>
      </c>
      <c r="E11" s="6" t="inlineStr">
        <is>
          <t>HammerHit</t>
        </is>
      </c>
      <c r="F11" s="6" t="inlineStr">
        <is>
          <t>Success</t>
        </is>
      </c>
      <c r="G11" s="6" t="inlineStr">
        <is>
          <t>Normal</t>
        </is>
      </c>
      <c r="M11" s="6">
        <v>15</v>
      </c>
      <c r="N11" s="6" t="inlineStr">
        <is>
          <t>2026-10-02 14:17:18.413 | Minigame: Alex | Type: HammerHit | Outcome: Success | Difficulty: Normal | ExpectedTime: 3.9680 | ActualTime: N/A | TimingOffset: N/A | TimingError: N/A | ReactionTime: N/A | SpatialAccuracy: N/A | DirectionAccuracy: N/A | CorrectHand: N/A</t>
        </is>
      </c>
    </row>
    <row r="12" ht="17" customHeight="1">
      <c r="A12" s="0">
        <v>11</v>
      </c>
      <c r="B12" s="0" t="inlineStr">
        <is>
          <t>2026-10-02 14:17:18.732</t>
        </is>
      </c>
      <c r="C12" s="0" t="inlineStr">
        <is>
          <t>Interaction</t>
        </is>
      </c>
      <c r="D12" s="0" t="inlineStr">
        <is>
          <t>Alex</t>
        </is>
      </c>
      <c r="E12" s="0" t="inlineStr">
        <is>
          <t>HammerTouch</t>
        </is>
      </c>
      <c r="F12" s="0" t="inlineStr">
        <is>
          <t>Missed</t>
        </is>
      </c>
      <c r="G12" s="0" t="inlineStr">
        <is>
          <t>Normal</t>
        </is>
      </c>
      <c r="M12" s="0">
        <v>16</v>
      </c>
      <c r="N12" s="0" t="inlineStr">
        <is>
          <t>2026-10-02 14:17:18.732 | Minigame: Alex | Type: HammerTouch | Outcome: Missed | Difficulty: Normal | ExpectedTime: 3.9680 | ActualTime: N/A | TimingOffset: N/A | TimingError: N/A | ReactionTime: N/A | SpatialAccuracy: N/A | DirectionAccuracy: N/A | CorrectHand: N/A</t>
        </is>
      </c>
    </row>
    <row r="13" ht="17" customHeight="1">
      <c r="A13" s="6">
        <v>12</v>
      </c>
      <c r="B13" s="6" t="inlineStr">
        <is>
          <t>2026-10-02 14:17:19.179</t>
        </is>
      </c>
      <c r="C13" s="6" t="inlineStr">
        <is>
          <t>Interaction</t>
        </is>
      </c>
      <c r="D13" s="6" t="inlineStr">
        <is>
          <t>Alex</t>
        </is>
      </c>
      <c r="E13" s="6" t="inlineStr">
        <is>
          <t>HammerHit</t>
        </is>
      </c>
      <c r="F13" s="6" t="inlineStr">
        <is>
          <t>Success</t>
        </is>
      </c>
      <c r="G13" s="6" t="inlineStr">
        <is>
          <t>Normal</t>
        </is>
      </c>
      <c r="K13" s="4">
        <v>0.0041</v>
      </c>
      <c r="M13" s="6">
        <v>17</v>
      </c>
      <c r="N13" s="6" t="inlineStr">
        <is>
          <t>2026-10-02 14:17:19.179 | Minigame: Alex | Type: HammerHit | Outcome: Success | Difficulty: Normal | ExpectedTime: 4.7360 | ActualTime: 4.7319 | TimingOffset: -0.0041 | TimingError: 0.0041 | ReactionTime: N/A | SpatialAccuracy: N/A | DirectionAccuracy: N/A | CorrectHand: N/A</t>
        </is>
      </c>
    </row>
    <row r="14" ht="17" customHeight="1">
      <c r="A14" s="0">
        <v>13</v>
      </c>
      <c r="B14" s="0" t="inlineStr">
        <is>
          <t>2026-10-02 14:17:19.180</t>
        </is>
      </c>
      <c r="C14" s="0" t="inlineStr">
        <is>
          <t>Interaction</t>
        </is>
      </c>
      <c r="D14" s="0" t="inlineStr">
        <is>
          <t>Alex</t>
        </is>
      </c>
      <c r="E14" s="0" t="inlineStr">
        <is>
          <t>HammerHit</t>
        </is>
      </c>
      <c r="F14" s="0" t="inlineStr">
        <is>
          <t>Failed</t>
        </is>
      </c>
      <c r="G14" s="0" t="inlineStr">
        <is>
          <t>Normal</t>
        </is>
      </c>
      <c r="K14" s="4">
        <v>0.0041</v>
      </c>
      <c r="M14" s="0">
        <v>18</v>
      </c>
      <c r="N14" s="0" t="inlineStr">
        <is>
          <t>2026-10-02 14:17:19.180 | Minigame: Alex | Type: HammerHit | Outcome: Failed | Difficulty: Normal | ExpectedTime: 4.7360 | ActualTime: 4.7319 | TimingOffset: -0.0041 | TimingError: 0.0041 | ReactionTime: N/A | SpatialAccuracy: N/A | DirectionAccuracy: N/A | CorrectHand: N/A</t>
        </is>
      </c>
    </row>
    <row r="15" ht="17" customHeight="1">
      <c r="A15" s="6">
        <v>14</v>
      </c>
      <c r="B15" s="6" t="inlineStr">
        <is>
          <t>2026-10-02 14:17:19.180</t>
        </is>
      </c>
      <c r="C15" s="6" t="inlineStr">
        <is>
          <t>PlayerState</t>
        </is>
      </c>
      <c r="H15" s="6" t="inlineStr">
        <is>
          <t>Overloaded</t>
        </is>
      </c>
      <c r="M15" s="6">
        <v>19</v>
      </c>
      <c r="N15" s="6" t="inlineStr">
        <is>
          <t>2026-10-02 14:17:19.180 | PlayerState: Overloaded</t>
        </is>
      </c>
    </row>
    <row r="16" ht="17" customHeight="1">
      <c r="A16" s="0">
        <v>15</v>
      </c>
      <c r="B16" s="0" t="inlineStr">
        <is>
          <t>2026-10-02 14:17:19.180</t>
        </is>
      </c>
      <c r="C16" s="0" t="inlineStr">
        <is>
          <t>DifficultyChanged</t>
        </is>
      </c>
      <c r="D16" s="0" t="inlineStr">
        <is>
          <t>Alex</t>
        </is>
      </c>
      <c r="I16" s="0" t="inlineStr">
        <is>
          <t>Normal -&gt; Easy</t>
        </is>
      </c>
      <c r="J16" s="0" t="inlineStr">
        <is>
          <t>PlayerState: Overloaded</t>
        </is>
      </c>
      <c r="M16" s="0">
        <v>20</v>
      </c>
      <c r="N16" s="0" t="inlineStr">
        <is>
          <t>2026-10-02 14:17:19.180 | DifficultyChanged: Normal -&gt; Easy | Reason: PlayerState: Overloaded | Minigame: Alex | RecentSuccessRate: 0.50</t>
        </is>
      </c>
    </row>
    <row r="17" ht="17" customHeight="1">
      <c r="A17" s="6">
        <v>16</v>
      </c>
      <c r="B17" s="6" t="inlineStr">
        <is>
          <t>2026-10-02 14:17:19.193</t>
        </is>
      </c>
      <c r="C17" s="6" t="inlineStr">
        <is>
          <t>PlayerState</t>
        </is>
      </c>
      <c r="H17" s="6" t="inlineStr">
        <is>
          <t>Engaged</t>
        </is>
      </c>
      <c r="M17" s="6">
        <v>21</v>
      </c>
      <c r="N17" s="6" t="inlineStr">
        <is>
          <t>2026-10-02 14:17:19.193 | PlayerState: Engaged</t>
        </is>
      </c>
    </row>
    <row r="18" ht="17" customHeight="1">
      <c r="A18" s="0">
        <v>17</v>
      </c>
      <c r="B18" s="0" t="inlineStr">
        <is>
          <t>2026-10-02 14:17:19.916</t>
        </is>
      </c>
      <c r="C18" s="0" t="inlineStr">
        <is>
          <t>Interaction</t>
        </is>
      </c>
      <c r="D18" s="0" t="inlineStr">
        <is>
          <t>Alex</t>
        </is>
      </c>
      <c r="E18" s="0" t="inlineStr">
        <is>
          <t>HammerHit</t>
        </is>
      </c>
      <c r="F18" s="0" t="inlineStr">
        <is>
          <t>Failed</t>
        </is>
      </c>
      <c r="G18" s="0" t="inlineStr">
        <is>
          <t>Easy</t>
        </is>
      </c>
      <c r="K18" s="4">
        <v>0.0343</v>
      </c>
      <c r="M18" s="0">
        <v>22</v>
      </c>
      <c r="N18" s="0" t="inlineStr">
        <is>
          <t>2026-10-02 14:17:19.916 | Minigame: Alex | Type: HammerHit | Outcome: Failed | Difficulty: Easy | ExpectedTime: 5.5040 | ActualTime: 5.4697 | TimingOffset: -0.0343 | TimingError: 0.0343 | ReactionTime: N/A | SpatialAccuracy: N/A | DirectionAccuracy: N/A | CorrectHand: N/A</t>
        </is>
      </c>
    </row>
    <row r="19" ht="17" customHeight="1">
      <c r="A19" s="6">
        <v>18</v>
      </c>
      <c r="B19" s="6" t="inlineStr">
        <is>
          <t>2026-10-02 14:17:19.958</t>
        </is>
      </c>
      <c r="C19" s="6" t="inlineStr">
        <is>
          <t>Interaction</t>
        </is>
      </c>
      <c r="D19" s="6" t="inlineStr">
        <is>
          <t>Alex</t>
        </is>
      </c>
      <c r="E19" s="6" t="inlineStr">
        <is>
          <t>HammerHit</t>
        </is>
      </c>
      <c r="F19" s="6" t="inlineStr">
        <is>
          <t>Success</t>
        </is>
      </c>
      <c r="G19" s="6" t="inlineStr">
        <is>
          <t>Easy</t>
        </is>
      </c>
      <c r="M19" s="6">
        <v>23</v>
      </c>
      <c r="N19" s="6" t="inlineStr">
        <is>
          <t>2026-10-02 14:17:19.958 | Minigame: Alex | Type: HammerHit | Outcome: Success | Difficulty: Easy | ExpectedTime: 5.5040 | ActualTime: N/A | TimingOffset: N/A | TimingError: N/A | ReactionTime: N/A | SpatialAccuracy: N/A | DirectionAccuracy: N/A | CorrectHand: N/A</t>
        </is>
      </c>
    </row>
    <row r="20" ht="17" customHeight="1">
      <c r="A20" s="0">
        <v>19</v>
      </c>
      <c r="B20" s="0" t="inlineStr">
        <is>
          <t>2026-10-02 14:17:21.476</t>
        </is>
      </c>
      <c r="C20" s="0" t="inlineStr">
        <is>
          <t>Interaction</t>
        </is>
      </c>
      <c r="D20" s="0" t="inlineStr">
        <is>
          <t>Alex</t>
        </is>
      </c>
      <c r="E20" s="0" t="inlineStr">
        <is>
          <t>HammerHit</t>
        </is>
      </c>
      <c r="F20" s="0" t="inlineStr">
        <is>
          <t>Failed</t>
        </is>
      </c>
      <c r="G20" s="0" t="inlineStr">
        <is>
          <t>Easy</t>
        </is>
      </c>
      <c r="K20" s="4">
        <v>0.0114</v>
      </c>
      <c r="M20" s="0">
        <v>24</v>
      </c>
      <c r="N20" s="0" t="inlineStr">
        <is>
          <t>2026-10-02 14:17:21.476 | Minigame: Alex | Type: HammerHit | Outcome: Failed | Difficulty: Easy | ExpectedTime: 7.0400 | ActualTime: 7.0286 | TimingOffset: -0.0114 | TimingError: 0.0114 | ReactionTime: N/A | SpatialAccuracy: N/A | DirectionAccuracy: N/A | CorrectHand: N/A</t>
        </is>
      </c>
    </row>
    <row r="21" ht="17" customHeight="1">
      <c r="A21" s="6">
        <v>20</v>
      </c>
      <c r="B21" s="6" t="inlineStr">
        <is>
          <t>2026-10-02 14:17:21.489</t>
        </is>
      </c>
      <c r="C21" s="6" t="inlineStr">
        <is>
          <t>Interaction</t>
        </is>
      </c>
      <c r="D21" s="6" t="inlineStr">
        <is>
          <t>Alex</t>
        </is>
      </c>
      <c r="E21" s="6" t="inlineStr">
        <is>
          <t>HammerHit</t>
        </is>
      </c>
      <c r="F21" s="6" t="inlineStr">
        <is>
          <t>Success</t>
        </is>
      </c>
      <c r="G21" s="6" t="inlineStr">
        <is>
          <t>Easy</t>
        </is>
      </c>
      <c r="K21" s="4">
        <v>0.0023</v>
      </c>
      <c r="M21" s="6">
        <v>25</v>
      </c>
      <c r="N21" s="6" t="inlineStr">
        <is>
          <t>2026-10-02 14:17:21.489 | Minigame: Alex | Type: HammerHit | Outcome: Success | Difficulty: Easy | ExpectedTime: 7.0400 | ActualTime: 7.0423 | TimingOffset: 0.0023 | TimingError: 0.0023 | ReactionTime: N/A | SpatialAccuracy: N/A | DirectionAccuracy: N/A | CorrectHand: N/A</t>
        </is>
      </c>
    </row>
    <row r="22" ht="17" customHeight="1">
      <c r="A22" s="0">
        <v>21</v>
      </c>
      <c r="B22" s="0" t="inlineStr">
        <is>
          <t>2026-10-02 14:17:22.993</t>
        </is>
      </c>
      <c r="C22" s="0" t="inlineStr">
        <is>
          <t>Interaction</t>
        </is>
      </c>
      <c r="D22" s="0" t="inlineStr">
        <is>
          <t>Alex</t>
        </is>
      </c>
      <c r="E22" s="0" t="inlineStr">
        <is>
          <t>HammerHit</t>
        </is>
      </c>
      <c r="F22" s="0" t="inlineStr">
        <is>
          <t>Failed</t>
        </is>
      </c>
      <c r="G22" s="0" t="inlineStr">
        <is>
          <t>Easy</t>
        </is>
      </c>
      <c r="K22" s="4">
        <v>0.0297</v>
      </c>
      <c r="M22" s="0">
        <v>26</v>
      </c>
      <c r="N22" s="0" t="inlineStr">
        <is>
          <t>2026-10-02 14:17:22.993 | Minigame: Alex | Type: HammerHit | Outcome: Failed | Difficulty: Easy | ExpectedTime: 8.5760 | ActualTime: 8.5463 | TimingOffset: -0.0297 | TimingError: 0.0297 | ReactionTime: N/A | SpatialAccuracy: N/A | DirectionAccuracy: N/A | CorrectHand: N/A</t>
        </is>
      </c>
    </row>
    <row r="23" ht="17" customHeight="1">
      <c r="A23" s="6">
        <v>22</v>
      </c>
      <c r="B23" s="6" t="inlineStr">
        <is>
          <t>2026-10-02 14:17:22.995</t>
        </is>
      </c>
      <c r="C23" s="6" t="inlineStr">
        <is>
          <t>PlayerState</t>
        </is>
      </c>
      <c r="H23" s="6" t="inlineStr">
        <is>
          <t>Overloaded</t>
        </is>
      </c>
      <c r="M23" s="6">
        <v>27</v>
      </c>
      <c r="N23" s="6" t="inlineStr">
        <is>
          <t>2026-10-02 14:17:22.995 | PlayerState: Overloaded</t>
        </is>
      </c>
    </row>
    <row r="24" ht="17" customHeight="1">
      <c r="A24" s="0">
        <v>23</v>
      </c>
      <c r="B24" s="0" t="inlineStr">
        <is>
          <t>2026-10-02 14:17:23.007</t>
        </is>
      </c>
      <c r="C24" s="0" t="inlineStr">
        <is>
          <t>Interaction</t>
        </is>
      </c>
      <c r="D24" s="0" t="inlineStr">
        <is>
          <t>Alex</t>
        </is>
      </c>
      <c r="E24" s="0" t="inlineStr">
        <is>
          <t>HammerHit</t>
        </is>
      </c>
      <c r="F24" s="0" t="inlineStr">
        <is>
          <t>Success</t>
        </is>
      </c>
      <c r="G24" s="0" t="inlineStr">
        <is>
          <t>Easy</t>
        </is>
      </c>
      <c r="M24" s="0">
        <v>28</v>
      </c>
      <c r="N24" s="0" t="inlineStr">
        <is>
          <t>2026-10-02 14:17:23.007 | Minigame: Alex | Type: HammerHit | Outcome: Success | Difficulty: Easy | ExpectedTime: 8.5760 | ActualTime: N/A | TimingOffset: N/A | TimingError: N/A | ReactionTime: N/A | SpatialAccuracy: N/A | DirectionAccuracy: N/A | CorrectHand: N/A</t>
        </is>
      </c>
    </row>
    <row r="25" ht="17" customHeight="1">
      <c r="A25" s="6">
        <v>24</v>
      </c>
      <c r="B25" s="6" t="inlineStr">
        <is>
          <t>2026-10-02 14:17:24.511</t>
        </is>
      </c>
      <c r="C25" s="6" t="inlineStr">
        <is>
          <t>Interaction</t>
        </is>
      </c>
      <c r="D25" s="6" t="inlineStr">
        <is>
          <t>Alex</t>
        </is>
      </c>
      <c r="E25" s="6" t="inlineStr">
        <is>
          <t>HammerHit</t>
        </is>
      </c>
      <c r="F25" s="6" t="inlineStr">
        <is>
          <t>Success</t>
        </is>
      </c>
      <c r="G25" s="6" t="inlineStr">
        <is>
          <t>Easy</t>
        </is>
      </c>
      <c r="K25" s="4">
        <v>0.0483</v>
      </c>
      <c r="M25" s="6">
        <v>29</v>
      </c>
      <c r="N25" s="6" t="inlineStr">
        <is>
          <t>2026-10-02 14:17:24.511 | Minigame: Alex | Type: HammerHit | Outcome: Success | Difficulty: Easy | ExpectedTime: 10.1120 | ActualTime: 10.0637 | TimingOffset: -0.0483 | TimingError: 0.0483 | ReactionTime: N/A | SpatialAccuracy: N/A | DirectionAccuracy: N/A | CorrectHand: N/A</t>
        </is>
      </c>
    </row>
    <row r="26" ht="17" customHeight="1">
      <c r="A26" s="0">
        <v>25</v>
      </c>
      <c r="B26" s="0" t="inlineStr">
        <is>
          <t>2026-10-02 14:17:24.524</t>
        </is>
      </c>
      <c r="C26" s="0" t="inlineStr">
        <is>
          <t>Interaction</t>
        </is>
      </c>
      <c r="D26" s="0" t="inlineStr">
        <is>
          <t>Alex</t>
        </is>
      </c>
      <c r="E26" s="0" t="inlineStr">
        <is>
          <t>HammerHit</t>
        </is>
      </c>
      <c r="F26" s="0" t="inlineStr">
        <is>
          <t>Failed</t>
        </is>
      </c>
      <c r="G26" s="0" t="inlineStr">
        <is>
          <t>Easy</t>
        </is>
      </c>
      <c r="K26" s="4">
        <v>0.0348</v>
      </c>
      <c r="M26" s="0">
        <v>30</v>
      </c>
      <c r="N26" s="0" t="inlineStr">
        <is>
          <t>2026-10-02 14:17:24.524 | Minigame: Alex | Type: HammerHit | Outcome: Failed | Difficulty: Easy | ExpectedTime: 10.1120 | ActualTime: 10.0772 | TimingOffset: -0.0348 | TimingError: 0.0348 | ReactionTime: N/A | SpatialAccuracy: N/A | DirectionAccuracy: N/A | CorrectHand: N/A</t>
        </is>
      </c>
    </row>
    <row r="27" ht="17" customHeight="1">
      <c r="A27" s="6">
        <v>26</v>
      </c>
      <c r="B27" s="6" t="inlineStr">
        <is>
          <t>2026-10-02 14:17:26.042</t>
        </is>
      </c>
      <c r="C27" s="6" t="inlineStr">
        <is>
          <t>Interaction</t>
        </is>
      </c>
      <c r="D27" s="6" t="inlineStr">
        <is>
          <t>Alex</t>
        </is>
      </c>
      <c r="E27" s="6" t="inlineStr">
        <is>
          <t>HammerHit</t>
        </is>
      </c>
      <c r="F27" s="6" t="inlineStr">
        <is>
          <t>Success</t>
        </is>
      </c>
      <c r="G27" s="6" t="inlineStr">
        <is>
          <t>Easy</t>
        </is>
      </c>
      <c r="K27" s="4">
        <v>0.0535</v>
      </c>
      <c r="M27" s="6">
        <v>31</v>
      </c>
      <c r="N27" s="6" t="inlineStr">
        <is>
          <t>2026-10-02 14:17:26.042 | Minigame: Alex | Type: HammerHit | Outcome: Success | Difficulty: Easy | ExpectedTime: 11.6480 | ActualTime: 11.5945 | TimingOffset: -0.0535 | TimingError: 0.0535 | ReactionTime: N/A | SpatialAccuracy: N/A | DirectionAccuracy: N/A | CorrectHand: N/A</t>
        </is>
      </c>
    </row>
    <row r="28" ht="17" customHeight="1">
      <c r="A28" s="0">
        <v>27</v>
      </c>
      <c r="B28" s="0" t="inlineStr">
        <is>
          <t>2026-10-02 14:17:26.096</t>
        </is>
      </c>
      <c r="C28" s="0" t="inlineStr">
        <is>
          <t>Interaction</t>
        </is>
      </c>
      <c r="D28" s="0" t="inlineStr">
        <is>
          <t>Alex</t>
        </is>
      </c>
      <c r="E28" s="0" t="inlineStr">
        <is>
          <t>HammerHit</t>
        </is>
      </c>
      <c r="F28" s="0" t="inlineStr">
        <is>
          <t>Failed</t>
        </is>
      </c>
      <c r="G28" s="0" t="inlineStr">
        <is>
          <t>Easy</t>
        </is>
      </c>
      <c r="M28" s="0">
        <v>32</v>
      </c>
      <c r="N28" s="0" t="inlineStr">
        <is>
          <t>2026-10-02 14:17:26.096 | Minigame: Alex | Type: HammerHit | Outcome: Failed | Difficulty: Easy | ExpectedTime: 11.6480 | ActualTime: N/A | TimingOffset: N/A | TimingError: N/A | ReactionTime: N/A | SpatialAccuracy: N/A | DirectionAccuracy: N/A | CorrectHand: N/A</t>
        </is>
      </c>
    </row>
    <row r="29" ht="17" customHeight="1">
      <c r="A29" s="6">
        <v>28</v>
      </c>
      <c r="B29" s="6" t="inlineStr">
        <is>
          <t>2026-10-02 14:17:27.573</t>
        </is>
      </c>
      <c r="C29" s="6" t="inlineStr">
        <is>
          <t>Interaction</t>
        </is>
      </c>
      <c r="D29" s="6" t="inlineStr">
        <is>
          <t>Alex</t>
        </is>
      </c>
      <c r="E29" s="6" t="inlineStr">
        <is>
          <t>HammerHit</t>
        </is>
      </c>
      <c r="F29" s="6" t="inlineStr">
        <is>
          <t>Failed</t>
        </is>
      </c>
      <c r="G29" s="6" t="inlineStr">
        <is>
          <t>Easy</t>
        </is>
      </c>
      <c r="K29" s="4">
        <v>0.0578</v>
      </c>
      <c r="M29" s="6">
        <v>33</v>
      </c>
      <c r="N29" s="6" t="inlineStr">
        <is>
          <t>2026-10-02 14:17:27.573 | Minigame: Alex | Type: HammerHit | Outcome: Failed | Difficulty: Easy | ExpectedTime: 13.1840 | ActualTime: 13.1262 | TimingOffset: -0.0578 | TimingError: 0.0578 | ReactionTime: N/A | SpatialAccuracy: N/A | DirectionAccuracy: N/A | CorrectHand: N/A</t>
        </is>
      </c>
    </row>
    <row r="30" ht="17" customHeight="1">
      <c r="A30" s="0">
        <v>29</v>
      </c>
      <c r="B30" s="0" t="inlineStr">
        <is>
          <t>2026-10-02 14:17:27.587</t>
        </is>
      </c>
      <c r="C30" s="0" t="inlineStr">
        <is>
          <t>Interaction</t>
        </is>
      </c>
      <c r="D30" s="0" t="inlineStr">
        <is>
          <t>Alex</t>
        </is>
      </c>
      <c r="E30" s="0" t="inlineStr">
        <is>
          <t>HammerHit</t>
        </is>
      </c>
      <c r="F30" s="0" t="inlineStr">
        <is>
          <t>Failed</t>
        </is>
      </c>
      <c r="G30" s="0" t="inlineStr">
        <is>
          <t>Easy</t>
        </is>
      </c>
      <c r="K30" s="4">
        <v>0.0436</v>
      </c>
      <c r="M30" s="0">
        <v>34</v>
      </c>
      <c r="N30" s="0" t="inlineStr">
        <is>
          <t>2026-10-02 14:17:27.587 | Minigame: Alex | Type: HammerHit | Outcome: Failed | Difficulty: Easy | ExpectedTime: 13.1840 | ActualTime: 13.1404 | TimingOffset: -0.0436 | TimingError: 0.0436 | ReactionTime: N/A | SpatialAccuracy: N/A | DirectionAccuracy: N/A | CorrectHand: N/A</t>
        </is>
      </c>
    </row>
    <row r="31" ht="17" customHeight="1">
      <c r="A31" s="6">
        <v>30</v>
      </c>
      <c r="B31" s="6" t="inlineStr">
        <is>
          <t>2026-10-02 14:17:29.104</t>
        </is>
      </c>
      <c r="C31" s="6" t="inlineStr">
        <is>
          <t>Interaction</t>
        </is>
      </c>
      <c r="D31" s="6" t="inlineStr">
        <is>
          <t>Alex</t>
        </is>
      </c>
      <c r="E31" s="6" t="inlineStr">
        <is>
          <t>HammerHit</t>
        </is>
      </c>
      <c r="F31" s="6" t="inlineStr">
        <is>
          <t>Failed</t>
        </is>
      </c>
      <c r="G31" s="6" t="inlineStr">
        <is>
          <t>Easy</t>
        </is>
      </c>
      <c r="K31" s="4">
        <v>0.0617</v>
      </c>
      <c r="M31" s="6">
        <v>35</v>
      </c>
      <c r="N31" s="6" t="inlineStr">
        <is>
          <t>2026-10-02 14:17:29.104 | Minigame: Alex | Type: HammerHit | Outcome: Failed | Difficulty: Easy | ExpectedTime: 14.7200 | ActualTime: 14.6583 | TimingOffset: -0.0617 | TimingError: 0.0617 | ReactionTime: N/A | SpatialAccuracy: N/A | DirectionAccuracy: N/A | CorrectHand: N/A</t>
        </is>
      </c>
    </row>
    <row r="32" ht="17" customHeight="1">
      <c r="A32" s="0">
        <v>31</v>
      </c>
      <c r="B32" s="0" t="inlineStr">
        <is>
          <t>2026-10-02 14:17:29.133</t>
        </is>
      </c>
      <c r="C32" s="0" t="inlineStr">
        <is>
          <t>Interaction</t>
        </is>
      </c>
      <c r="D32" s="0" t="inlineStr">
        <is>
          <t>Alex</t>
        </is>
      </c>
      <c r="E32" s="0" t="inlineStr">
        <is>
          <t>HammerHit</t>
        </is>
      </c>
      <c r="F32" s="0" t="inlineStr">
        <is>
          <t>Success</t>
        </is>
      </c>
      <c r="G32" s="0" t="inlineStr">
        <is>
          <t>Easy</t>
        </is>
      </c>
      <c r="M32" s="0">
        <v>36</v>
      </c>
      <c r="N32" s="0" t="inlineStr">
        <is>
          <t>2026-10-02 14:17:29.133 | Minigame: Alex | Type: HammerHit | Outcome: Success | Difficulty: Easy | ExpectedTime: 14.7200 | ActualTime: N/A | TimingOffset: N/A | TimingError: N/A | ReactionTime: N/A | SpatialAccuracy: N/A | DirectionAccuracy: N/A | CorrectHand: N/A</t>
        </is>
      </c>
    </row>
    <row r="33" ht="17" customHeight="1">
      <c r="A33" s="6">
        <v>32</v>
      </c>
      <c r="B33" s="6" t="inlineStr">
        <is>
          <t>2026-10-02 14:17:30.665</t>
        </is>
      </c>
      <c r="C33" s="6" t="inlineStr">
        <is>
          <t>Interaction</t>
        </is>
      </c>
      <c r="D33" s="6" t="inlineStr">
        <is>
          <t>Alex</t>
        </is>
      </c>
      <c r="E33" s="6" t="inlineStr">
        <is>
          <t>HammerHit</t>
        </is>
      </c>
      <c r="F33" s="6" t="inlineStr">
        <is>
          <t>Failed</t>
        </is>
      </c>
      <c r="G33" s="6" t="inlineStr">
        <is>
          <t>Easy</t>
        </is>
      </c>
      <c r="K33" s="4">
        <v>0.0374</v>
      </c>
      <c r="M33" s="6">
        <v>37</v>
      </c>
      <c r="N33" s="6" t="inlineStr">
        <is>
          <t>2026-10-02 14:17:30.665 | Minigame: Alex | Type: HammerHit | Outcome: Failed | Difficulty: Easy | ExpectedTime: 16.2560 | ActualTime: 16.2186 | TimingOffset: -0.0374 | TimingError: 0.0374 | ReactionTime: N/A | SpatialAccuracy: N/A | DirectionAccuracy: N/A | CorrectHand: N/A</t>
        </is>
      </c>
    </row>
    <row r="34" ht="17" customHeight="1">
      <c r="A34" s="0">
        <v>33</v>
      </c>
      <c r="B34" s="0" t="inlineStr">
        <is>
          <t>2026-10-02 14:17:30.666</t>
        </is>
      </c>
      <c r="C34" s="0" t="inlineStr">
        <is>
          <t>Interaction</t>
        </is>
      </c>
      <c r="D34" s="0" t="inlineStr">
        <is>
          <t>Alex</t>
        </is>
      </c>
      <c r="E34" s="0" t="inlineStr">
        <is>
          <t>HammerHit</t>
        </is>
      </c>
      <c r="F34" s="0" t="inlineStr">
        <is>
          <t>Success</t>
        </is>
      </c>
      <c r="G34" s="0" t="inlineStr">
        <is>
          <t>Easy</t>
        </is>
      </c>
      <c r="K34" s="4">
        <v>0.0374</v>
      </c>
      <c r="M34" s="0">
        <v>38</v>
      </c>
      <c r="N34" s="0" t="inlineStr">
        <is>
          <t>2026-10-02 14:17:30.666 | Minigame: Alex | Type: HammerHit | Outcome: Success | Difficulty: Easy | ExpectedTime: 16.2560 | ActualTime: 16.2186 | TimingOffset: -0.0374 | TimingError: 0.0374 | ReactionTime: N/A | SpatialAccuracy: N/A | DirectionAccuracy: N/A | CorrectHand: N/A</t>
        </is>
      </c>
    </row>
    <row r="35" ht="17" customHeight="1">
      <c r="A35" s="6">
        <v>34</v>
      </c>
      <c r="B35" s="6" t="inlineStr">
        <is>
          <t>2026-10-02 14:17:32.197</t>
        </is>
      </c>
      <c r="C35" s="6" t="inlineStr">
        <is>
          <t>Interaction</t>
        </is>
      </c>
      <c r="D35" s="6" t="inlineStr">
        <is>
          <t>Alex</t>
        </is>
      </c>
      <c r="E35" s="6" t="inlineStr">
        <is>
          <t>HammerHit</t>
        </is>
      </c>
      <c r="F35" s="6" t="inlineStr">
        <is>
          <t>Success</t>
        </is>
      </c>
      <c r="G35" s="6" t="inlineStr">
        <is>
          <t>Easy</t>
        </is>
      </c>
      <c r="K35" s="4">
        <v>0.0413</v>
      </c>
      <c r="M35" s="6">
        <v>39</v>
      </c>
      <c r="N35" s="6" t="inlineStr">
        <is>
          <t>2026-10-02 14:17:32.197 | Minigame: Alex | Type: HammerHit | Outcome: Success | Difficulty: Easy | ExpectedTime: 17.7920 | ActualTime: 17.7507 | TimingOffset: -0.0413 | TimingError: 0.0413 | ReactionTime: N/A | SpatialAccuracy: N/A | DirectionAccuracy: N/A | CorrectHand: N/A</t>
        </is>
      </c>
    </row>
    <row r="36" ht="17" customHeight="1">
      <c r="A36" s="0">
        <v>35</v>
      </c>
      <c r="B36" s="0" t="inlineStr">
        <is>
          <t>2026-10-02 14:17:32.295</t>
        </is>
      </c>
      <c r="C36" s="0" t="inlineStr">
        <is>
          <t>Interaction</t>
        </is>
      </c>
      <c r="D36" s="0" t="inlineStr">
        <is>
          <t>Alex</t>
        </is>
      </c>
      <c r="E36" s="0" t="inlineStr">
        <is>
          <t>HammerHit</t>
        </is>
      </c>
      <c r="F36" s="0" t="inlineStr">
        <is>
          <t>Success</t>
        </is>
      </c>
      <c r="G36" s="0" t="inlineStr">
        <is>
          <t>Easy</t>
        </is>
      </c>
      <c r="M36" s="0">
        <v>40</v>
      </c>
      <c r="N36" s="0" t="inlineStr">
        <is>
          <t>2026-10-02 14:17:32.295 | Minigame: Alex | Type: HammerHit | Outcome: Success | Difficulty: Easy | ExpectedTime: 17.7920 | ActualTime: N/A | TimingOffset: N/A | TimingError: N/A | ReactionTime: N/A | SpatialAccuracy: N/A | DirectionAccuracy: N/A | CorrectHand: N/A</t>
        </is>
      </c>
    </row>
    <row r="37" ht="17" customHeight="1">
      <c r="A37" s="6">
        <v>36</v>
      </c>
      <c r="B37" s="6" t="inlineStr">
        <is>
          <t>2026-10-02 14:17:33.730</t>
        </is>
      </c>
      <c r="C37" s="6" t="inlineStr">
        <is>
          <t>Interaction</t>
        </is>
      </c>
      <c r="D37" s="6" t="inlineStr">
        <is>
          <t>Alex</t>
        </is>
      </c>
      <c r="E37" s="6" t="inlineStr">
        <is>
          <t>HammerHit</t>
        </is>
      </c>
      <c r="F37" s="6" t="inlineStr">
        <is>
          <t>Success</t>
        </is>
      </c>
      <c r="G37" s="6" t="inlineStr">
        <is>
          <t>Easy</t>
        </is>
      </c>
      <c r="K37" s="4">
        <v>0.0458</v>
      </c>
      <c r="M37" s="6">
        <v>41</v>
      </c>
      <c r="N37" s="6" t="inlineStr">
        <is>
          <t>2026-10-02 14:17:33.730 | Minigame: Alex | Type: HammerHit | Outcome: Success | Difficulty: Easy | ExpectedTime: 19.3280 | ActualTime: 19.2822 | TimingOffset: -0.0458 | TimingError: 0.0458 | ReactionTime: N/A | SpatialAccuracy: N/A | DirectionAccuracy: N/A | CorrectHand: N/A</t>
        </is>
      </c>
    </row>
    <row r="38" ht="17" customHeight="1">
      <c r="A38" s="0">
        <v>37</v>
      </c>
      <c r="B38" s="0" t="inlineStr">
        <is>
          <t>2026-10-02 14:17:33.730</t>
        </is>
      </c>
      <c r="C38" s="0" t="inlineStr">
        <is>
          <t>Interaction</t>
        </is>
      </c>
      <c r="D38" s="0" t="inlineStr">
        <is>
          <t>Alex</t>
        </is>
      </c>
      <c r="E38" s="0" t="inlineStr">
        <is>
          <t>HammerHit</t>
        </is>
      </c>
      <c r="F38" s="0" t="inlineStr">
        <is>
          <t>Failed</t>
        </is>
      </c>
      <c r="G38" s="0" t="inlineStr">
        <is>
          <t>Easy</t>
        </is>
      </c>
      <c r="K38" s="4">
        <v>0.0458</v>
      </c>
      <c r="M38" s="0">
        <v>42</v>
      </c>
      <c r="N38" s="0" t="inlineStr">
        <is>
          <t>2026-10-02 14:17:33.730 | Minigame: Alex | Type: HammerHit | Outcome: Failed | Difficulty: Easy | ExpectedTime: 19.3280 | ActualTime: 19.2822 | TimingOffset: -0.0458 | TimingError: 0.0458 | ReactionTime: N/A | SpatialAccuracy: N/A | DirectionAccuracy: N/A | CorrectHand: N/A</t>
        </is>
      </c>
    </row>
    <row r="39" ht="17" customHeight="1">
      <c r="A39" s="6">
        <v>38</v>
      </c>
      <c r="B39" s="6" t="inlineStr">
        <is>
          <t>2026-10-02 14:17:35.288</t>
        </is>
      </c>
      <c r="C39" s="6" t="inlineStr">
        <is>
          <t>Interaction</t>
        </is>
      </c>
      <c r="D39" s="6" t="inlineStr">
        <is>
          <t>Alex</t>
        </is>
      </c>
      <c r="E39" s="6" t="inlineStr">
        <is>
          <t>HammerHit</t>
        </is>
      </c>
      <c r="F39" s="6" t="inlineStr">
        <is>
          <t>Success</t>
        </is>
      </c>
      <c r="G39" s="6" t="inlineStr">
        <is>
          <t>Easy</t>
        </is>
      </c>
      <c r="K39" s="4">
        <v>0.0224</v>
      </c>
      <c r="M39" s="6">
        <v>43</v>
      </c>
      <c r="N39" s="6" t="inlineStr">
        <is>
          <t>2026-10-02 14:17:35.288 | Minigame: Alex | Type: HammerHit | Outcome: Success | Difficulty: Easy | ExpectedTime: 20.8640 | ActualTime: 20.8416 | TimingOffset: -0.0224 | TimingError: 0.0224 | ReactionTime: N/A | SpatialAccuracy: N/A | DirectionAccuracy: N/A | CorrectHand: N/A</t>
        </is>
      </c>
    </row>
    <row r="40" ht="17" customHeight="1">
      <c r="A40" s="0">
        <v>39</v>
      </c>
      <c r="B40" s="0" t="inlineStr">
        <is>
          <t>2026-10-02 14:17:35.290</t>
        </is>
      </c>
      <c r="C40" s="0" t="inlineStr">
        <is>
          <t>PlayerState</t>
        </is>
      </c>
      <c r="H40" s="0" t="inlineStr">
        <is>
          <t>Engaged</t>
        </is>
      </c>
      <c r="M40" s="0">
        <v>44</v>
      </c>
      <c r="N40" s="0" t="inlineStr">
        <is>
          <t>2026-10-02 14:17:35.290 | PlayerState: Engaged</t>
        </is>
      </c>
    </row>
    <row r="41" ht="17" customHeight="1">
      <c r="A41" s="6">
        <v>40</v>
      </c>
      <c r="B41" s="6" t="inlineStr">
        <is>
          <t>2026-10-02 14:17:35.302</t>
        </is>
      </c>
      <c r="C41" s="6" t="inlineStr">
        <is>
          <t>Interaction</t>
        </is>
      </c>
      <c r="D41" s="6" t="inlineStr">
        <is>
          <t>Alex</t>
        </is>
      </c>
      <c r="E41" s="6" t="inlineStr">
        <is>
          <t>HammerHit</t>
        </is>
      </c>
      <c r="F41" s="6" t="inlineStr">
        <is>
          <t>Failed</t>
        </is>
      </c>
      <c r="G41" s="6" t="inlineStr">
        <is>
          <t>Easy</t>
        </is>
      </c>
      <c r="M41" s="6">
        <v>45</v>
      </c>
      <c r="N41" s="6" t="inlineStr">
        <is>
          <t>2026-10-02 14:17:35.302 | Minigame: Alex | Type: HammerHit | Outcome: Failed | Difficulty: Easy | ExpectedTime: 20.8640 | ActualTime: N/A | TimingOffset: N/A | TimingError: N/A | ReactionTime: N/A | SpatialAccuracy: N/A | DirectionAccuracy: N/A | CorrectHand: N/A</t>
        </is>
      </c>
    </row>
    <row r="42" ht="17" customHeight="1">
      <c r="A42" s="0">
        <v>41</v>
      </c>
      <c r="B42" s="0" t="inlineStr">
        <is>
          <t>2026-10-02 14:17:36.806</t>
        </is>
      </c>
      <c r="C42" s="0" t="inlineStr">
        <is>
          <t>Interaction</t>
        </is>
      </c>
      <c r="D42" s="0" t="inlineStr">
        <is>
          <t>Alex</t>
        </is>
      </c>
      <c r="E42" s="0" t="inlineStr">
        <is>
          <t>HammerHit</t>
        </is>
      </c>
      <c r="F42" s="0" t="inlineStr">
        <is>
          <t>Failed</t>
        </is>
      </c>
      <c r="G42" s="0" t="inlineStr">
        <is>
          <t>Easy</t>
        </is>
      </c>
      <c r="K42" s="4">
        <v>0.041</v>
      </c>
      <c r="M42" s="0">
        <v>46</v>
      </c>
      <c r="N42" s="0" t="inlineStr">
        <is>
          <t>2026-10-02 14:17:36.806 | Minigame: Alex | Type: HammerHit | Outcome: Failed | Difficulty: Easy | ExpectedTime: 22.4000 | ActualTime: 22.3590 | TimingOffset: -0.0410 | TimingError: 0.0410 | ReactionTime: N/A | SpatialAccuracy: N/A | DirectionAccuracy: N/A | CorrectHand: N/A</t>
        </is>
      </c>
    </row>
    <row r="43" ht="17" customHeight="1">
      <c r="A43" s="6">
        <v>42</v>
      </c>
      <c r="B43" s="6" t="inlineStr">
        <is>
          <t>2026-10-02 14:17:36.834</t>
        </is>
      </c>
      <c r="C43" s="6" t="inlineStr">
        <is>
          <t>Interaction</t>
        </is>
      </c>
      <c r="D43" s="6" t="inlineStr">
        <is>
          <t>Alex</t>
        </is>
      </c>
      <c r="E43" s="6" t="inlineStr">
        <is>
          <t>HammerHit</t>
        </is>
      </c>
      <c r="F43" s="6" t="inlineStr">
        <is>
          <t>Failed</t>
        </is>
      </c>
      <c r="G43" s="6" t="inlineStr">
        <is>
          <t>Easy</t>
        </is>
      </c>
      <c r="K43" s="4">
        <v>0.0127</v>
      </c>
      <c r="M43" s="6">
        <v>47</v>
      </c>
      <c r="N43" s="6" t="inlineStr">
        <is>
          <t>2026-10-02 14:17:36.834 | Minigame: Alex | Type: HammerHit | Outcome: Failed | Difficulty: Easy | ExpectedTime: 22.4000 | ActualTime: 22.3873 | TimingOffset: -0.0127 | TimingError: 0.0127 | ReactionTime: N/A | SpatialAccuracy: N/A | DirectionAccuracy: N/A | CorrectHand: N/A</t>
        </is>
      </c>
    </row>
    <row r="44" ht="17" customHeight="1">
      <c r="A44" s="0">
        <v>43</v>
      </c>
      <c r="B44" s="0" t="inlineStr">
        <is>
          <t>2026-10-02 14:17:36.834</t>
        </is>
      </c>
      <c r="C44" s="0" t="inlineStr">
        <is>
          <t>PlayerState</t>
        </is>
      </c>
      <c r="H44" s="0" t="inlineStr">
        <is>
          <t>Overloaded</t>
        </is>
      </c>
      <c r="M44" s="0">
        <v>48</v>
      </c>
      <c r="N44" s="0" t="inlineStr">
        <is>
          <t>2026-10-02 14:17:36.834 | PlayerState: Overloaded</t>
        </is>
      </c>
    </row>
    <row r="45" ht="17" customHeight="1">
      <c r="A45" s="6">
        <v>44</v>
      </c>
      <c r="B45" s="6" t="inlineStr">
        <is>
          <t>2026-10-02 14:17:38.352</t>
        </is>
      </c>
      <c r="C45" s="6" t="inlineStr">
        <is>
          <t>Interaction</t>
        </is>
      </c>
      <c r="D45" s="6" t="inlineStr">
        <is>
          <t>Alex</t>
        </is>
      </c>
      <c r="E45" s="6" t="inlineStr">
        <is>
          <t>HammerHit</t>
        </is>
      </c>
      <c r="F45" s="6" t="inlineStr">
        <is>
          <t>Failed</t>
        </is>
      </c>
      <c r="G45" s="6" t="inlineStr">
        <is>
          <t>Easy</t>
        </is>
      </c>
      <c r="K45" s="4">
        <v>0.0318</v>
      </c>
      <c r="M45" s="6">
        <v>49</v>
      </c>
      <c r="N45" s="6" t="inlineStr">
        <is>
          <t>2026-10-02 14:17:38.352 | Minigame: Alex | Type: HammerHit | Outcome: Failed | Difficulty: Easy | ExpectedTime: 23.9360 | ActualTime: 23.9042 | TimingOffset: -0.0318 | TimingError: 0.0318 | ReactionTime: N/A | SpatialAccuracy: N/A | DirectionAccuracy: N/A | CorrectHand: N/A</t>
        </is>
      </c>
    </row>
    <row r="46" ht="17" customHeight="1">
      <c r="A46" s="0">
        <v>45</v>
      </c>
      <c r="B46" s="0" t="inlineStr">
        <is>
          <t>2026-10-02 14:17:38.379</t>
        </is>
      </c>
      <c r="C46" s="0" t="inlineStr">
        <is>
          <t>Interaction</t>
        </is>
      </c>
      <c r="D46" s="0" t="inlineStr">
        <is>
          <t>Alex</t>
        </is>
      </c>
      <c r="E46" s="0" t="inlineStr">
        <is>
          <t>HammerHit</t>
        </is>
      </c>
      <c r="F46" s="0" t="inlineStr">
        <is>
          <t>Success</t>
        </is>
      </c>
      <c r="G46" s="0" t="inlineStr">
        <is>
          <t>Easy</t>
        </is>
      </c>
      <c r="M46" s="0">
        <v>50</v>
      </c>
      <c r="N46" s="0" t="inlineStr">
        <is>
          <t>2026-10-02 14:17:38.379 | Minigame: Alex | Type: HammerHit | Outcome: Success | Difficulty: Easy | ExpectedTime: 23.9360 | ActualTime: N/A | TimingOffset: N/A | TimingError: N/A | ReactionTime: N/A | SpatialAccuracy: N/A | DirectionAccuracy: N/A | CorrectHand: N/A</t>
        </is>
      </c>
    </row>
    <row r="47" ht="17" customHeight="1">
      <c r="A47" s="6">
        <v>46</v>
      </c>
      <c r="B47" s="6" t="inlineStr">
        <is>
          <t>2026-10-02 14:17:39.897</t>
        </is>
      </c>
      <c r="C47" s="6" t="inlineStr">
        <is>
          <t>Interaction</t>
        </is>
      </c>
      <c r="D47" s="6" t="inlineStr">
        <is>
          <t>Alex</t>
        </is>
      </c>
      <c r="E47" s="6" t="inlineStr">
        <is>
          <t>HammerHit</t>
        </is>
      </c>
      <c r="F47" s="6" t="inlineStr">
        <is>
          <t>Success</t>
        </is>
      </c>
      <c r="G47" s="6" t="inlineStr">
        <is>
          <t>Easy</t>
        </is>
      </c>
      <c r="K47" s="4">
        <v>0.022</v>
      </c>
      <c r="M47" s="6">
        <v>51</v>
      </c>
      <c r="N47" s="6" t="inlineStr">
        <is>
          <t>2026-10-02 14:17:39.897 | Minigame: Alex | Type: HammerHit | Outcome: Success | Difficulty: Easy | ExpectedTime: 25.4720 | ActualTime: 25.4500 | TimingOffset: -0.0220 | TimingError: 0.0220 | ReactionTime: N/A | SpatialAccuracy: N/A | DirectionAccuracy: N/A | CorrectHand: N/A</t>
        </is>
      </c>
    </row>
    <row r="48" ht="17" customHeight="1">
      <c r="A48" s="0">
        <v>47</v>
      </c>
      <c r="B48" s="0" t="inlineStr">
        <is>
          <t>2026-10-02 14:17:39.898</t>
        </is>
      </c>
      <c r="C48" s="0" t="inlineStr">
        <is>
          <t>Interaction</t>
        </is>
      </c>
      <c r="D48" s="0" t="inlineStr">
        <is>
          <t>Alex</t>
        </is>
      </c>
      <c r="E48" s="0" t="inlineStr">
        <is>
          <t>HammerHit</t>
        </is>
      </c>
      <c r="F48" s="0" t="inlineStr">
        <is>
          <t>Failed</t>
        </is>
      </c>
      <c r="G48" s="0" t="inlineStr">
        <is>
          <t>Easy</t>
        </is>
      </c>
      <c r="K48" s="4">
        <v>0.022</v>
      </c>
      <c r="M48" s="0">
        <v>52</v>
      </c>
      <c r="N48" s="0" t="inlineStr">
        <is>
          <t>2026-10-02 14:17:39.898 | Minigame: Alex | Type: HammerHit | Outcome: Failed | Difficulty: Easy | ExpectedTime: 25.4720 | ActualTime: 25.4500 | TimingOffset: -0.0220 | TimingError: 0.0220 | ReactionTime: N/A | SpatialAccuracy: N/A | DirectionAccuracy: N/A | CorrectHand: N/A</t>
        </is>
      </c>
    </row>
    <row r="49" ht="17" customHeight="1">
      <c r="A49" s="6">
        <v>48</v>
      </c>
      <c r="B49" s="6" t="inlineStr">
        <is>
          <t>2026-10-02 14:17:41.414</t>
        </is>
      </c>
      <c r="C49" s="6" t="inlineStr">
        <is>
          <t>Interaction</t>
        </is>
      </c>
      <c r="D49" s="6" t="inlineStr">
        <is>
          <t>Alex</t>
        </is>
      </c>
      <c r="E49" s="6" t="inlineStr">
        <is>
          <t>HammerHit</t>
        </is>
      </c>
      <c r="F49" s="6" t="inlineStr">
        <is>
          <t>Success</t>
        </is>
      </c>
      <c r="G49" s="6" t="inlineStr">
        <is>
          <t>Easy</t>
        </is>
      </c>
      <c r="K49" s="4">
        <v>0.0405</v>
      </c>
      <c r="M49" s="6">
        <v>53</v>
      </c>
      <c r="N49" s="6" t="inlineStr">
        <is>
          <t>2026-10-02 14:17:41.414 | Minigame: Alex | Type: HammerHit | Outcome: Success | Difficulty: Easy | ExpectedTime: 27.0080 | ActualTime: 26.9675 | TimingOffset: -0.0405 | TimingError: 0.0405 | ReactionTime: N/A | SpatialAccuracy: N/A | DirectionAccuracy: N/A | CorrectHand: N/A</t>
        </is>
      </c>
    </row>
    <row r="50" ht="17" customHeight="1">
      <c r="A50" s="0">
        <v>49</v>
      </c>
      <c r="B50" s="0" t="inlineStr">
        <is>
          <t>2026-10-02 14:17:41.428</t>
        </is>
      </c>
      <c r="C50" s="0" t="inlineStr">
        <is>
          <t>Interaction</t>
        </is>
      </c>
      <c r="D50" s="0" t="inlineStr">
        <is>
          <t>Alex</t>
        </is>
      </c>
      <c r="E50" s="0" t="inlineStr">
        <is>
          <t>HammerHit</t>
        </is>
      </c>
      <c r="F50" s="0" t="inlineStr">
        <is>
          <t>Success</t>
        </is>
      </c>
      <c r="G50" s="0" t="inlineStr">
        <is>
          <t>Easy</t>
        </is>
      </c>
      <c r="M50" s="0">
        <v>54</v>
      </c>
      <c r="N50" s="0" t="inlineStr">
        <is>
          <t>2026-10-02 14:17:41.428 | Minigame: Alex | Type: HammerHit | Outcome: Success | Difficulty: Easy | ExpectedTime: 27.0080 | ActualTime: N/A | TimingOffset: N/A | TimingError: N/A | ReactionTime: N/A | SpatialAccuracy: N/A | DirectionAccuracy: N/A | CorrectHand: N/A</t>
        </is>
      </c>
    </row>
    <row r="51" ht="17" customHeight="1">
      <c r="A51" s="6">
        <v>50</v>
      </c>
      <c r="B51" s="6" t="inlineStr">
        <is>
          <t>2026-10-02 14:17:42.974</t>
        </is>
      </c>
      <c r="C51" s="6" t="inlineStr">
        <is>
          <t>Interaction</t>
        </is>
      </c>
      <c r="D51" s="6" t="inlineStr">
        <is>
          <t>Alex</t>
        </is>
      </c>
      <c r="E51" s="6" t="inlineStr">
        <is>
          <t>HammerHit</t>
        </is>
      </c>
      <c r="F51" s="6" t="inlineStr">
        <is>
          <t>Failed</t>
        </is>
      </c>
      <c r="G51" s="6" t="inlineStr">
        <is>
          <t>Easy</t>
        </is>
      </c>
      <c r="K51" s="4">
        <v>0.0169</v>
      </c>
      <c r="M51" s="6">
        <v>55</v>
      </c>
      <c r="N51" s="6" t="inlineStr">
        <is>
          <t>2026-10-02 14:17:42.974 | Minigame: Alex | Type: HammerHit | Outcome: Failed | Difficulty: Easy | ExpectedTime: 28.5440 | ActualTime: 28.5271 | TimingOffset: -0.0169 | TimingError: 0.0169 | ReactionTime: N/A | SpatialAccuracy: N/A | DirectionAccuracy: N/A | CorrectHand: N/A</t>
        </is>
      </c>
    </row>
    <row r="52" ht="17" customHeight="1">
      <c r="A52" s="0">
        <v>51</v>
      </c>
      <c r="B52" s="0" t="inlineStr">
        <is>
          <t>2026-10-02 14:17:42.975</t>
        </is>
      </c>
      <c r="C52" s="0" t="inlineStr">
        <is>
          <t>Interaction</t>
        </is>
      </c>
      <c r="D52" s="0" t="inlineStr">
        <is>
          <t>Alex</t>
        </is>
      </c>
      <c r="E52" s="0" t="inlineStr">
        <is>
          <t>HammerHit</t>
        </is>
      </c>
      <c r="F52" s="0" t="inlineStr">
        <is>
          <t>Success</t>
        </is>
      </c>
      <c r="G52" s="0" t="inlineStr">
        <is>
          <t>Easy</t>
        </is>
      </c>
      <c r="K52" s="4">
        <v>0.0169</v>
      </c>
      <c r="M52" s="0">
        <v>56</v>
      </c>
      <c r="N52" s="0" t="inlineStr">
        <is>
          <t>2026-10-02 14:17:42.975 | Minigame: Alex | Type: HammerHit | Outcome: Success | Difficulty: Easy | ExpectedTime: 28.5440 | ActualTime: 28.5271 | TimingOffset: -0.0169 | TimingError: 0.0169 | ReactionTime: N/A | SpatialAccuracy: N/A | DirectionAccuracy: N/A | CorrectHand: N/A</t>
        </is>
      </c>
    </row>
    <row r="53" ht="17" customHeight="1">
      <c r="A53" s="6">
        <v>52</v>
      </c>
      <c r="B53" s="6" t="inlineStr">
        <is>
          <t>2026-10-02 14:17:44.492</t>
        </is>
      </c>
      <c r="C53" s="6" t="inlineStr">
        <is>
          <t>Interaction</t>
        </is>
      </c>
      <c r="D53" s="6" t="inlineStr">
        <is>
          <t>Alex</t>
        </is>
      </c>
      <c r="E53" s="6" t="inlineStr">
        <is>
          <t>HammerHit</t>
        </is>
      </c>
      <c r="F53" s="6" t="inlineStr">
        <is>
          <t>Success</t>
        </is>
      </c>
      <c r="G53" s="6" t="inlineStr">
        <is>
          <t>Easy</t>
        </is>
      </c>
      <c r="K53" s="4">
        <v>0.0356</v>
      </c>
      <c r="M53" s="6">
        <v>57</v>
      </c>
      <c r="N53" s="6" t="inlineStr">
        <is>
          <t>2026-10-02 14:17:44.492 | Minigame: Alex | Type: HammerHit | Outcome: Success | Difficulty: Easy | ExpectedTime: 30.0800 | ActualTime: 30.0444 | TimingOffset: -0.0356 | TimingError: 0.0356 | ReactionTime: N/A | SpatialAccuracy: N/A | DirectionAccuracy: N/A | CorrectHand: N/A</t>
        </is>
      </c>
    </row>
    <row r="54" ht="17" customHeight="1">
      <c r="A54" s="0">
        <v>53</v>
      </c>
      <c r="B54" s="0" t="inlineStr">
        <is>
          <t>2026-10-02 14:17:44.492</t>
        </is>
      </c>
      <c r="C54" s="0" t="inlineStr">
        <is>
          <t>PlayerState</t>
        </is>
      </c>
      <c r="H54" s="0" t="inlineStr">
        <is>
          <t>Engaged</t>
        </is>
      </c>
      <c r="M54" s="0">
        <v>58</v>
      </c>
      <c r="N54" s="0" t="inlineStr">
        <is>
          <t>2026-10-02 14:17:44.492 | PlayerState: Engaged</t>
        </is>
      </c>
    </row>
    <row r="55" ht="17" customHeight="1">
      <c r="A55" s="6">
        <v>54</v>
      </c>
      <c r="B55" s="6" t="inlineStr">
        <is>
          <t>2026-10-02 14:17:44.493</t>
        </is>
      </c>
      <c r="C55" s="6" t="inlineStr">
        <is>
          <t>Interaction</t>
        </is>
      </c>
      <c r="D55" s="6" t="inlineStr">
        <is>
          <t>Alex</t>
        </is>
      </c>
      <c r="E55" s="6" t="inlineStr">
        <is>
          <t>HammerHit</t>
        </is>
      </c>
      <c r="F55" s="6" t="inlineStr">
        <is>
          <t>Success</t>
        </is>
      </c>
      <c r="G55" s="6" t="inlineStr">
        <is>
          <t>Easy</t>
        </is>
      </c>
      <c r="M55" s="6">
        <v>59</v>
      </c>
      <c r="N55" s="6" t="inlineStr">
        <is>
          <t>2026-10-02 14:17:44.493 | Minigame: Alex | Type: HammerHit | Outcome: Success | Difficulty: Easy | ExpectedTime: 30.0800 | ActualTime: N/A | TimingOffset: N/A | TimingError: N/A | ReactionTime: N/A | SpatialAccuracy: N/A | DirectionAccuracy: N/A | CorrectHand: N/A</t>
        </is>
      </c>
    </row>
    <row r="56" ht="17" customHeight="1">
      <c r="A56" s="0">
        <v>55</v>
      </c>
      <c r="B56" s="0" t="inlineStr">
        <is>
          <t>2026-10-02 14:17:48.248</t>
        </is>
      </c>
      <c r="C56" s="0" t="inlineStr">
        <is>
          <t>Interaction</t>
        </is>
      </c>
      <c r="D56" s="0" t="inlineStr">
        <is>
          <t>Joaquin</t>
        </is>
      </c>
      <c r="E56" s="0" t="inlineStr">
        <is>
          <t>GuitarHit</t>
        </is>
      </c>
      <c r="F56" s="0" t="inlineStr">
        <is>
          <t>Success</t>
        </is>
      </c>
      <c r="G56" s="0" t="inlineStr">
        <is>
          <t>Easy</t>
        </is>
      </c>
      <c r="K56" s="4">
        <v>0.1327</v>
      </c>
      <c r="M56" s="0">
        <v>60</v>
      </c>
      <c r="N56" s="0" t="inlineStr">
        <is>
          <t>2026-10-02 14:17:48.248 | Minigame: Joaquin | Type: GuitarHit | Outcome: Success | Difficulty: Easy | ExpectedTime: 33.9200 | ActualTime: 33.7873 | TimingOffset: -0.1327 | TimingError: 0.1327 | ReactionTime: N/A | SpatialAccuracy: N/A | DirectionAccuracy: N/A | CorrectHand: N/A</t>
        </is>
      </c>
    </row>
    <row r="57" ht="17" customHeight="1">
      <c r="A57" s="6">
        <v>56</v>
      </c>
      <c r="B57" s="6" t="inlineStr">
        <is>
          <t>2026-10-02 14:17:52.357</t>
        </is>
      </c>
      <c r="C57" s="6" t="inlineStr">
        <is>
          <t>Interaction</t>
        </is>
      </c>
      <c r="D57" s="6" t="inlineStr">
        <is>
          <t>Joaquin</t>
        </is>
      </c>
      <c r="E57" s="6" t="inlineStr">
        <is>
          <t>GuitarHit</t>
        </is>
      </c>
      <c r="F57" s="6" t="inlineStr">
        <is>
          <t>Success</t>
        </is>
      </c>
      <c r="G57" s="6" t="inlineStr">
        <is>
          <t>Easy</t>
        </is>
      </c>
      <c r="K57" s="4">
        <v>0.1355</v>
      </c>
      <c r="M57" s="6">
        <v>61</v>
      </c>
      <c r="N57" s="6" t="inlineStr">
        <is>
          <t>2026-10-02 14:17:52.357 | Minigame: Joaquin | Type: GuitarHit | Outcome: Success | Difficulty: Easy | ExpectedTime: 37.7600 | ActualTime: 37.8955 | TimingOffset: 0.1355 | TimingError: 0.1355 | ReactionTime: N/A | SpatialAccuracy: N/A | DirectionAccuracy: N/A | CorrectHand: N/A</t>
        </is>
      </c>
    </row>
    <row r="58" ht="17" customHeight="1">
      <c r="A58" s="0">
        <v>57</v>
      </c>
      <c r="B58" s="0" t="inlineStr">
        <is>
          <t>2026-10-02 14:17:55.712</t>
        </is>
      </c>
      <c r="C58" s="0" t="inlineStr">
        <is>
          <t>Interaction</t>
        </is>
      </c>
      <c r="D58" s="0" t="inlineStr">
        <is>
          <t>Joaquin</t>
        </is>
      </c>
      <c r="E58" s="0" t="inlineStr">
        <is>
          <t>GuitarHit</t>
        </is>
      </c>
      <c r="F58" s="0" t="inlineStr">
        <is>
          <t>Success</t>
        </is>
      </c>
      <c r="G58" s="0" t="inlineStr">
        <is>
          <t>Easy</t>
        </is>
      </c>
      <c r="K58" s="4">
        <v>0.035</v>
      </c>
      <c r="M58" s="0">
        <v>62</v>
      </c>
      <c r="N58" s="0" t="inlineStr">
        <is>
          <t>2026-10-02 14:17:55.712 | Minigame: Joaquin | Type: GuitarHit | Outcome: Success | Difficulty: Easy | ExpectedTime: 41.2160 | ActualTime: 41.2510 | TimingOffset: 0.0350 | TimingError: 0.0350 | ReactionTime: N/A | SpatialAccuracy: N/A | DirectionAccuracy: N/A | CorrectHand: N/A</t>
        </is>
      </c>
    </row>
    <row r="59" ht="17" customHeight="1">
      <c r="A59" s="6">
        <v>58</v>
      </c>
      <c r="B59" s="6" t="inlineStr">
        <is>
          <t>2026-10-02 14:17:57.897</t>
        </is>
      </c>
      <c r="C59" s="6" t="inlineStr">
        <is>
          <t>Interaction</t>
        </is>
      </c>
      <c r="D59" s="6" t="inlineStr">
        <is>
          <t>Joaquin</t>
        </is>
      </c>
      <c r="E59" s="6" t="inlineStr">
        <is>
          <t>GuitarHit</t>
        </is>
      </c>
      <c r="F59" s="6" t="inlineStr">
        <is>
          <t>Success</t>
        </is>
      </c>
      <c r="G59" s="6" t="inlineStr">
        <is>
          <t>Easy</t>
        </is>
      </c>
      <c r="K59" s="4">
        <v>0.0841</v>
      </c>
      <c r="M59" s="6">
        <v>63</v>
      </c>
      <c r="N59" s="6" t="inlineStr">
        <is>
          <t>2026-10-02 14:17:57.897 | Minigame: Joaquin | Type: GuitarHit | Outcome: Success | Difficulty: Easy | ExpectedTime: 43.5200 | ActualTime: 43.4359 | TimingOffset: -0.0841 | TimingError: 0.0841 | ReactionTime: N/A | SpatialAccuracy: N/A | DirectionAccuracy: N/A | CorrectHand: N/A</t>
        </is>
      </c>
    </row>
    <row r="60" ht="17" customHeight="1">
      <c r="A60" s="0">
        <v>59</v>
      </c>
      <c r="B60" s="0" t="inlineStr">
        <is>
          <t>2026-10-02 14:17:58.078</t>
        </is>
      </c>
      <c r="C60" s="0" t="inlineStr">
        <is>
          <t>Interaction</t>
        </is>
      </c>
      <c r="D60" s="0" t="inlineStr">
        <is>
          <t>Joaquin</t>
        </is>
      </c>
      <c r="E60" s="0" t="inlineStr">
        <is>
          <t>PlayerHit</t>
        </is>
      </c>
      <c r="F60" s="0" t="inlineStr">
        <is>
          <t>Failed</t>
        </is>
      </c>
      <c r="G60" s="0" t="inlineStr">
        <is>
          <t>Easy</t>
        </is>
      </c>
      <c r="M60" s="0">
        <v>64</v>
      </c>
      <c r="N60" s="0" t="inlineStr">
        <is>
          <t>2026-10-02 14:17:58.078 | Minigame: Joaquin | Type: PlayerHit | Outcome: Failed | Difficulty: Easy | ExpectedTime: 43.6174 | ActualTime: N/A | TimingOffset: N/A | TimingError: N/A | ReactionTime: N/A | SpatialAccuracy: N/A | DirectionAccuracy: N/A | CorrectHand: N/A</t>
        </is>
      </c>
    </row>
    <row r="61" ht="17" customHeight="1">
      <c r="A61" s="6">
        <v>60</v>
      </c>
      <c r="B61" s="6" t="inlineStr">
        <is>
          <t>2026-10-02 14:18:00.473</t>
        </is>
      </c>
      <c r="C61" s="6" t="inlineStr">
        <is>
          <t>Interaction</t>
        </is>
      </c>
      <c r="D61" s="6" t="inlineStr">
        <is>
          <t>Joaquin</t>
        </is>
      </c>
      <c r="E61" s="6" t="inlineStr">
        <is>
          <t>GuitarHit</t>
        </is>
      </c>
      <c r="F61" s="6" t="inlineStr">
        <is>
          <t>Success</t>
        </is>
      </c>
      <c r="G61" s="6" t="inlineStr">
        <is>
          <t>Easy</t>
        </is>
      </c>
      <c r="K61" s="4">
        <v>0.1886</v>
      </c>
      <c r="M61" s="6">
        <v>65</v>
      </c>
      <c r="N61" s="6" t="inlineStr">
        <is>
          <t>2026-10-02 14:18:00.473 | Minigame: Joaquin | Type: GuitarHit | Outcome: Success | Difficulty: Easy | ExpectedTime: 45.8240 | ActualTime: 46.0126 | TimingOffset: 0.1886 | TimingError: 0.1886 | ReactionTime: N/A | SpatialAccuracy: N/A | DirectionAccuracy: N/A | CorrectHand: N/A</t>
        </is>
      </c>
    </row>
    <row r="62" ht="17" customHeight="1">
      <c r="A62" s="0">
        <v>61</v>
      </c>
      <c r="B62" s="0" t="inlineStr">
        <is>
          <t>2026-10-02 14:18:04.553</t>
        </is>
      </c>
      <c r="C62" s="0" t="inlineStr">
        <is>
          <t>Interaction</t>
        </is>
      </c>
      <c r="D62" s="0" t="inlineStr">
        <is>
          <t>Joaquin</t>
        </is>
      </c>
      <c r="E62" s="0" t="inlineStr">
        <is>
          <t>GuitarHit</t>
        </is>
      </c>
      <c r="F62" s="0" t="inlineStr">
        <is>
          <t>Success</t>
        </is>
      </c>
      <c r="G62" s="0" t="inlineStr">
        <is>
          <t>Easy</t>
        </is>
      </c>
      <c r="K62" s="4">
        <v>0.0441</v>
      </c>
      <c r="M62" s="0">
        <v>66</v>
      </c>
      <c r="N62" s="0" t="inlineStr">
        <is>
          <t>2026-10-02 14:18:04.553 | Minigame: Joaquin | Type: GuitarHit | Outcome: Success | Difficulty: Easy | ExpectedTime: 50.0480 | ActualTime: 50.0921 | TimingOffset: 0.0441 | TimingError: 0.0441 | ReactionTime: N/A | SpatialAccuracy: N/A | DirectionAccuracy: N/A | CorrectHand: N/A</t>
        </is>
      </c>
    </row>
    <row r="63" ht="17" customHeight="1">
      <c r="A63" s="6">
        <v>62</v>
      </c>
      <c r="B63" s="6" t="inlineStr">
        <is>
          <t>2026-10-02 14:18:06.766</t>
        </is>
      </c>
      <c r="C63" s="6" t="inlineStr">
        <is>
          <t>Interaction</t>
        </is>
      </c>
      <c r="D63" s="6" t="inlineStr">
        <is>
          <t>Joaquin</t>
        </is>
      </c>
      <c r="E63" s="6" t="inlineStr">
        <is>
          <t>GuitarHit</t>
        </is>
      </c>
      <c r="F63" s="6" t="inlineStr">
        <is>
          <t>Success</t>
        </is>
      </c>
      <c r="G63" s="6" t="inlineStr">
        <is>
          <t>Easy</t>
        </is>
      </c>
      <c r="K63" s="4">
        <v>0.0469</v>
      </c>
      <c r="M63" s="6">
        <v>67</v>
      </c>
      <c r="N63" s="6" t="inlineStr">
        <is>
          <t>2026-10-02 14:18:06.766 | Minigame: Joaquin | Type: GuitarHit | Outcome: Success | Difficulty: Easy | ExpectedTime: 52.3520 | ActualTime: 52.3051 | TimingOffset: -0.0469 | TimingError: 0.0469 | ReactionTime: N/A | SpatialAccuracy: N/A | DirectionAccuracy: N/A | CorrectHand: N/A</t>
        </is>
      </c>
    </row>
    <row r="64" ht="17" customHeight="1">
      <c r="A64" s="0">
        <v>63</v>
      </c>
      <c r="B64" s="0" t="inlineStr">
        <is>
          <t>2026-10-02 14:18:06.766</t>
        </is>
      </c>
      <c r="C64" s="0" t="inlineStr">
        <is>
          <t>DifficultyChanged</t>
        </is>
      </c>
      <c r="D64" s="0" t="inlineStr">
        <is>
          <t>Joaquin</t>
        </is>
      </c>
      <c r="I64" s="0" t="inlineStr">
        <is>
          <t>Easy -&gt; Normal</t>
        </is>
      </c>
      <c r="J64" s="0" t="inlineStr">
        <is>
          <t>High recent performance</t>
        </is>
      </c>
      <c r="M64" s="0">
        <v>68</v>
      </c>
      <c r="N64" s="0" t="inlineStr">
        <is>
          <t>2026-10-02 14:18:06.766 | DifficultyChanged: Easy -&gt; Normal | Reason: High recent performance | Minigame: Joaquin | SuccessRate: 0.88</t>
        </is>
      </c>
    </row>
    <row r="65" ht="17" customHeight="1">
      <c r="A65" s="6">
        <v>64</v>
      </c>
      <c r="B65" s="6" t="inlineStr">
        <is>
          <t>2026-10-02 14:18:07.253</t>
        </is>
      </c>
      <c r="C65" s="6" t="inlineStr">
        <is>
          <t>Interaction</t>
        </is>
      </c>
      <c r="D65" s="6" t="inlineStr">
        <is>
          <t>Joaquin</t>
        </is>
      </c>
      <c r="E65" s="6" t="inlineStr">
        <is>
          <t>GuitarHit</t>
        </is>
      </c>
      <c r="F65" s="6" t="inlineStr">
        <is>
          <t>Success</t>
        </is>
      </c>
      <c r="G65" s="6" t="inlineStr">
        <is>
          <t>Normal</t>
        </is>
      </c>
      <c r="K65" s="4">
        <v>0.0565</v>
      </c>
      <c r="M65" s="6">
        <v>69</v>
      </c>
      <c r="N65" s="6" t="inlineStr">
        <is>
          <t>2026-10-02 14:18:07.253 | Minigame: Joaquin | Type: GuitarHit | Outcome: Success | Difficulty: Normal | ExpectedTime: 52.7360 | ActualTime: 52.7925 | TimingOffset: 0.0565 | TimingError: 0.0565 | ReactionTime: N/A | SpatialAccuracy: N/A | DirectionAccuracy: N/A | CorrectHand: N/A</t>
        </is>
      </c>
    </row>
    <row r="66" ht="17" customHeight="1">
      <c r="A66" s="0">
        <v>65</v>
      </c>
      <c r="B66" s="0" t="inlineStr">
        <is>
          <t>2026-10-02 14:18:10.914</t>
        </is>
      </c>
      <c r="C66" s="0" t="inlineStr">
        <is>
          <t>Interaction</t>
        </is>
      </c>
      <c r="D66" s="0" t="inlineStr">
        <is>
          <t>Joaquin</t>
        </is>
      </c>
      <c r="E66" s="0" t="inlineStr">
        <is>
          <t>GuitarHit</t>
        </is>
      </c>
      <c r="F66" s="0" t="inlineStr">
        <is>
          <t>Success</t>
        </is>
      </c>
      <c r="G66" s="0" t="inlineStr">
        <is>
          <t>Normal</t>
        </is>
      </c>
      <c r="K66" s="4">
        <v>0.1231</v>
      </c>
      <c r="M66" s="0">
        <v>70</v>
      </c>
      <c r="N66" s="0" t="inlineStr">
        <is>
          <t>2026-10-02 14:18:10.914 | Minigame: Joaquin | Type: GuitarHit | Outcome: Success | Difficulty: Normal | ExpectedTime: 56.5760 | ActualTime: 56.4529 | TimingOffset: -0.1231 | TimingError: 0.1231 | ReactionTime: N/A | SpatialAccuracy: N/A | DirectionAccuracy: N/A | CorrectHand: N/A</t>
        </is>
      </c>
    </row>
    <row r="67" ht="17" customHeight="1">
      <c r="A67" s="6">
        <v>66</v>
      </c>
      <c r="B67" s="6" t="inlineStr">
        <is>
          <t>2026-10-02 14:18:11.916</t>
        </is>
      </c>
      <c r="C67" s="6" t="inlineStr">
        <is>
          <t>Interaction</t>
        </is>
      </c>
      <c r="D67" s="6" t="inlineStr">
        <is>
          <t>Joaquin</t>
        </is>
      </c>
      <c r="E67" s="6" t="inlineStr">
        <is>
          <t>PlayerHit</t>
        </is>
      </c>
      <c r="F67" s="6" t="inlineStr">
        <is>
          <t>Failed</t>
        </is>
      </c>
      <c r="G67" s="6" t="inlineStr">
        <is>
          <t>Normal</t>
        </is>
      </c>
      <c r="M67" s="6">
        <v>71</v>
      </c>
      <c r="N67" s="6" t="inlineStr">
        <is>
          <t>2026-10-02 14:18:11.916 | Minigame: Joaquin | Type: PlayerHit | Outcome: Failed | Difficulty: Normal | ExpectedTime: 57.4560 | ActualTime: N/A | TimingOffset: N/A | TimingError: N/A | ReactionTime: N/A | SpatialAccuracy: N/A | DirectionAccuracy: N/A | CorrectHand: N/A</t>
        </is>
      </c>
    </row>
    <row r="68" ht="17" customHeight="1">
      <c r="A68" s="0">
        <v>67</v>
      </c>
      <c r="B68" s="0" t="inlineStr">
        <is>
          <t>2026-10-02 14:18:13.921</t>
        </is>
      </c>
      <c r="C68" s="0" t="inlineStr">
        <is>
          <t>Interaction</t>
        </is>
      </c>
      <c r="D68" s="0" t="inlineStr">
        <is>
          <t>Joaquin</t>
        </is>
      </c>
      <c r="E68" s="0" t="inlineStr">
        <is>
          <t>PlayerHit</t>
        </is>
      </c>
      <c r="F68" s="0" t="inlineStr">
        <is>
          <t>Failed</t>
        </is>
      </c>
      <c r="G68" s="0" t="inlineStr">
        <is>
          <t>Normal</t>
        </is>
      </c>
      <c r="M68" s="0">
        <v>72</v>
      </c>
      <c r="N68" s="0" t="inlineStr">
        <is>
          <t>2026-10-02 14:18:13.921 | Minigame: Joaquin | Type: PlayerHit | Outcome: Failed | Difficulty: Normal | ExpectedTime: 59.4604 | ActualTime: N/A | TimingOffset: N/A | TimingError: N/A | ReactionTime: N/A | SpatialAccuracy: N/A | DirectionAccuracy: N/A | CorrectHand: N/A</t>
        </is>
      </c>
    </row>
    <row r="69" ht="17" customHeight="1">
      <c r="A69" s="6">
        <v>68</v>
      </c>
      <c r="B69" s="6" t="inlineStr">
        <is>
          <t>2026-10-02 14:18:14.116</t>
        </is>
      </c>
      <c r="C69" s="6" t="inlineStr">
        <is>
          <t>Interaction</t>
        </is>
      </c>
      <c r="D69" s="6" t="inlineStr">
        <is>
          <t>Joaquin</t>
        </is>
      </c>
      <c r="E69" s="6" t="inlineStr">
        <is>
          <t>GuitarHit</t>
        </is>
      </c>
      <c r="F69" s="6" t="inlineStr">
        <is>
          <t>Success</t>
        </is>
      </c>
      <c r="G69" s="6" t="inlineStr">
        <is>
          <t>Normal</t>
        </is>
      </c>
      <c r="K69" s="4">
        <v>0.0073</v>
      </c>
      <c r="M69" s="6">
        <v>73</v>
      </c>
      <c r="N69" s="6" t="inlineStr">
        <is>
          <t>2026-10-02 14:18:14.116 | Minigame: Joaquin | Type: GuitarHit | Outcome: Success | Difficulty: Normal | ExpectedTime: 59.6480 | ActualTime: 59.6553 | TimingOffset: 0.0073 | TimingError: 0.0073 | ReactionTime: N/A | SpatialAccuracy: N/A | DirectionAccuracy: N/A | CorrectHand: N/A</t>
        </is>
      </c>
    </row>
    <row r="70" ht="17" customHeight="1">
      <c r="A70" s="0">
        <v>69</v>
      </c>
      <c r="B70" s="0" t="inlineStr">
        <is>
          <t>2026-10-02 14:18:14.757</t>
        </is>
      </c>
      <c r="C70" s="0" t="inlineStr">
        <is>
          <t>Interaction</t>
        </is>
      </c>
      <c r="D70" s="0" t="inlineStr">
        <is>
          <t>Joaquin</t>
        </is>
      </c>
      <c r="E70" s="0" t="inlineStr">
        <is>
          <t>PlayerHit</t>
        </is>
      </c>
      <c r="F70" s="0" t="inlineStr">
        <is>
          <t>Failed</t>
        </is>
      </c>
      <c r="G70" s="0" t="inlineStr">
        <is>
          <t>Normal</t>
        </is>
      </c>
      <c r="M70" s="0">
        <v>74</v>
      </c>
      <c r="N70" s="0" t="inlineStr">
        <is>
          <t>2026-10-02 14:18:14.757 | Minigame: Joaquin | Type: PlayerHit | Outcome: Failed | Difficulty: Normal | ExpectedTime: 60.2962 | ActualTime: N/A | TimingOffset: N/A | TimingError: N/A | ReactionTime: N/A | SpatialAccuracy: N/A | DirectionAccuracy: N/A | CorrectHand: N/A</t>
        </is>
      </c>
    </row>
    <row r="71" ht="17" customHeight="1">
      <c r="A71" s="6">
        <v>70</v>
      </c>
      <c r="B71" s="6" t="inlineStr">
        <is>
          <t>2026-10-02 14:18:15.913</t>
        </is>
      </c>
      <c r="C71" s="6" t="inlineStr">
        <is>
          <t>Interaction</t>
        </is>
      </c>
      <c r="D71" s="6" t="inlineStr">
        <is>
          <t>Joaquin</t>
        </is>
      </c>
      <c r="E71" s="6" t="inlineStr">
        <is>
          <t>PlayerHit</t>
        </is>
      </c>
      <c r="F71" s="6" t="inlineStr">
        <is>
          <t>Failed</t>
        </is>
      </c>
      <c r="G71" s="6" t="inlineStr">
        <is>
          <t>Normal</t>
        </is>
      </c>
      <c r="M71" s="6">
        <v>75</v>
      </c>
      <c r="N71" s="6" t="inlineStr">
        <is>
          <t>2026-10-02 14:18:15.913 | Minigame: Joaquin | Type: PlayerHit | Outcome: Failed | Difficulty: Normal | ExpectedTime: 61.4525 | ActualTime: N/A | TimingOffset: N/A | TimingError: N/A | ReactionTime: N/A | SpatialAccuracy: N/A | DirectionAccuracy: N/A | CorrectHand: N/A</t>
        </is>
      </c>
    </row>
    <row r="72" ht="17" customHeight="1">
      <c r="A72" s="0">
        <v>71</v>
      </c>
      <c r="B72" s="0" t="inlineStr">
        <is>
          <t>2026-10-02 14:18:19.116</t>
        </is>
      </c>
      <c r="C72" s="0" t="inlineStr">
        <is>
          <t>PlayerState</t>
        </is>
      </c>
      <c r="H72" s="0" t="inlineStr">
        <is>
          <t>Idle</t>
        </is>
      </c>
      <c r="M72" s="0">
        <v>76</v>
      </c>
      <c r="N72" s="0" t="inlineStr">
        <is>
          <t>2026-10-02 14:18:19.116 | PlayerState: Idle</t>
        </is>
      </c>
    </row>
    <row r="73" ht="17" customHeight="1">
      <c r="A73" s="6">
        <v>72</v>
      </c>
      <c r="B73" s="6" t="inlineStr">
        <is>
          <t>2026-10-02 14:18:20.856</t>
        </is>
      </c>
      <c r="C73" s="6" t="inlineStr">
        <is>
          <t>Interaction</t>
        </is>
      </c>
      <c r="D73" s="6" t="inlineStr">
        <is>
          <t>Shipi</t>
        </is>
      </c>
      <c r="E73" s="6" t="inlineStr">
        <is>
          <t>FoodCut</t>
        </is>
      </c>
      <c r="F73" s="6" t="inlineStr">
        <is>
          <t>Failed</t>
        </is>
      </c>
      <c r="G73" s="6" t="inlineStr">
        <is>
          <t>Normal</t>
        </is>
      </c>
      <c r="M73" s="6">
        <v>77</v>
      </c>
      <c r="N73" s="6" t="inlineStr">
        <is>
          <t>2026-10-02 14:18:20.856 | Minigame: Shipi | Type: FoodCut | Outcome: Failed | Difficulty: Normal | ExpectedTime: 66.6368 | ActualTime: N/A | TimingOffset: N/A | TimingError: N/A | ReactionTime: N/A | SpatialAccuracy: N/A | DirectionAccuracy: N/A | CorrectHand: N/A</t>
        </is>
      </c>
    </row>
    <row r="74" ht="17" customHeight="1">
      <c r="A74" s="0">
        <v>73</v>
      </c>
      <c r="B74" s="0" t="inlineStr">
        <is>
          <t>2026-10-02 14:18:20.856</t>
        </is>
      </c>
      <c r="C74" s="0" t="inlineStr">
        <is>
          <t>PlayerState</t>
        </is>
      </c>
      <c r="H74" s="0" t="inlineStr">
        <is>
          <t>Engaged</t>
        </is>
      </c>
      <c r="M74" s="0">
        <v>78</v>
      </c>
      <c r="N74" s="0" t="inlineStr">
        <is>
          <t>2026-10-02 14:18:20.856 | PlayerState: Engaged</t>
        </is>
      </c>
    </row>
    <row r="75" ht="17" customHeight="1">
      <c r="A75" s="6">
        <v>74</v>
      </c>
      <c r="B75" s="6" t="inlineStr">
        <is>
          <t>2026-10-02 14:18:21.816</t>
        </is>
      </c>
      <c r="C75" s="6" t="inlineStr">
        <is>
          <t>Interaction</t>
        </is>
      </c>
      <c r="D75" s="6" t="inlineStr">
        <is>
          <t>Shipi</t>
        </is>
      </c>
      <c r="E75" s="6" t="inlineStr">
        <is>
          <t>FoodCut</t>
        </is>
      </c>
      <c r="F75" s="6" t="inlineStr">
        <is>
          <t>Success</t>
        </is>
      </c>
      <c r="G75" s="6" t="inlineStr">
        <is>
          <t>Normal</t>
        </is>
      </c>
      <c r="K75" s="4">
        <v>0.817</v>
      </c>
      <c r="L75" s="4">
        <v>0.0278</v>
      </c>
      <c r="M75" s="6">
        <v>79</v>
      </c>
      <c r="N75" s="6" t="inlineStr">
        <is>
          <t>2026-10-02 14:18:21.816 | Minigame: Shipi | Type: FoodCut | Outcome: Success | Difficulty: Normal | ExpectedTime: 68.1728 | ActualTime: 67.3558 | TimingOffset: -0.8170 | TimingError: 0.8170 | ReactionTime: 0.0278 | SpatialAccuracy: N/A | DirectionAccuracy: 1.0000 | CorrectHand: N/A</t>
        </is>
      </c>
    </row>
    <row r="76" ht="17" customHeight="1">
      <c r="A76" s="0">
        <v>75</v>
      </c>
      <c r="B76" s="0" t="inlineStr">
        <is>
          <t>2026-10-02 14:18:24.057</t>
        </is>
      </c>
      <c r="C76" s="0" t="inlineStr">
        <is>
          <t>Interaction</t>
        </is>
      </c>
      <c r="D76" s="0" t="inlineStr">
        <is>
          <t>Shipi</t>
        </is>
      </c>
      <c r="E76" s="0" t="inlineStr">
        <is>
          <t>FoodCut</t>
        </is>
      </c>
      <c r="F76" s="0" t="inlineStr">
        <is>
          <t>Success</t>
        </is>
      </c>
      <c r="G76" s="0" t="inlineStr">
        <is>
          <t>Normal</t>
        </is>
      </c>
      <c r="K76" s="4">
        <v>0.1115</v>
      </c>
      <c r="L76" s="4">
        <v>0.7333</v>
      </c>
      <c r="M76" s="0">
        <v>80</v>
      </c>
      <c r="N76" s="0" t="inlineStr">
        <is>
          <t>2026-10-02 14:18:24.057 | Minigame: Shipi | Type: FoodCut | Outcome: Success | Difficulty: Normal | ExpectedTime: 69.7088 | ActualTime: 69.5973 | TimingOffset: -0.1115 | TimingError: 0.1115 | ReactionTime: 0.7333 | SpatialAccuracy: N/A | DirectionAccuracy: 1.0000 | CorrectHand: N/A</t>
        </is>
      </c>
    </row>
    <row r="77" ht="17" customHeight="1">
      <c r="A77" s="6">
        <v>76</v>
      </c>
      <c r="B77" s="6" t="inlineStr">
        <is>
          <t>2026-10-02 14:18:25.575</t>
        </is>
      </c>
      <c r="C77" s="6" t="inlineStr">
        <is>
          <t>Interaction</t>
        </is>
      </c>
      <c r="D77" s="6" t="inlineStr">
        <is>
          <t>Shipi</t>
        </is>
      </c>
      <c r="E77" s="6" t="inlineStr">
        <is>
          <t>FoodCut</t>
        </is>
      </c>
      <c r="F77" s="6" t="inlineStr">
        <is>
          <t>Success</t>
        </is>
      </c>
      <c r="G77" s="6" t="inlineStr">
        <is>
          <t>Normal</t>
        </is>
      </c>
      <c r="K77" s="4">
        <v>0.1304</v>
      </c>
      <c r="L77" s="4">
        <v>0.7144</v>
      </c>
      <c r="M77" s="6">
        <v>81</v>
      </c>
      <c r="N77" s="6" t="inlineStr">
        <is>
          <t>2026-10-02 14:18:25.575 | Minigame: Shipi | Type: FoodCut | Outcome: Success | Difficulty: Normal | ExpectedTime: 71.2448 | ActualTime: 71.1144 | TimingOffset: -0.1304 | TimingError: 0.1304 | ReactionTime: 0.7144 | SpatialAccuracy: N/A | DirectionAccuracy: 1.0000 | CorrectHand: N/A</t>
        </is>
      </c>
    </row>
    <row r="78" ht="17" customHeight="1">
      <c r="A78" s="0">
        <v>77</v>
      </c>
      <c r="B78" s="0" t="inlineStr">
        <is>
          <t>2026-10-02 14:18:26.966</t>
        </is>
      </c>
      <c r="C78" s="0" t="inlineStr">
        <is>
          <t>Interaction</t>
        </is>
      </c>
      <c r="D78" s="0" t="inlineStr">
        <is>
          <t>Shipi</t>
        </is>
      </c>
      <c r="E78" s="0" t="inlineStr">
        <is>
          <t>FoodCut</t>
        </is>
      </c>
      <c r="F78" s="0" t="inlineStr">
        <is>
          <t>Failed</t>
        </is>
      </c>
      <c r="G78" s="0" t="inlineStr">
        <is>
          <t>Normal</t>
        </is>
      </c>
      <c r="K78" s="4">
        <v>0.2742</v>
      </c>
      <c r="L78" s="4">
        <v>0.5706</v>
      </c>
      <c r="M78" s="0">
        <v>82</v>
      </c>
      <c r="N78" s="0" t="inlineStr">
        <is>
          <t>2026-10-02 14:18:26.966 | Minigame: Shipi | Type: FoodCut | Outcome: Failed | Difficulty: Normal | ExpectedTime: 72.7808 | ActualTime: 72.5066 | TimingOffset: -0.2742 | TimingError: 0.2742 | ReactionTime: 0.5706 | SpatialAccuracy: N/A | DirectionAccuracy: 0.0000 | CorrectHand: N/A</t>
        </is>
      </c>
    </row>
    <row r="79" ht="17" customHeight="1">
      <c r="A79" s="6">
        <v>78</v>
      </c>
      <c r="B79" s="6" t="inlineStr">
        <is>
          <t>2026-10-02 14:18:28.596</t>
        </is>
      </c>
      <c r="C79" s="6" t="inlineStr">
        <is>
          <t>Interaction</t>
        </is>
      </c>
      <c r="D79" s="6" t="inlineStr">
        <is>
          <t>Shipi</t>
        </is>
      </c>
      <c r="E79" s="6" t="inlineStr">
        <is>
          <t>FoodCut</t>
        </is>
      </c>
      <c r="F79" s="6" t="inlineStr">
        <is>
          <t>Failed</t>
        </is>
      </c>
      <c r="G79" s="6" t="inlineStr">
        <is>
          <t>Normal</t>
        </is>
      </c>
      <c r="K79" s="4">
        <v>0.1813</v>
      </c>
      <c r="L79" s="4">
        <v>0.6635</v>
      </c>
      <c r="M79" s="6">
        <v>83</v>
      </c>
      <c r="N79" s="6" t="inlineStr">
        <is>
          <t>2026-10-02 14:18:28.596 | Minigame: Shipi | Type: FoodCut | Outcome: Failed | Difficulty: Normal | ExpectedTime: 74.3168 | ActualTime: 74.1355 | TimingOffset: -0.1813 | TimingError: 0.1813 | ReactionTime: 0.6635 | SpatialAccuracy: N/A | DirectionAccuracy: 0.0000 | CorrectHand: N/A</t>
        </is>
      </c>
    </row>
    <row r="80" ht="17" customHeight="1">
      <c r="A80" s="0">
        <v>79</v>
      </c>
      <c r="B80" s="0" t="inlineStr">
        <is>
          <t>2026-10-02 14:18:30.016</t>
        </is>
      </c>
      <c r="C80" s="0" t="inlineStr">
        <is>
          <t>Interaction</t>
        </is>
      </c>
      <c r="D80" s="0" t="inlineStr">
        <is>
          <t>Shipi</t>
        </is>
      </c>
      <c r="E80" s="0" t="inlineStr">
        <is>
          <t>FoodCut</t>
        </is>
      </c>
      <c r="F80" s="0" t="inlineStr">
        <is>
          <t>Success</t>
        </is>
      </c>
      <c r="G80" s="0" t="inlineStr">
        <is>
          <t>Normal</t>
        </is>
      </c>
      <c r="K80" s="4">
        <v>0.2971</v>
      </c>
      <c r="L80" s="4">
        <v>0.5477</v>
      </c>
      <c r="M80" s="0">
        <v>84</v>
      </c>
      <c r="N80" s="0" t="inlineStr">
        <is>
          <t>2026-10-02 14:18:30.016 | Minigame: Shipi | Type: FoodCut | Outcome: Success | Difficulty: Normal | ExpectedTime: 75.8528 | ActualTime: 75.5557 | TimingOffset: -0.2971 | TimingError: 0.2971 | ReactionTime: 0.5477 | SpatialAccuracy: N/A | DirectionAccuracy: 1.0000 | CorrectHand: N/A</t>
        </is>
      </c>
    </row>
    <row r="81" ht="17" customHeight="1">
      <c r="A81" s="6">
        <v>80</v>
      </c>
      <c r="B81" s="6" t="inlineStr">
        <is>
          <t>2026-10-02 14:18:31.297</t>
        </is>
      </c>
      <c r="C81" s="6" t="inlineStr">
        <is>
          <t>Interaction</t>
        </is>
      </c>
      <c r="D81" s="6" t="inlineStr">
        <is>
          <t>Shipi</t>
        </is>
      </c>
      <c r="E81" s="6" t="inlineStr">
        <is>
          <t>FoodCut</t>
        </is>
      </c>
      <c r="F81" s="6" t="inlineStr">
        <is>
          <t>Failed</t>
        </is>
      </c>
      <c r="G81" s="6" t="inlineStr">
        <is>
          <t>Normal</t>
        </is>
      </c>
      <c r="M81" s="6">
        <v>85</v>
      </c>
      <c r="N81" s="6" t="inlineStr">
        <is>
          <t>2026-10-02 14:18:31.297 | Minigame: Shipi | Type: FoodCut | Outcome: Failed | Difficulty: Normal | ExpectedTime: 77.3888 | ActualTime: N/A | TimingOffset: N/A | TimingError: N/A | ReactionTime: N/A | SpatialAccuracy: N/A | DirectionAccuracy: N/A | CorrectHand: N/A</t>
        </is>
      </c>
    </row>
    <row r="82" ht="17" customHeight="1">
      <c r="A82" s="0">
        <v>81</v>
      </c>
      <c r="B82" s="0" t="inlineStr">
        <is>
          <t>2026-10-02 14:18:33.177</t>
        </is>
      </c>
      <c r="C82" s="0" t="inlineStr">
        <is>
          <t>Interaction</t>
        </is>
      </c>
      <c r="D82" s="0" t="inlineStr">
        <is>
          <t>Shipi</t>
        </is>
      </c>
      <c r="E82" s="0" t="inlineStr">
        <is>
          <t>FoodCut</t>
        </is>
      </c>
      <c r="F82" s="0" t="inlineStr">
        <is>
          <t>Success</t>
        </is>
      </c>
      <c r="G82" s="0" t="inlineStr">
        <is>
          <t>Normal</t>
        </is>
      </c>
      <c r="K82" s="4">
        <v>0.2083</v>
      </c>
      <c r="L82" s="4">
        <v>0.6365</v>
      </c>
      <c r="M82" s="0">
        <v>86</v>
      </c>
      <c r="N82" s="0" t="inlineStr">
        <is>
          <t>2026-10-02 14:18:33.177 | Minigame: Shipi | Type: FoodCut | Outcome: Success | Difficulty: Normal | ExpectedTime: 78.9248 | ActualTime: 78.7165 | TimingOffset: -0.2083 | TimingError: 0.2083 | ReactionTime: 0.6365 | SpatialAccuracy: N/A | DirectionAccuracy: 1.0000 | CorrectHand: N/A</t>
        </is>
      </c>
    </row>
    <row r="83" ht="17" customHeight="1">
      <c r="A83" s="6">
        <v>82</v>
      </c>
      <c r="B83" s="6" t="inlineStr">
        <is>
          <t>2026-10-02 14:18:34.555</t>
        </is>
      </c>
      <c r="C83" s="6" t="inlineStr">
        <is>
          <t>Interaction</t>
        </is>
      </c>
      <c r="D83" s="6" t="inlineStr">
        <is>
          <t>Shipi</t>
        </is>
      </c>
      <c r="E83" s="6" t="inlineStr">
        <is>
          <t>FoodCut</t>
        </is>
      </c>
      <c r="F83" s="6" t="inlineStr">
        <is>
          <t>Failed</t>
        </is>
      </c>
      <c r="G83" s="6" t="inlineStr">
        <is>
          <t>Normal</t>
        </is>
      </c>
      <c r="K83" s="4">
        <v>0.3657</v>
      </c>
      <c r="L83" s="4">
        <v>0.4791</v>
      </c>
      <c r="M83" s="6">
        <v>87</v>
      </c>
      <c r="N83" s="6" t="inlineStr">
        <is>
          <t>2026-10-02 14:18:34.555 | Minigame: Shipi | Type: FoodCut | Outcome: Failed | Difficulty: Normal | ExpectedTime: 80.4608 | ActualTime: 80.0951 | TimingOffset: -0.3657 | TimingError: 0.3657 | ReactionTime: 0.4791 | SpatialAccuracy: N/A | DirectionAccuracy: 0.0000 | CorrectHand: N/A</t>
        </is>
      </c>
    </row>
    <row r="84" ht="17" customHeight="1">
      <c r="A84" s="0">
        <v>83</v>
      </c>
      <c r="B84" s="0" t="inlineStr">
        <is>
          <t>2026-10-02 14:18:36.253</t>
        </is>
      </c>
      <c r="C84" s="0" t="inlineStr">
        <is>
          <t>Interaction</t>
        </is>
      </c>
      <c r="D84" s="0" t="inlineStr">
        <is>
          <t>Shipi</t>
        </is>
      </c>
      <c r="E84" s="0" t="inlineStr">
        <is>
          <t>FoodCut</t>
        </is>
      </c>
      <c r="F84" s="0" t="inlineStr">
        <is>
          <t>Success</t>
        </is>
      </c>
      <c r="G84" s="0" t="inlineStr">
        <is>
          <t>Normal</t>
        </is>
      </c>
      <c r="K84" s="4">
        <v>0.2028</v>
      </c>
      <c r="L84" s="4">
        <v>0.642</v>
      </c>
      <c r="M84" s="0">
        <v>88</v>
      </c>
      <c r="N84" s="0" t="inlineStr">
        <is>
          <t>2026-10-02 14:18:36.253 | Minigame: Shipi | Type: FoodCut | Outcome: Success | Difficulty: Normal | ExpectedTime: 81.9968 | ActualTime: 81.7940 | TimingOffset: -0.2028 | TimingError: 0.2028 | ReactionTime: 0.6420 | SpatialAccuracy: N/A | DirectionAccuracy: 1.0000 | CorrectHand: N/A</t>
        </is>
      </c>
    </row>
    <row r="85" ht="17" customHeight="1">
      <c r="A85" s="6">
        <v>84</v>
      </c>
      <c r="B85" s="6" t="inlineStr">
        <is>
          <t>2026-10-02 14:18:37.827</t>
        </is>
      </c>
      <c r="C85" s="6" t="inlineStr">
        <is>
          <t>Interaction</t>
        </is>
      </c>
      <c r="D85" s="6" t="inlineStr">
        <is>
          <t>Shipi</t>
        </is>
      </c>
      <c r="E85" s="6" t="inlineStr">
        <is>
          <t>FoodCut</t>
        </is>
      </c>
      <c r="F85" s="6" t="inlineStr">
        <is>
          <t>Success</t>
        </is>
      </c>
      <c r="G85" s="6" t="inlineStr">
        <is>
          <t>Normal</t>
        </is>
      </c>
      <c r="K85" s="4">
        <v>0.166</v>
      </c>
      <c r="L85" s="4">
        <v>0.6788</v>
      </c>
      <c r="M85" s="6">
        <v>89</v>
      </c>
      <c r="N85" s="6" t="inlineStr">
        <is>
          <t>2026-10-02 14:18:37.827 | Minigame: Shipi | Type: FoodCut | Outcome: Success | Difficulty: Normal | ExpectedTime: 83.5328 | ActualTime: 83.3668 | TimingOffset: -0.1660 | TimingError: 0.1660 | ReactionTime: 0.6788 | SpatialAccuracy: N/A | DirectionAccuracy: 1.0000 | CorrectHand: N/A</t>
        </is>
      </c>
    </row>
    <row r="86" ht="17" customHeight="1">
      <c r="A86" s="0">
        <v>85</v>
      </c>
      <c r="B86" s="0" t="inlineStr">
        <is>
          <t>2026-10-02 14:18:39.178</t>
        </is>
      </c>
      <c r="C86" s="0" t="inlineStr">
        <is>
          <t>Interaction</t>
        </is>
      </c>
      <c r="D86" s="0" t="inlineStr">
        <is>
          <t>Shipi</t>
        </is>
      </c>
      <c r="E86" s="0" t="inlineStr">
        <is>
          <t>FoodCut</t>
        </is>
      </c>
      <c r="F86" s="0" t="inlineStr">
        <is>
          <t>Success</t>
        </is>
      </c>
      <c r="G86" s="0" t="inlineStr">
        <is>
          <t>Normal</t>
        </is>
      </c>
      <c r="K86" s="4">
        <v>0.3515</v>
      </c>
      <c r="L86" s="4">
        <v>0.4933</v>
      </c>
      <c r="M86" s="0">
        <v>90</v>
      </c>
      <c r="N86" s="0" t="inlineStr">
        <is>
          <t>2026-10-02 14:18:39.178 | Minigame: Shipi | Type: FoodCut | Outcome: Success | Difficulty: Normal | ExpectedTime: 85.0688 | ActualTime: 84.7173 | TimingOffset: -0.3515 | TimingError: 0.3515 | ReactionTime: 0.4933 | SpatialAccuracy: N/A | DirectionAccuracy: 1.0000 | CorrectHand: N/A</t>
        </is>
      </c>
    </row>
    <row r="87" ht="17" customHeight="1">
      <c r="A87" s="6">
        <v>86</v>
      </c>
      <c r="B87" s="6" t="inlineStr">
        <is>
          <t>2026-10-02 14:18:40.793</t>
        </is>
      </c>
      <c r="C87" s="6" t="inlineStr">
        <is>
          <t>Interaction</t>
        </is>
      </c>
      <c r="D87" s="6" t="inlineStr">
        <is>
          <t>Shipi</t>
        </is>
      </c>
      <c r="E87" s="6" t="inlineStr">
        <is>
          <t>FoodCut</t>
        </is>
      </c>
      <c r="F87" s="6" t="inlineStr">
        <is>
          <t>Failed</t>
        </is>
      </c>
      <c r="G87" s="6" t="inlineStr">
        <is>
          <t>Normal</t>
        </is>
      </c>
      <c r="K87" s="4">
        <v>0.2727</v>
      </c>
      <c r="L87" s="4">
        <v>0.5721</v>
      </c>
      <c r="M87" s="6">
        <v>91</v>
      </c>
      <c r="N87" s="6" t="inlineStr">
        <is>
          <t>2026-10-02 14:18:40.793 | Minigame: Shipi | Type: FoodCut | Outcome: Failed | Difficulty: Normal | ExpectedTime: 86.6048 | ActualTime: 86.3321 | TimingOffset: -0.2727 | TimingError: 0.2727 | ReactionTime: 0.5721 | SpatialAccuracy: N/A | DirectionAccuracy: 0.0000 | CorrectHand: N/A</t>
        </is>
      </c>
    </row>
    <row r="88" ht="17" customHeight="1">
      <c r="A88" s="0">
        <v>87</v>
      </c>
      <c r="B88" s="0" t="inlineStr">
        <is>
          <t>2026-10-02 14:18:41.794</t>
        </is>
      </c>
      <c r="C88" s="0" t="inlineStr">
        <is>
          <t>Interaction</t>
        </is>
      </c>
      <c r="D88" s="0" t="inlineStr">
        <is>
          <t>Shipi</t>
        </is>
      </c>
      <c r="E88" s="0" t="inlineStr">
        <is>
          <t>FoodCut</t>
        </is>
      </c>
      <c r="F88" s="0" t="inlineStr">
        <is>
          <t>Failed</t>
        </is>
      </c>
      <c r="G88" s="0" t="inlineStr">
        <is>
          <t>Normal</t>
        </is>
      </c>
      <c r="K88" s="4">
        <v>0.806</v>
      </c>
      <c r="L88" s="4">
        <v>0.0388</v>
      </c>
      <c r="M88" s="0">
        <v>92</v>
      </c>
      <c r="N88" s="0" t="inlineStr">
        <is>
          <t>2026-10-02 14:18:41.794 | Minigame: Shipi | Type: FoodCut | Outcome: Failed | Difficulty: Normal | ExpectedTime: 88.1408 | ActualTime: 87.3348 | TimingOffset: -0.8060 | TimingError: 0.8060 | ReactionTime: 0.0388 | SpatialAccuracy: N/A | DirectionAccuracy: 0.0000 | CorrectHand: N/A</t>
        </is>
      </c>
    </row>
    <row r="89" ht="17" customHeight="1">
      <c r="A89" s="6">
        <v>88</v>
      </c>
      <c r="B89" s="6" t="inlineStr">
        <is>
          <t>2026-10-02 14:18:43.312</t>
        </is>
      </c>
      <c r="C89" s="6" t="inlineStr">
        <is>
          <t>Interaction</t>
        </is>
      </c>
      <c r="D89" s="6" t="inlineStr">
        <is>
          <t>Shipi</t>
        </is>
      </c>
      <c r="E89" s="6" t="inlineStr">
        <is>
          <t>FoodCut</t>
        </is>
      </c>
      <c r="F89" s="6" t="inlineStr">
        <is>
          <t>Success</t>
        </is>
      </c>
      <c r="G89" s="6" t="inlineStr">
        <is>
          <t>Normal</t>
        </is>
      </c>
      <c r="K89" s="4">
        <v>0.8243</v>
      </c>
      <c r="L89" s="4">
        <v>0.0205</v>
      </c>
      <c r="M89" s="6">
        <v>93</v>
      </c>
      <c r="N89" s="6" t="inlineStr">
        <is>
          <t>2026-10-02 14:18:43.312 | Minigame: Shipi | Type: FoodCut | Outcome: Success | Difficulty: Normal | ExpectedTime: 89.6768 | ActualTime: 88.8525 | TimingOffset: -0.8243 | TimingError: 0.8243 | ReactionTime: 0.0205 | SpatialAccuracy: N/A | DirectionAccuracy: 1.0000 | CorrectHand: N/A</t>
        </is>
      </c>
    </row>
    <row r="90" ht="17" customHeight="1">
      <c r="A90" s="0">
        <v>89</v>
      </c>
      <c r="B90" s="0" t="inlineStr">
        <is>
          <t>2026-10-02 14:18:46.376</t>
        </is>
      </c>
      <c r="C90" s="0" t="inlineStr">
        <is>
          <t>Interaction</t>
        </is>
      </c>
      <c r="D90" s="0" t="inlineStr">
        <is>
          <t>Shipi</t>
        </is>
      </c>
      <c r="E90" s="0" t="inlineStr">
        <is>
          <t>FoodClear</t>
        </is>
      </c>
      <c r="F90" s="0" t="inlineStr">
        <is>
          <t>Success</t>
        </is>
      </c>
      <c r="G90" s="0" t="inlineStr">
        <is>
          <t>Normal</t>
        </is>
      </c>
      <c r="M90" s="0">
        <v>94</v>
      </c>
      <c r="N90" s="0" t="inlineStr">
        <is>
          <t>2026-10-02 14:18:46.376 | Minigame: Shipi | Type: FoodClear | Outcome: Success | Difficulty: Normal | ExpectedTime: 91.2128 | ActualTime: N/A | TimingOffset: N/A | TimingError: N/A | ReactionTime: N/A | SpatialAccuracy: N/A | DirectionAccuracy: N/A | CorrectHand: N/A</t>
        </is>
      </c>
    </row>
    <row r="91" ht="17" customHeight="1">
      <c r="A91" s="6">
        <v>90</v>
      </c>
      <c r="B91" s="6" t="inlineStr">
        <is>
          <t>2026-10-02 14:18:47.908</t>
        </is>
      </c>
      <c r="C91" s="6" t="inlineStr">
        <is>
          <t>Interaction</t>
        </is>
      </c>
      <c r="D91" s="6" t="inlineStr">
        <is>
          <t>Shipi</t>
        </is>
      </c>
      <c r="E91" s="6" t="inlineStr">
        <is>
          <t>FoodClear</t>
        </is>
      </c>
      <c r="F91" s="6" t="inlineStr">
        <is>
          <t>Success</t>
        </is>
      </c>
      <c r="G91" s="6" t="inlineStr">
        <is>
          <t>Normal</t>
        </is>
      </c>
      <c r="M91" s="6">
        <v>95</v>
      </c>
      <c r="N91" s="6" t="inlineStr">
        <is>
          <t>2026-10-02 14:18:47.908 | Minigame: Shipi | Type: FoodClear | Outcome: Success | Difficulty: Normal | ExpectedTime: 92.7488 | ActualTime: N/A | TimingOffset: N/A | TimingError: N/A | ReactionTime: N/A | SpatialAccuracy: N/A | DirectionAccuracy: N/A | CorrectHand: N/A</t>
        </is>
      </c>
    </row>
    <row r="92" ht="17" customHeight="1">
      <c r="A92" s="0">
        <v>91</v>
      </c>
      <c r="B92" s="0" t="inlineStr">
        <is>
          <t>2026-10-02 14:18:47.935</t>
        </is>
      </c>
      <c r="C92" s="0" t="inlineStr">
        <is>
          <t>Interaction</t>
        </is>
      </c>
      <c r="D92" s="0" t="inlineStr">
        <is>
          <t>Shipi</t>
        </is>
      </c>
      <c r="E92" s="0" t="inlineStr">
        <is>
          <t>FoodCut</t>
        </is>
      </c>
      <c r="F92" s="0" t="inlineStr">
        <is>
          <t>Success</t>
        </is>
      </c>
      <c r="G92" s="0" t="inlineStr">
        <is>
          <t>Normal</t>
        </is>
      </c>
      <c r="K92" s="4">
        <v>0.8099</v>
      </c>
      <c r="L92" s="4">
        <v>0.0349</v>
      </c>
      <c r="M92" s="0">
        <v>96</v>
      </c>
      <c r="N92" s="0" t="inlineStr">
        <is>
          <t>2026-10-02 14:18:47.935 | Minigame: Shipi | Type: FoodCut | Outcome: Success | Difficulty: Normal | ExpectedTime: 94.2848 | ActualTime: 93.4749 | TimingOffset: -0.8099 | TimingError: 0.8099 | ReactionTime: 0.0349 | SpatialAccuracy: N/A | DirectionAccuracy: 1.0000 | CorrectHand: N/A</t>
        </is>
      </c>
    </row>
    <row r="93" ht="17" customHeight="1">
      <c r="A93" s="6">
        <v>92</v>
      </c>
      <c r="B93" s="6" t="inlineStr">
        <is>
          <t>2026-10-02 14:18:51.110</t>
        </is>
      </c>
      <c r="C93" s="6" t="inlineStr">
        <is>
          <t>Interaction</t>
        </is>
      </c>
      <c r="D93" s="6" t="inlineStr">
        <is>
          <t>JuanAndres</t>
        </is>
      </c>
      <c r="E93" s="6" t="inlineStr">
        <is>
          <t>GroomStroke</t>
        </is>
      </c>
      <c r="F93" s="6" t="inlineStr">
        <is>
          <t>Success</t>
        </is>
      </c>
      <c r="G93" s="6" t="inlineStr">
        <is>
          <t>Normal</t>
        </is>
      </c>
      <c r="K93" s="4">
        <v>1.4921</v>
      </c>
      <c r="M93" s="6">
        <v>97</v>
      </c>
      <c r="N93" s="6" t="inlineStr">
        <is>
          <t>2026-10-02 14:18:51.110 | Minigame: JuanAndres | Type: GroomStroke | Outcome: Success | Difficulty: Normal | ExpectedTime: 94.9760 | ActualTime: 96.4681 | TimingOffset: 1.4921 | TimingError: 1.4921 | ReactionTime: N/A | SpatialAccuracy: N/A | DirectionAccuracy: 1.0000 | CorrectHand: True</t>
        </is>
      </c>
    </row>
    <row r="94" ht="17" customHeight="1">
      <c r="A94" s="0">
        <v>93</v>
      </c>
      <c r="B94" s="0" t="inlineStr">
        <is>
          <t>2026-10-02 14:18:51.234</t>
        </is>
      </c>
      <c r="C94" s="0" t="inlineStr">
        <is>
          <t>Interaction</t>
        </is>
      </c>
      <c r="D94" s="0" t="inlineStr">
        <is>
          <t>JuanAndres</t>
        </is>
      </c>
      <c r="E94" s="0" t="inlineStr">
        <is>
          <t>GroomStroke</t>
        </is>
      </c>
      <c r="F94" s="0" t="inlineStr">
        <is>
          <t>Failed</t>
        </is>
      </c>
      <c r="G94" s="0" t="inlineStr">
        <is>
          <t>Normal</t>
        </is>
      </c>
      <c r="K94" s="4">
        <v>0.4237</v>
      </c>
      <c r="M94" s="0">
        <v>98</v>
      </c>
      <c r="N94" s="0" t="inlineStr">
        <is>
          <t>2026-10-02 14:18:51.234 | Minigame: JuanAndres | Type: GroomStroke | Outcome: Failed | Difficulty: Normal | ExpectedTime: 96.1280 | ActualTime: 96.5517 | TimingOffset: 0.4237 | TimingError: 0.4237 | ReactionTime: N/A | SpatialAccuracy: N/A | DirectionAccuracy: 0.0000 | CorrectHand: False</t>
        </is>
      </c>
    </row>
    <row r="95" ht="17" customHeight="1">
      <c r="A95" s="6">
        <v>94</v>
      </c>
      <c r="B95" s="6" t="inlineStr">
        <is>
          <t>2026-10-02 14:18:51.890</t>
        </is>
      </c>
      <c r="C95" s="6" t="inlineStr">
        <is>
          <t>Interaction</t>
        </is>
      </c>
      <c r="D95" s="6" t="inlineStr">
        <is>
          <t>JuanAndres</t>
        </is>
      </c>
      <c r="E95" s="6" t="inlineStr">
        <is>
          <t>GroomStroke</t>
        </is>
      </c>
      <c r="F95" s="6" t="inlineStr">
        <is>
          <t>Success</t>
        </is>
      </c>
      <c r="G95" s="6" t="inlineStr">
        <is>
          <t>Normal</t>
        </is>
      </c>
      <c r="K95" s="4">
        <v>1.0231</v>
      </c>
      <c r="M95" s="6">
        <v>99</v>
      </c>
      <c r="N95" s="6" t="inlineStr">
        <is>
          <t>2026-10-02 14:18:51.890 | Minigame: JuanAndres | Type: GroomStroke | Outcome: Success | Difficulty: Normal | ExpectedTime: 96.1280 | ActualTime: 97.1511 | TimingOffset: 1.0231 | TimingError: 1.0231 | ReactionTime: N/A | SpatialAccuracy: N/A | DirectionAccuracy: 1.0000 | CorrectHand: True</t>
        </is>
      </c>
    </row>
    <row r="96" ht="17" customHeight="1">
      <c r="A96" s="0">
        <v>95</v>
      </c>
      <c r="B96" s="0" t="inlineStr">
        <is>
          <t>2026-10-02 14:18:52.530</t>
        </is>
      </c>
      <c r="C96" s="0" t="inlineStr">
        <is>
          <t>Interaction</t>
        </is>
      </c>
      <c r="D96" s="0" t="inlineStr">
        <is>
          <t>JuanAndres</t>
        </is>
      </c>
      <c r="E96" s="0" t="inlineStr">
        <is>
          <t>GroomStroke</t>
        </is>
      </c>
      <c r="F96" s="0" t="inlineStr">
        <is>
          <t>Success</t>
        </is>
      </c>
      <c r="G96" s="0" t="inlineStr">
        <is>
          <t>Normal</t>
        </is>
      </c>
      <c r="K96" s="4">
        <v>0.4457</v>
      </c>
      <c r="M96" s="0">
        <v>100</v>
      </c>
      <c r="N96" s="0" t="inlineStr">
        <is>
          <t>2026-10-02 14:18:52.530 | Minigame: JuanAndres | Type: GroomStroke | Outcome: Success | Difficulty: Normal | ExpectedTime: 98.4320 | ActualTime: 97.9863 | TimingOffset: -0.4457 | TimingError: 0.4457 | ReactionTime: N/A | SpatialAccuracy: N/A | DirectionAccuracy: 1.0000 | CorrectHand: True</t>
        </is>
      </c>
    </row>
    <row r="97" ht="17" customHeight="1">
      <c r="A97" s="6">
        <v>96</v>
      </c>
      <c r="B97" s="6" t="inlineStr">
        <is>
          <t>2026-10-02 14:18:53.254</t>
        </is>
      </c>
      <c r="C97" s="6" t="inlineStr">
        <is>
          <t>Interaction</t>
        </is>
      </c>
      <c r="D97" s="6" t="inlineStr">
        <is>
          <t>JuanAndres</t>
        </is>
      </c>
      <c r="E97" s="6" t="inlineStr">
        <is>
          <t>GroomStroke</t>
        </is>
      </c>
      <c r="F97" s="6" t="inlineStr">
        <is>
          <t>Success</t>
        </is>
      </c>
      <c r="G97" s="6" t="inlineStr">
        <is>
          <t>Normal</t>
        </is>
      </c>
      <c r="K97" s="4">
        <v>0.9628</v>
      </c>
      <c r="M97" s="6">
        <v>101</v>
      </c>
      <c r="N97" s="6" t="inlineStr">
        <is>
          <t>2026-10-02 14:18:53.254 | Minigame: JuanAndres | Type: GroomStroke | Outcome: Success | Difficulty: Normal | ExpectedTime: 97.6640 | ActualTime: 98.6268 | TimingOffset: 0.9628 | TimingError: 0.9628 | ReactionTime: N/A | SpatialAccuracy: N/A | DirectionAccuracy: 1.0000 | CorrectHand: True</t>
        </is>
      </c>
    </row>
    <row r="98" ht="17" customHeight="1">
      <c r="A98" s="0">
        <v>97</v>
      </c>
      <c r="B98" s="0" t="inlineStr">
        <is>
          <t>2026-10-02 14:18:56.387</t>
        </is>
      </c>
      <c r="C98" s="0" t="inlineStr">
        <is>
          <t>Interaction</t>
        </is>
      </c>
      <c r="D98" s="0" t="inlineStr">
        <is>
          <t>JuanAndres</t>
        </is>
      </c>
      <c r="E98" s="0" t="inlineStr">
        <is>
          <t>GroomStroke</t>
        </is>
      </c>
      <c r="F98" s="0" t="inlineStr">
        <is>
          <t>Failed</t>
        </is>
      </c>
      <c r="G98" s="0" t="inlineStr">
        <is>
          <t>Normal</t>
        </is>
      </c>
      <c r="K98" s="4">
        <v>0.2915</v>
      </c>
      <c r="M98" s="0">
        <v>102</v>
      </c>
      <c r="N98" s="0" t="inlineStr">
        <is>
          <t>2026-10-02 14:18:56.387 | Minigame: JuanAndres | Type: GroomStroke | Outcome: Failed | Difficulty: Normal | ExpectedTime: 101.1200 | ActualTime: 101.4115 | TimingOffset: 0.2915 | TimingError: 0.2915 | ReactionTime: N/A | SpatialAccuracy: N/A | DirectionAccuracy: 0.0000 | CorrectHand: False</t>
        </is>
      </c>
    </row>
    <row r="99" ht="17" customHeight="1">
      <c r="A99" s="6">
        <v>98</v>
      </c>
      <c r="B99" s="6" t="inlineStr">
        <is>
          <t>2026-10-02 14:18:57.793</t>
        </is>
      </c>
      <c r="C99" s="6" t="inlineStr">
        <is>
          <t>Interaction</t>
        </is>
      </c>
      <c r="D99" s="6" t="inlineStr">
        <is>
          <t>JuanAndres</t>
        </is>
      </c>
      <c r="E99" s="6" t="inlineStr">
        <is>
          <t>GroomStroke</t>
        </is>
      </c>
      <c r="F99" s="6" t="inlineStr">
        <is>
          <t>Failed</t>
        </is>
      </c>
      <c r="G99" s="6" t="inlineStr">
        <is>
          <t>Normal</t>
        </is>
      </c>
      <c r="K99" s="4">
        <v>0.6348</v>
      </c>
      <c r="M99" s="6">
        <v>103</v>
      </c>
      <c r="N99" s="6" t="inlineStr">
        <is>
          <t>2026-10-02 14:18:57.793 | Minigame: JuanAndres | Type: GroomStroke | Outcome: Failed | Difficulty: Normal | ExpectedTime: 102.6560 | ActualTime: 103.2908 | TimingOffset: 0.6348 | TimingError: 0.6348 | ReactionTime: N/A | SpatialAccuracy: N/A | DirectionAccuracy: 1.0000 | CorrectHand: False</t>
        </is>
      </c>
    </row>
    <row r="100" ht="17" customHeight="1">
      <c r="A100" s="0">
        <v>99</v>
      </c>
      <c r="B100" s="0" t="inlineStr">
        <is>
          <t>2026-10-02 14:18:58.976</t>
        </is>
      </c>
      <c r="C100" s="0" t="inlineStr">
        <is>
          <t>Interaction</t>
        </is>
      </c>
      <c r="D100" s="0" t="inlineStr">
        <is>
          <t>JuanAndres</t>
        </is>
      </c>
      <c r="E100" s="0" t="inlineStr">
        <is>
          <t>GroomStroke</t>
        </is>
      </c>
      <c r="F100" s="0" t="inlineStr">
        <is>
          <t>Failed</t>
        </is>
      </c>
      <c r="G100" s="0" t="inlineStr">
        <is>
          <t>Normal</t>
        </is>
      </c>
      <c r="K100" s="4">
        <v>0.2542</v>
      </c>
      <c r="M100" s="0">
        <v>104</v>
      </c>
      <c r="N100" s="0" t="inlineStr">
        <is>
          <t>2026-10-02 14:18:58.976 | Minigame: JuanAndres | Type: GroomStroke | Outcome: Failed | Difficulty: Normal | ExpectedTime: 104.1920 | ActualTime: 104.4462 | TimingOffset: 0.2542 | TimingError: 0.2542 | ReactionTime: N/A | SpatialAccuracy: N/A | DirectionAccuracy: 1.0000 | CorrectHand: False</t>
        </is>
      </c>
    </row>
    <row r="101" ht="17" customHeight="1">
      <c r="A101" s="6">
        <v>100</v>
      </c>
      <c r="B101" s="6" t="inlineStr">
        <is>
          <t>2026-10-02 14:18:58.976</t>
        </is>
      </c>
      <c r="C101" s="6" t="inlineStr">
        <is>
          <t>PlayerState</t>
        </is>
      </c>
      <c r="H101" s="6" t="inlineStr">
        <is>
          <t>Overloaded</t>
        </is>
      </c>
      <c r="M101" s="6">
        <v>105</v>
      </c>
      <c r="N101" s="6" t="inlineStr">
        <is>
          <t>2026-10-02 14:18:58.976 | PlayerState: Overloaded</t>
        </is>
      </c>
    </row>
    <row r="102" ht="17" customHeight="1">
      <c r="A102" s="0">
        <v>101</v>
      </c>
      <c r="B102" s="0" t="inlineStr">
        <is>
          <t>2026-10-02 14:18:58.979</t>
        </is>
      </c>
      <c r="C102" s="0" t="inlineStr">
        <is>
          <t>DifficultyChanged</t>
        </is>
      </c>
      <c r="D102" s="0" t="inlineStr">
        <is>
          <t>JuanAndres</t>
        </is>
      </c>
      <c r="I102" s="0" t="inlineStr">
        <is>
          <t>Normal -&gt; Easy</t>
        </is>
      </c>
      <c r="J102" s="0" t="inlineStr">
        <is>
          <t>PlayerState: Overloaded</t>
        </is>
      </c>
      <c r="M102" s="0">
        <v>106</v>
      </c>
      <c r="N102" s="0" t="inlineStr">
        <is>
          <t>2026-10-02 14:18:58.979 | DifficultyChanged: Normal -&gt; Easy | Reason: PlayerState: Overloaded | Minigame: JuanAndres | RecentSuccessRate: 0.57</t>
        </is>
      </c>
    </row>
    <row r="103" ht="17" customHeight="1">
      <c r="A103" s="6">
        <v>102</v>
      </c>
      <c r="B103" s="6" t="inlineStr">
        <is>
          <t>2026-10-02 14:18:58.980</t>
        </is>
      </c>
      <c r="C103" s="6" t="inlineStr">
        <is>
          <t>PlayerState</t>
        </is>
      </c>
      <c r="H103" s="6" t="inlineStr">
        <is>
          <t>Engaged</t>
        </is>
      </c>
      <c r="M103" s="6">
        <v>107</v>
      </c>
      <c r="N103" s="6" t="inlineStr">
        <is>
          <t>2026-10-02 14:18:58.980 | PlayerState: Engaged</t>
        </is>
      </c>
    </row>
    <row r="104" ht="17" customHeight="1">
      <c r="A104" s="0">
        <v>103</v>
      </c>
      <c r="B104" s="0" t="inlineStr">
        <is>
          <t>2026-10-02 14:19:00.576</t>
        </is>
      </c>
      <c r="C104" s="0" t="inlineStr">
        <is>
          <t>Interaction</t>
        </is>
      </c>
      <c r="D104" s="0" t="inlineStr">
        <is>
          <t>JuanAndres</t>
        </is>
      </c>
      <c r="E104" s="0" t="inlineStr">
        <is>
          <t>GroomStroke</t>
        </is>
      </c>
      <c r="F104" s="0" t="inlineStr">
        <is>
          <t>Success</t>
        </is>
      </c>
      <c r="G104" s="0" t="inlineStr">
        <is>
          <t>Normal</t>
        </is>
      </c>
      <c r="K104" s="4">
        <v>1.0312</v>
      </c>
      <c r="M104" s="0">
        <v>108</v>
      </c>
      <c r="N104" s="0" t="inlineStr">
        <is>
          <t>2026-10-02 14:19:00.576 | Minigame: JuanAndres | Type: GroomStroke | Outcome: Success | Difficulty: Normal | ExpectedTime: 104.9600 | ActualTime: 105.9912 | TimingOffset: 1.0312 | TimingError: 1.0312 | ReactionTime: N/A | SpatialAccuracy: N/A | DirectionAccuracy: 1.0000 | CorrectHand: True</t>
        </is>
      </c>
    </row>
    <row r="105" ht="17" customHeight="1">
      <c r="A105" s="6">
        <v>104</v>
      </c>
      <c r="B105" s="6" t="inlineStr">
        <is>
          <t>2026-10-02 14:19:01.732</t>
        </is>
      </c>
      <c r="C105" s="6" t="inlineStr">
        <is>
          <t>Interaction</t>
        </is>
      </c>
      <c r="D105" s="6" t="inlineStr">
        <is>
          <t>JuanAndres</t>
        </is>
      </c>
      <c r="E105" s="6" t="inlineStr">
        <is>
          <t>GroomStroke</t>
        </is>
      </c>
      <c r="F105" s="6" t="inlineStr">
        <is>
          <t>Success</t>
        </is>
      </c>
      <c r="G105" s="6" t="inlineStr">
        <is>
          <t>Normal</t>
        </is>
      </c>
      <c r="K105" s="4">
        <v>2.6205</v>
      </c>
      <c r="M105" s="6">
        <v>109</v>
      </c>
      <c r="N105" s="6" t="inlineStr">
        <is>
          <t>2026-10-02 14:19:01.732 | Minigame: JuanAndres | Type: GroomStroke | Outcome: Success | Difficulty: Normal | ExpectedTime: 104.1920 | ActualTime: 106.8125 | TimingOffset: 2.6205 | TimingError: 2.6205 | ReactionTime: N/A | SpatialAccuracy: N/A | DirectionAccuracy: 1.0000 | CorrectHand: True</t>
        </is>
      </c>
    </row>
    <row r="106" ht="17" customHeight="1">
      <c r="A106" s="0">
        <v>105</v>
      </c>
      <c r="B106" s="0" t="inlineStr">
        <is>
          <t>2026-10-02 14:19:02.456</t>
        </is>
      </c>
      <c r="C106" s="0" t="inlineStr">
        <is>
          <t>Interaction</t>
        </is>
      </c>
      <c r="D106" s="0" t="inlineStr">
        <is>
          <t>JuanAndres</t>
        </is>
      </c>
      <c r="E106" s="0" t="inlineStr">
        <is>
          <t>GroomStroke</t>
        </is>
      </c>
      <c r="F106" s="0" t="inlineStr">
        <is>
          <t>Success</t>
        </is>
      </c>
      <c r="G106" s="0" t="inlineStr">
        <is>
          <t>Normal</t>
        </is>
      </c>
      <c r="K106" s="4">
        <v>1.0461</v>
      </c>
      <c r="M106" s="0">
        <v>110</v>
      </c>
      <c r="N106" s="0" t="inlineStr">
        <is>
          <t>2026-10-02 14:19:02.456 | Minigame: JuanAndres | Type: GroomStroke | Outcome: Success | Difficulty: Normal | ExpectedTime: 106.8800 | ActualTime: 107.9261 | TimingOffset: 1.0461 | TimingError: 1.0461 | ReactionTime: N/A | SpatialAccuracy: N/A | DirectionAccuracy: 1.0000 | CorrectHand: True</t>
        </is>
      </c>
    </row>
    <row r="107" ht="17" customHeight="1">
      <c r="A107" s="6">
        <v>106</v>
      </c>
      <c r="B107" s="6" t="inlineStr">
        <is>
          <t>2026-10-02 14:19:03.334</t>
        </is>
      </c>
      <c r="C107" s="6" t="inlineStr">
        <is>
          <t>Interaction</t>
        </is>
      </c>
      <c r="D107" s="6" t="inlineStr">
        <is>
          <t>JuanAndres</t>
        </is>
      </c>
      <c r="E107" s="6" t="inlineStr">
        <is>
          <t>GroomStroke</t>
        </is>
      </c>
      <c r="F107" s="6" t="inlineStr">
        <is>
          <t>Failed</t>
        </is>
      </c>
      <c r="G107" s="6" t="inlineStr">
        <is>
          <t>Normal</t>
        </is>
      </c>
      <c r="K107" s="4">
        <v>0.7992</v>
      </c>
      <c r="M107" s="6">
        <v>111</v>
      </c>
      <c r="N107" s="6" t="inlineStr">
        <is>
          <t>2026-10-02 14:19:03.334 | Minigame: JuanAndres | Type: GroomStroke | Outcome: Failed | Difficulty: Normal | ExpectedTime: 108.0320 | ActualTime: 108.8312 | TimingOffset: 0.7992 | TimingError: 0.7992 | ReactionTime: N/A | SpatialAccuracy: N/A | DirectionAccuracy: 1.0000 | CorrectHand: False</t>
        </is>
      </c>
    </row>
    <row r="108" ht="17" customHeight="1">
      <c r="A108" s="0">
        <v>107</v>
      </c>
      <c r="B108" s="0" t="inlineStr">
        <is>
          <t>2026-10-02 14:19:03.974</t>
        </is>
      </c>
      <c r="C108" s="0" t="inlineStr">
        <is>
          <t>PlayerState</t>
        </is>
      </c>
      <c r="H108" s="0" t="inlineStr">
        <is>
          <t>Idle</t>
        </is>
      </c>
      <c r="M108" s="0">
        <v>112</v>
      </c>
      <c r="N108" s="0" t="inlineStr">
        <is>
          <t>2026-10-02 14:19:03.974 | PlayerState: Idle</t>
        </is>
      </c>
    </row>
    <row r="109" ht="17" customHeight="1">
      <c r="A109" s="6">
        <v>108</v>
      </c>
      <c r="B109" s="6" t="inlineStr">
        <is>
          <t>2026-10-02 14:19:04.614</t>
        </is>
      </c>
      <c r="C109" s="6" t="inlineStr">
        <is>
          <t>Interaction</t>
        </is>
      </c>
      <c r="D109" s="6" t="inlineStr">
        <is>
          <t>JuanAndres</t>
        </is>
      </c>
      <c r="E109" s="6" t="inlineStr">
        <is>
          <t>GroomStroke</t>
        </is>
      </c>
      <c r="F109" s="6" t="inlineStr">
        <is>
          <t>Failed</t>
        </is>
      </c>
      <c r="G109" s="6" t="inlineStr">
        <is>
          <t>Normal</t>
        </is>
      </c>
      <c r="K109" s="4">
        <v>0.8441</v>
      </c>
      <c r="M109" s="6">
        <v>113</v>
      </c>
      <c r="N109" s="6" t="inlineStr">
        <is>
          <t>2026-10-02 14:19:04.614 | Minigame: JuanAndres | Type: GroomStroke | Outcome: Failed | Difficulty: Normal | ExpectedTime: 109.1840 | ActualTime: 110.0281 | TimingOffset: 0.8441 | TimingError: 0.8441 | ReactionTime: N/A | SpatialAccuracy: N/A | DirectionAccuracy: 0.0000 | CorrectHand: True</t>
        </is>
      </c>
    </row>
    <row r="110" ht="17" customHeight="1">
      <c r="A110" s="0">
        <v>109</v>
      </c>
      <c r="B110" s="0" t="inlineStr">
        <is>
          <t>2026-10-02 14:19:05.797</t>
        </is>
      </c>
      <c r="C110" s="0" t="inlineStr">
        <is>
          <t>Interaction</t>
        </is>
      </c>
      <c r="D110" s="0" t="inlineStr">
        <is>
          <t>JuanAndres</t>
        </is>
      </c>
      <c r="E110" s="0" t="inlineStr">
        <is>
          <t>GroomStroke</t>
        </is>
      </c>
      <c r="F110" s="0" t="inlineStr">
        <is>
          <t>Failed</t>
        </is>
      </c>
      <c r="G110" s="0" t="inlineStr">
        <is>
          <t>Normal</t>
        </is>
      </c>
      <c r="K110" s="4">
        <v>0.4495</v>
      </c>
      <c r="M110" s="0">
        <v>114</v>
      </c>
      <c r="N110" s="0" t="inlineStr">
        <is>
          <t>2026-10-02 14:19:05.797 | Minigame: JuanAndres | Type: GroomStroke | Outcome: Failed | Difficulty: Normal | ExpectedTime: 111.1040 | ActualTime: 110.6545 | TimingOffset: -0.4495 | TimingError: 0.4495 | ReactionTime: N/A | SpatialAccuracy: N/A | DirectionAccuracy: 1.0000 | CorrectHand: False</t>
        </is>
      </c>
    </row>
    <row r="111" ht="17" customHeight="1">
      <c r="A111" s="6">
        <v>110</v>
      </c>
      <c r="B111" s="6" t="inlineStr">
        <is>
          <t>2026-10-02 14:19:08.275</t>
        </is>
      </c>
      <c r="C111" s="6" t="inlineStr">
        <is>
          <t>Interaction</t>
        </is>
      </c>
      <c r="D111" s="6" t="inlineStr">
        <is>
          <t>JuanAndres</t>
        </is>
      </c>
      <c r="E111" s="6" t="inlineStr">
        <is>
          <t>GroomStroke</t>
        </is>
      </c>
      <c r="F111" s="6" t="inlineStr">
        <is>
          <t>Failed</t>
        </is>
      </c>
      <c r="G111" s="6" t="inlineStr">
        <is>
          <t>Normal</t>
        </is>
      </c>
      <c r="K111" s="4">
        <v>0.6237</v>
      </c>
      <c r="M111" s="6">
        <v>115</v>
      </c>
      <c r="N111" s="6" t="inlineStr">
        <is>
          <t>2026-10-02 14:19:08.275 | Minigame: JuanAndres | Type: GroomStroke | Outcome: Failed | Difficulty: Normal | ExpectedTime: 113.0240 | ActualTime: 113.6477 | TimingOffset: 0.6237 | TimingError: 0.6237 | ReactionTime: N/A | SpatialAccuracy: N/A | DirectionAccuracy: 0.0000 | CorrectHand: True</t>
        </is>
      </c>
    </row>
    <row r="112" ht="17" customHeight="1">
      <c r="A112" s="0">
        <v>111</v>
      </c>
      <c r="B112" s="0" t="inlineStr">
        <is>
          <t>2026-10-02 14:19:08.470</t>
        </is>
      </c>
      <c r="C112" s="0" t="inlineStr">
        <is>
          <t>Interaction</t>
        </is>
      </c>
      <c r="D112" s="0" t="inlineStr">
        <is>
          <t>JuanAndres</t>
        </is>
      </c>
      <c r="E112" s="0" t="inlineStr">
        <is>
          <t>GroomStroke</t>
        </is>
      </c>
      <c r="F112" s="0" t="inlineStr">
        <is>
          <t>Success</t>
        </is>
      </c>
      <c r="G112" s="0" t="inlineStr">
        <is>
          <t>Normal</t>
        </is>
      </c>
      <c r="K112" s="4">
        <v>0.4482</v>
      </c>
      <c r="M112" s="0">
        <v>116</v>
      </c>
      <c r="N112" s="0" t="inlineStr">
        <is>
          <t>2026-10-02 14:19:08.470 | Minigame: JuanAndres | Type: GroomStroke | Outcome: Success | Difficulty: Normal | ExpectedTime: 113.0240 | ActualTime: 112.5758 | TimingOffset: -0.4482 | TimingError: 0.4482 | ReactionTime: N/A | SpatialAccuracy: N/A | DirectionAccuracy: 1.0000 | CorrectHand: True</t>
        </is>
      </c>
    </row>
    <row r="113" ht="17" customHeight="1">
      <c r="A113" s="6">
        <v>112</v>
      </c>
      <c r="B113" s="6" t="inlineStr">
        <is>
          <t>2026-10-02 14:19:09.390</t>
        </is>
      </c>
      <c r="C113" s="6" t="inlineStr">
        <is>
          <t>Interaction</t>
        </is>
      </c>
      <c r="D113" s="6" t="inlineStr">
        <is>
          <t>JuanAndres</t>
        </is>
      </c>
      <c r="E113" s="6" t="inlineStr">
        <is>
          <t>GroomStroke</t>
        </is>
      </c>
      <c r="F113" s="6" t="inlineStr">
        <is>
          <t>Success</t>
        </is>
      </c>
      <c r="G113" s="6" t="inlineStr">
        <is>
          <t>Normal</t>
        </is>
      </c>
      <c r="K113" s="4">
        <v>0.7189</v>
      </c>
      <c r="M113" s="6">
        <v>117</v>
      </c>
      <c r="N113" s="6" t="inlineStr">
        <is>
          <t>2026-10-02 14:19:09.390 | Minigame: JuanAndres | Type: GroomStroke | Outcome: Success | Difficulty: Normal | ExpectedTime: 113.7920 | ActualTime: 114.5109 | TimingOffset: 0.7189 | TimingError: 0.7189 | ReactionTime: N/A | SpatialAccuracy: N/A | DirectionAccuracy: 1.0000 | CorrectHand: True</t>
        </is>
      </c>
    </row>
    <row r="114" ht="17" customHeight="1">
      <c r="A114" s="0">
        <v>113</v>
      </c>
      <c r="B114" s="0" t="inlineStr">
        <is>
          <t>2026-10-02 14:19:10.948</t>
        </is>
      </c>
      <c r="C114" s="0" t="inlineStr">
        <is>
          <t>Interaction</t>
        </is>
      </c>
      <c r="D114" s="0" t="inlineStr">
        <is>
          <t>JuanAndres</t>
        </is>
      </c>
      <c r="E114" s="0" t="inlineStr">
        <is>
          <t>GroomStroke</t>
        </is>
      </c>
      <c r="F114" s="0" t="inlineStr">
        <is>
          <t>Failed</t>
        </is>
      </c>
      <c r="G114" s="0" t="inlineStr">
        <is>
          <t>Easy</t>
        </is>
      </c>
      <c r="K114" s="4">
        <v>0.0714</v>
      </c>
      <c r="M114" s="0">
        <v>118</v>
      </c>
      <c r="N114" s="0" t="inlineStr">
        <is>
          <t>2026-10-02 14:19:10.948 | Minigame: JuanAndres | Type: GroomStroke | Outcome: Failed | Difficulty: Easy | ExpectedTime: 116.0960 | ActualTime: 116.1674 | TimingOffset: 0.0714 | TimingError: 0.0714 | ReactionTime: N/A | SpatialAccuracy: N/A | DirectionAccuracy: 0.0000 | CorrectHand: True</t>
        </is>
      </c>
    </row>
    <row r="115" ht="17" customHeight="1">
      <c r="A115" s="6">
        <v>114</v>
      </c>
      <c r="B115" s="6" t="inlineStr">
        <is>
          <t>2026-10-02 14:19:10.949</t>
        </is>
      </c>
      <c r="C115" s="6" t="inlineStr">
        <is>
          <t>PlayerState</t>
        </is>
      </c>
      <c r="H115" s="6" t="inlineStr">
        <is>
          <t>Engaged</t>
        </is>
      </c>
      <c r="M115" s="6">
        <v>119</v>
      </c>
      <c r="N115" s="6" t="inlineStr">
        <is>
          <t>2026-10-02 14:19:10.949 | PlayerState: Engaged</t>
        </is>
      </c>
    </row>
    <row r="116" ht="17" customHeight="1">
      <c r="A116" s="0">
        <v>115</v>
      </c>
      <c r="B116" s="0" t="inlineStr">
        <is>
          <t>2026-10-02 14:19:11.993</t>
        </is>
      </c>
      <c r="C116" s="0" t="inlineStr">
        <is>
          <t>Interaction</t>
        </is>
      </c>
      <c r="D116" s="0" t="inlineStr">
        <is>
          <t>JuanAndres</t>
        </is>
      </c>
      <c r="E116" s="0" t="inlineStr">
        <is>
          <t>GroomStroke</t>
        </is>
      </c>
      <c r="F116" s="0" t="inlineStr">
        <is>
          <t>Failed</t>
        </is>
      </c>
      <c r="G116" s="0" t="inlineStr">
        <is>
          <t>Easy</t>
        </is>
      </c>
      <c r="K116" s="4">
        <v>0.4537</v>
      </c>
      <c r="M116" s="0">
        <v>120</v>
      </c>
      <c r="N116" s="0" t="inlineStr">
        <is>
          <t>2026-10-02 14:19:11.993 | Minigame: JuanAndres | Type: GroomStroke | Outcome: Failed | Difficulty: Easy | ExpectedTime: 117.2480 | ActualTime: 116.7943 | TimingOffset: -0.4537 | TimingError: 0.4537 | ReactionTime: N/A | SpatialAccuracy: N/A | DirectionAccuracy: 0.0000 | CorrectHand: False</t>
        </is>
      </c>
    </row>
    <row r="117" ht="17" customHeight="1">
      <c r="A117" s="6">
        <v>116</v>
      </c>
      <c r="B117" s="6" t="inlineStr">
        <is>
          <t>2026-10-02 14:19:14.137</t>
        </is>
      </c>
      <c r="C117" s="6" t="inlineStr">
        <is>
          <t>Interaction</t>
        </is>
      </c>
      <c r="D117" s="6" t="inlineStr">
        <is>
          <t>JuanAndres</t>
        </is>
      </c>
      <c r="E117" s="6" t="inlineStr">
        <is>
          <t>GroomStroke</t>
        </is>
      </c>
      <c r="F117" s="6" t="inlineStr">
        <is>
          <t>Success</t>
        </is>
      </c>
      <c r="G117" s="6" t="inlineStr">
        <is>
          <t>Easy</t>
        </is>
      </c>
      <c r="K117" s="4">
        <v>0.9562</v>
      </c>
      <c r="M117" s="6">
        <v>121</v>
      </c>
      <c r="N117" s="6" t="inlineStr">
        <is>
          <t>2026-10-02 14:19:14.137 | Minigame: JuanAndres | Type: GroomStroke | Outcome: Success | Difficulty: Easy | ExpectedTime: 118.4000 | ActualTime: 119.3562 | TimingOffset: 0.9562 | TimingError: 0.9562 | ReactionTime: N/A | SpatialAccuracy: N/A | DirectionAccuracy: 1.0000 | CorrectHand: True</t>
        </is>
      </c>
    </row>
    <row r="118" ht="17" customHeight="1">
      <c r="A118" s="0">
        <v>117</v>
      </c>
      <c r="B118" s="0" t="inlineStr">
        <is>
          <t>2026-10-02 14:19:15.586</t>
        </is>
      </c>
      <c r="C118" s="0" t="inlineStr">
        <is>
          <t>Interaction</t>
        </is>
      </c>
      <c r="D118" s="0" t="inlineStr">
        <is>
          <t>JuanAndres</t>
        </is>
      </c>
      <c r="E118" s="0" t="inlineStr">
        <is>
          <t>GroomStroke</t>
        </is>
      </c>
      <c r="F118" s="0" t="inlineStr">
        <is>
          <t>Failed</t>
        </is>
      </c>
      <c r="G118" s="0" t="inlineStr">
        <is>
          <t>Easy</t>
        </is>
      </c>
      <c r="K118" s="4">
        <v>1.1192</v>
      </c>
      <c r="M118" s="0">
        <v>122</v>
      </c>
      <c r="N118" s="0" t="inlineStr">
        <is>
          <t>2026-10-02 14:19:15.586 | Minigame: JuanAndres | Type: GroomStroke | Outcome: Failed | Difficulty: Easy | ExpectedTime: 119.9360 | ActualTime: 121.0552 | TimingOffset: 1.1192 | TimingError: 1.1192 | ReactionTime: N/A | SpatialAccuracy: N/A | DirectionAccuracy: 0.0000 | CorrectHand: True</t>
        </is>
      </c>
    </row>
    <row r="119" ht="17" customHeight="1">
      <c r="A119" s="6">
        <v>118</v>
      </c>
      <c r="B119" s="6" t="inlineStr">
        <is>
          <t>2026-10-02 14:19:16.630</t>
        </is>
      </c>
      <c r="C119" s="6" t="inlineStr">
        <is>
          <t>Interaction</t>
        </is>
      </c>
      <c r="D119" s="6" t="inlineStr">
        <is>
          <t>JuanAndres</t>
        </is>
      </c>
      <c r="E119" s="6" t="inlineStr">
        <is>
          <t>GroomStroke</t>
        </is>
      </c>
      <c r="F119" s="6" t="inlineStr">
        <is>
          <t>Success</t>
        </is>
      </c>
      <c r="G119" s="6" t="inlineStr">
        <is>
          <t>Easy</t>
        </is>
      </c>
      <c r="K119" s="4">
        <v>0.5583</v>
      </c>
      <c r="M119" s="6">
        <v>123</v>
      </c>
      <c r="N119" s="6" t="inlineStr">
        <is>
          <t>2026-10-02 14:19:16.630 | Minigame: JuanAndres | Type: GroomStroke | Outcome: Success | Difficulty: Easy | ExpectedTime: 121.4720 | ActualTime: 122.0303 | TimingOffset: 0.5583 | TimingError: 0.5583 | ReactionTime: N/A | SpatialAccuracy: N/A | DirectionAccuracy: 1.0000 | CorrectHand: True</t>
        </is>
      </c>
    </row>
    <row r="120" ht="17" customHeight="1">
      <c r="A120" s="0">
        <v>119</v>
      </c>
      <c r="B120" s="0" t="inlineStr">
        <is>
          <t>2026-10-02 14:19:16.631</t>
        </is>
      </c>
      <c r="C120" s="0" t="inlineStr">
        <is>
          <t>PlayerState</t>
        </is>
      </c>
      <c r="H120" s="0" t="inlineStr">
        <is>
          <t>Overloaded</t>
        </is>
      </c>
      <c r="M120" s="0">
        <v>124</v>
      </c>
      <c r="N120" s="0" t="inlineStr">
        <is>
          <t>2026-10-02 14:19:16.631 | PlayerState: Overloaded</t>
        </is>
      </c>
    </row>
    <row r="121" ht="17" customHeight="1">
      <c r="A121" s="6">
        <v>120</v>
      </c>
      <c r="B121" s="6" t="inlineStr">
        <is>
          <t>2026-10-02 14:19:18.496</t>
        </is>
      </c>
      <c r="C121" s="6" t="inlineStr">
        <is>
          <t>Interaction</t>
        </is>
      </c>
      <c r="D121" s="6" t="inlineStr">
        <is>
          <t>JuanAndres</t>
        </is>
      </c>
      <c r="E121" s="6" t="inlineStr">
        <is>
          <t>GroomStroke</t>
        </is>
      </c>
      <c r="F121" s="6" t="inlineStr">
        <is>
          <t>Success</t>
        </is>
      </c>
      <c r="G121" s="6" t="inlineStr">
        <is>
          <t>Easy</t>
        </is>
      </c>
      <c r="K121" s="4">
        <v>0.518</v>
      </c>
      <c r="M121" s="6">
        <v>125</v>
      </c>
      <c r="N121" s="6" t="inlineStr">
        <is>
          <t>2026-10-02 14:19:18.496 | Minigame: JuanAndres | Type: GroomStroke | Outcome: Success | Difficulty: Easy | ExpectedTime: 123.3920 | ActualTime: 123.9100 | TimingOffset: 0.5180 | TimingError: 0.5180 | ReactionTime: N/A | SpatialAccuracy: N/A | DirectionAccuracy: 1.0000 | CorrectHand: True</t>
        </is>
      </c>
    </row>
    <row r="122" ht="17" customHeight="1">
      <c r="A122" s="0">
        <v>121</v>
      </c>
      <c r="B122" s="0" t="inlineStr">
        <is>
          <t>2026-10-02 14:19:20.927</t>
        </is>
      </c>
      <c r="C122" s="0" t="inlineStr">
        <is>
          <t>Interaction</t>
        </is>
      </c>
      <c r="D122" s="0" t="inlineStr">
        <is>
          <t>Danniel</t>
        </is>
      </c>
      <c r="E122" s="0" t="inlineStr">
        <is>
          <t>GunShoot</t>
        </is>
      </c>
      <c r="F122" s="0" t="inlineStr">
        <is>
          <t>Success</t>
        </is>
      </c>
      <c r="G122" s="0" t="inlineStr">
        <is>
          <t>Easy</t>
        </is>
      </c>
      <c r="K122" s="4">
        <v>0.1358</v>
      </c>
      <c r="M122" s="0">
        <v>126</v>
      </c>
      <c r="N122" s="0" t="inlineStr">
        <is>
          <t>2026-10-02 14:19:20.927 | Minigame: Danniel | Type: GunShoot | Outcome: Success | Difficulty: Easy | ExpectedTime: 126.4640 | ActualTime: 126.3282 | TimingOffset: -0.1358 | TimingError: 0.1358 | ReactionTime: N/A | SpatialAccuracy: N/A | DirectionAccuracy: N/A | CorrectHand: N/A</t>
        </is>
      </c>
    </row>
    <row r="123" ht="17" customHeight="1">
      <c r="A123" s="6">
        <v>122</v>
      </c>
      <c r="B123" s="6" t="inlineStr">
        <is>
          <t>2026-10-02 14:19:20.928</t>
        </is>
      </c>
      <c r="C123" s="6" t="inlineStr">
        <is>
          <t>PlayerState</t>
        </is>
      </c>
      <c r="H123" s="6" t="inlineStr">
        <is>
          <t>Engaged</t>
        </is>
      </c>
      <c r="M123" s="6">
        <v>127</v>
      </c>
      <c r="N123" s="6" t="inlineStr">
        <is>
          <t>2026-10-02 14:19:20.928 | PlayerState: Engaged</t>
        </is>
      </c>
    </row>
    <row r="124" ht="17" customHeight="1">
      <c r="A124" s="0">
        <v>123</v>
      </c>
      <c r="B124" s="0" t="inlineStr">
        <is>
          <t>2026-10-02 14:19:22.210</t>
        </is>
      </c>
      <c r="C124" s="0" t="inlineStr">
        <is>
          <t>Interaction</t>
        </is>
      </c>
      <c r="D124" s="0" t="inlineStr">
        <is>
          <t>Danniel</t>
        </is>
      </c>
      <c r="E124" s="0" t="inlineStr">
        <is>
          <t>GunShoot</t>
        </is>
      </c>
      <c r="F124" s="0" t="inlineStr">
        <is>
          <t>Success</t>
        </is>
      </c>
      <c r="G124" s="0" t="inlineStr">
        <is>
          <t>Easy</t>
        </is>
      </c>
      <c r="K124" s="4">
        <v>0.0012</v>
      </c>
      <c r="M124" s="0">
        <v>128</v>
      </c>
      <c r="N124" s="0" t="inlineStr">
        <is>
          <t>2026-10-02 14:19:22.210 | Minigame: Danniel | Type: GunShoot | Outcome: Success | Difficulty: Easy | ExpectedTime: 127.2320 | ActualTime: 127.2332 | TimingOffset: 0.0012 | TimingError: 0.0012 | ReactionTime: N/A | SpatialAccuracy: N/A | DirectionAccuracy: N/A | CorrectHand: N/A</t>
        </is>
      </c>
    </row>
    <row r="125" ht="17" customHeight="1">
      <c r="A125" s="6">
        <v>124</v>
      </c>
      <c r="B125" s="6" t="inlineStr">
        <is>
          <t>2026-10-02 14:19:24.646</t>
        </is>
      </c>
      <c r="C125" s="6" t="inlineStr">
        <is>
          <t>Interaction</t>
        </is>
      </c>
      <c r="D125" s="6" t="inlineStr">
        <is>
          <t>Danniel</t>
        </is>
      </c>
      <c r="E125" s="6" t="inlineStr">
        <is>
          <t>GunShoot</t>
        </is>
      </c>
      <c r="F125" s="6" t="inlineStr">
        <is>
          <t>Failed</t>
        </is>
      </c>
      <c r="G125" s="6" t="inlineStr">
        <is>
          <t>Easy</t>
        </is>
      </c>
      <c r="M125" s="6">
        <v>129</v>
      </c>
      <c r="N125" s="6" t="inlineStr">
        <is>
          <t>2026-10-02 14:19:24.646 | Minigame: Danniel | Type: GunShoot | Outcome: Failed | Difficulty: Easy | ExpectedTime: 130.1853 | ActualTime: N/A | TimingOffset: N/A | TimingError: N/A | ReactionTime: N/A | SpatialAccuracy: N/A | DirectionAccuracy: N/A | CorrectHand: N/A</t>
        </is>
      </c>
    </row>
    <row r="126" ht="17" customHeight="1">
      <c r="A126" s="0">
        <v>125</v>
      </c>
      <c r="B126" s="0" t="inlineStr">
        <is>
          <t>2026-10-02 14:19:27.472</t>
        </is>
      </c>
      <c r="C126" s="0" t="inlineStr">
        <is>
          <t>Interaction</t>
        </is>
      </c>
      <c r="D126" s="0" t="inlineStr">
        <is>
          <t>Danniel</t>
        </is>
      </c>
      <c r="E126" s="0" t="inlineStr">
        <is>
          <t>GunShoot</t>
        </is>
      </c>
      <c r="F126" s="0" t="inlineStr">
        <is>
          <t>Success</t>
        </is>
      </c>
      <c r="G126" s="0" t="inlineStr">
        <is>
          <t>Easy</t>
        </is>
      </c>
      <c r="K126" s="4">
        <v>0.0582</v>
      </c>
      <c r="M126" s="0">
        <v>130</v>
      </c>
      <c r="N126" s="0" t="inlineStr">
        <is>
          <t>2026-10-02 14:19:27.472 | Minigame: Danniel | Type: GunShoot | Outcome: Success | Difficulty: Easy | ExpectedTime: 131.8400 | ActualTime: 131.8982 | TimingOffset: 0.0582 | TimingError: 0.0582 | ReactionTime: N/A | SpatialAccuracy: N/A | DirectionAccuracy: N/A | CorrectHand: N/A</t>
        </is>
      </c>
    </row>
    <row r="127" ht="17" customHeight="1">
      <c r="A127" s="6">
        <v>126</v>
      </c>
      <c r="B127" s="6" t="inlineStr">
        <is>
          <t>2026-10-02 14:19:27.918</t>
        </is>
      </c>
      <c r="C127" s="6" t="inlineStr">
        <is>
          <t>Interaction</t>
        </is>
      </c>
      <c r="D127" s="6" t="inlineStr">
        <is>
          <t>Danniel</t>
        </is>
      </c>
      <c r="E127" s="6" t="inlineStr">
        <is>
          <t>GunShoot</t>
        </is>
      </c>
      <c r="F127" s="6" t="inlineStr">
        <is>
          <t>Success</t>
        </is>
      </c>
      <c r="G127" s="6" t="inlineStr">
        <is>
          <t>Easy</t>
        </is>
      </c>
      <c r="K127" s="4">
        <v>0.0054</v>
      </c>
      <c r="M127" s="6">
        <v>131</v>
      </c>
      <c r="N127" s="6" t="inlineStr">
        <is>
          <t>2026-10-02 14:19:27.918 | Minigame: Danniel | Type: GunShoot | Outcome: Success | Difficulty: Easy | ExpectedTime: 132.9920 | ActualTime: 132.9974 | TimingOffset: 0.0054 | TimingError: 0.0054 | ReactionTime: N/A | SpatialAccuracy: N/A | DirectionAccuracy: N/A | CorrectHand: N/A</t>
        </is>
      </c>
    </row>
    <row r="128" ht="17" customHeight="1">
      <c r="A128" s="0">
        <v>127</v>
      </c>
      <c r="B128" s="0" t="inlineStr">
        <is>
          <t>2026-10-02 14:19:28.308</t>
        </is>
      </c>
      <c r="C128" s="0" t="inlineStr">
        <is>
          <t>Interaction</t>
        </is>
      </c>
      <c r="D128" s="0" t="inlineStr">
        <is>
          <t>Danniel</t>
        </is>
      </c>
      <c r="E128" s="0" t="inlineStr">
        <is>
          <t>GunShoot</t>
        </is>
      </c>
      <c r="F128" s="0" t="inlineStr">
        <is>
          <t>Failed</t>
        </is>
      </c>
      <c r="G128" s="0" t="inlineStr">
        <is>
          <t>Easy</t>
        </is>
      </c>
      <c r="M128" s="0">
        <v>132</v>
      </c>
      <c r="N128" s="0" t="inlineStr">
        <is>
          <t>2026-10-02 14:19:28.308 | Minigame: Danniel | Type: GunShoot | Outcome: Failed | Difficulty: Easy | ExpectedTime: 133.8473 | ActualTime: N/A | TimingOffset: N/A | TimingError: N/A | ReactionTime: N/A | SpatialAccuracy: N/A | DirectionAccuracy: N/A | CorrectHand: N/A</t>
        </is>
      </c>
    </row>
    <row r="129" ht="17" customHeight="1">
      <c r="A129" s="6">
        <v>128</v>
      </c>
      <c r="B129" s="6" t="inlineStr">
        <is>
          <t>2026-10-02 14:19:29.366</t>
        </is>
      </c>
      <c r="C129" s="6" t="inlineStr">
        <is>
          <t>Interaction</t>
        </is>
      </c>
      <c r="D129" s="6" t="inlineStr">
        <is>
          <t>Danniel</t>
        </is>
      </c>
      <c r="E129" s="6" t="inlineStr">
        <is>
          <t>GunShoot</t>
        </is>
      </c>
      <c r="F129" s="6" t="inlineStr">
        <is>
          <t>Success</t>
        </is>
      </c>
      <c r="G129" s="6" t="inlineStr">
        <is>
          <t>Easy</t>
        </is>
      </c>
      <c r="K129" s="4">
        <v>0.0594</v>
      </c>
      <c r="M129" s="6">
        <v>133</v>
      </c>
      <c r="N129" s="6" t="inlineStr">
        <is>
          <t>2026-10-02 14:19:29.366 | Minigame: Danniel | Type: GunShoot | Outcome: Success | Difficulty: Easy | ExpectedTime: 134.1440 | ActualTime: 134.0846 | TimingOffset: -0.0594 | TimingError: 0.0594 | ReactionTime: N/A | SpatialAccuracy: N/A | DirectionAccuracy: N/A | CorrectHand: N/A</t>
        </is>
      </c>
    </row>
    <row r="130" ht="17" customHeight="1">
      <c r="A130" s="0">
        <v>129</v>
      </c>
      <c r="B130" s="0" t="inlineStr">
        <is>
          <t>2026-10-02 14:19:32.110</t>
        </is>
      </c>
      <c r="C130" s="0" t="inlineStr">
        <is>
          <t>Interaction</t>
        </is>
      </c>
      <c r="D130" s="0" t="inlineStr">
        <is>
          <t>Danniel</t>
        </is>
      </c>
      <c r="E130" s="0" t="inlineStr">
        <is>
          <t>GunShoot</t>
        </is>
      </c>
      <c r="F130" s="0" t="inlineStr">
        <is>
          <t>Failed</t>
        </is>
      </c>
      <c r="G130" s="0" t="inlineStr">
        <is>
          <t>Easy</t>
        </is>
      </c>
      <c r="M130" s="0">
        <v>134</v>
      </c>
      <c r="N130" s="0" t="inlineStr">
        <is>
          <t>2026-10-02 14:19:32.110 | Minigame: Danniel | Type: GunShoot | Outcome: Failed | Difficulty: Easy | ExpectedTime: 137.6488 | ActualTime: N/A | TimingOffset: N/A | TimingError: N/A | ReactionTime: N/A | SpatialAccuracy: N/A | DirectionAccuracy: N/A | CorrectHand: N/A</t>
        </is>
      </c>
    </row>
    <row r="131" ht="17" customHeight="1">
      <c r="A131" s="6">
        <v>130</v>
      </c>
      <c r="B131" s="6" t="inlineStr">
        <is>
          <t>2026-10-02 14:19:32.694</t>
        </is>
      </c>
      <c r="C131" s="6" t="inlineStr">
        <is>
          <t>Interaction</t>
        </is>
      </c>
      <c r="D131" s="6" t="inlineStr">
        <is>
          <t>Danniel</t>
        </is>
      </c>
      <c r="E131" s="6" t="inlineStr">
        <is>
          <t>GunShoot</t>
        </is>
      </c>
      <c r="F131" s="6" t="inlineStr">
        <is>
          <t>Success</t>
        </is>
      </c>
      <c r="G131" s="6" t="inlineStr">
        <is>
          <t>Easy</t>
        </is>
      </c>
      <c r="K131" s="4">
        <v>0.1402</v>
      </c>
      <c r="M131" s="6">
        <v>135</v>
      </c>
      <c r="N131" s="6" t="inlineStr">
        <is>
          <t>2026-10-02 14:19:32.694 | Minigame: Danniel | Type: GunShoot | Outcome: Success | Difficulty: Easy | ExpectedTime: 137.2160 | ActualTime: 137.3562 | TimingOffset: 0.1402 | TimingError: 0.1402 | ReactionTime: N/A | SpatialAccuracy: N/A | DirectionAccuracy: N/A | CorrectHand: N/A</t>
        </is>
      </c>
    </row>
    <row r="132" ht="17" customHeight="1">
      <c r="A132" s="0">
        <v>131</v>
      </c>
      <c r="B132" s="0" t="inlineStr">
        <is>
          <t>2026-10-02 14:19:34.992</t>
        </is>
      </c>
      <c r="C132" s="0" t="inlineStr">
        <is>
          <t>Interaction</t>
        </is>
      </c>
      <c r="D132" s="0" t="inlineStr">
        <is>
          <t>Danniel</t>
        </is>
      </c>
      <c r="E132" s="0" t="inlineStr">
        <is>
          <t>GunShoot</t>
        </is>
      </c>
      <c r="F132" s="0" t="inlineStr">
        <is>
          <t>Failed</t>
        </is>
      </c>
      <c r="G132" s="0" t="inlineStr">
        <is>
          <t>Easy</t>
        </is>
      </c>
      <c r="M132" s="0">
        <v>136</v>
      </c>
      <c r="N132" s="0" t="inlineStr">
        <is>
          <t>2026-10-02 14:19:34.992 | Minigame: Danniel | Type: GunShoot | Outcome: Failed | Difficulty: Easy | ExpectedTime: 140.5314 | ActualTime: N/A | TimingOffset: N/A | TimingError: N/A | ReactionTime: N/A | SpatialAccuracy: N/A | DirectionAccuracy: N/A | CorrectHand: N/A</t>
        </is>
      </c>
    </row>
    <row r="133" ht="17" customHeight="1">
      <c r="A133" s="6">
        <v>132</v>
      </c>
      <c r="B133" s="6" t="inlineStr">
        <is>
          <t>2026-10-02 14:19:36.884</t>
        </is>
      </c>
      <c r="C133" s="6" t="inlineStr">
        <is>
          <t>Interaction</t>
        </is>
      </c>
      <c r="D133" s="6" t="inlineStr">
        <is>
          <t>Danniel</t>
        </is>
      </c>
      <c r="E133" s="6" t="inlineStr">
        <is>
          <t>GunShoot</t>
        </is>
      </c>
      <c r="F133" s="6" t="inlineStr">
        <is>
          <t>Success</t>
        </is>
      </c>
      <c r="G133" s="6" t="inlineStr">
        <is>
          <t>Easy</t>
        </is>
      </c>
      <c r="K133" s="4">
        <v>0.1773</v>
      </c>
      <c r="M133" s="6">
        <v>137</v>
      </c>
      <c r="N133" s="6" t="inlineStr">
        <is>
          <t>2026-10-02 14:19:36.884 | Minigame: Danniel | Type: GunShoot | Outcome: Success | Difficulty: Easy | ExpectedTime: 141.4400 | ActualTime: 141.6173 | TimingOffset: 0.1773 | TimingError: 0.1773 | ReactionTime: N/A | SpatialAccuracy: N/A | DirectionAccuracy: N/A | CorrectHand: N/A</t>
        </is>
      </c>
    </row>
    <row r="134" ht="17" customHeight="1">
      <c r="A134" s="0">
        <v>133</v>
      </c>
      <c r="B134" s="0" t="inlineStr">
        <is>
          <t>2026-10-02 14:19:38.974</t>
        </is>
      </c>
      <c r="C134" s="0" t="inlineStr">
        <is>
          <t>Interaction</t>
        </is>
      </c>
      <c r="D134" s="0" t="inlineStr">
        <is>
          <t>Danniel</t>
        </is>
      </c>
      <c r="E134" s="0" t="inlineStr">
        <is>
          <t>GunShoot</t>
        </is>
      </c>
      <c r="F134" s="0" t="inlineStr">
        <is>
          <t>Success</t>
        </is>
      </c>
      <c r="G134" s="0" t="inlineStr">
        <is>
          <t>Easy</t>
        </is>
      </c>
      <c r="K134" s="4">
        <v>0.1646</v>
      </c>
      <c r="M134" s="0">
        <v>138</v>
      </c>
      <c r="N134" s="0" t="inlineStr">
        <is>
          <t>2026-10-02 14:19:38.974 | Minigame: Danniel | Type: GunShoot | Outcome: Success | Difficulty: Easy | ExpectedTime: 143.3600 | ActualTime: 143.5246 | TimingOffset: 0.1646 | TimingError: 0.1646 | ReactionTime: N/A | SpatialAccuracy: N/A | DirectionAccuracy: N/A | CorrectHand: N/A</t>
        </is>
      </c>
    </row>
    <row r="135" ht="17" customHeight="1">
      <c r="A135" s="6">
        <v>134</v>
      </c>
      <c r="B135" s="6" t="inlineStr">
        <is>
          <t>2026-10-02 14:19:41.910</t>
        </is>
      </c>
      <c r="C135" s="6" t="inlineStr">
        <is>
          <t>Interaction</t>
        </is>
      </c>
      <c r="D135" s="6" t="inlineStr">
        <is>
          <t>Danniel</t>
        </is>
      </c>
      <c r="E135" s="6" t="inlineStr">
        <is>
          <t>GunShoot</t>
        </is>
      </c>
      <c r="F135" s="6" t="inlineStr">
        <is>
          <t>Failed</t>
        </is>
      </c>
      <c r="G135" s="6" t="inlineStr">
        <is>
          <t>Easy</t>
        </is>
      </c>
      <c r="M135" s="6">
        <v>139</v>
      </c>
      <c r="N135" s="6" t="inlineStr">
        <is>
          <t>2026-10-02 14:19:41.910 | Minigame: Danniel | Type: GunShoot | Outcome: Failed | Difficulty: Easy | ExpectedTime: 147.4501 | ActualTime: N/A | TimingOffset: N/A | TimingError: N/A | ReactionTime: N/A | SpatialAccuracy: N/A | DirectionAccuracy: N/A | CorrectHand: N/A</t>
        </is>
      </c>
    </row>
    <row r="136" ht="17" customHeight="1">
      <c r="A136" s="0">
        <v>135</v>
      </c>
      <c r="B136" s="0" t="inlineStr">
        <is>
          <t>2026-10-02 14:19:43.610</t>
        </is>
      </c>
      <c r="C136" s="0" t="inlineStr">
        <is>
          <t>Interaction</t>
        </is>
      </c>
      <c r="D136" s="0" t="inlineStr">
        <is>
          <t>Danniel</t>
        </is>
      </c>
      <c r="E136" s="0" t="inlineStr">
        <is>
          <t>GunShoot</t>
        </is>
      </c>
      <c r="F136" s="0" t="inlineStr">
        <is>
          <t>Failed</t>
        </is>
      </c>
      <c r="G136" s="0" t="inlineStr">
        <is>
          <t>Easy</t>
        </is>
      </c>
      <c r="M136" s="0">
        <v>140</v>
      </c>
      <c r="N136" s="0" t="inlineStr">
        <is>
          <t>2026-10-02 14:19:43.610 | Minigame: Danniel | Type: GunShoot | Outcome: Failed | Difficulty: Easy | ExpectedTime: 149.1495 | ActualTime: N/A | TimingOffset: N/A | TimingError: N/A | ReactionTime: N/A | SpatialAccuracy: N/A | DirectionAccuracy: N/A | CorrectHand: N/A</t>
        </is>
      </c>
    </row>
    <row r="137" ht="17" customHeight="1">
      <c r="A137" s="6">
        <v>136</v>
      </c>
      <c r="B137" s="6" t="inlineStr">
        <is>
          <t>2026-10-02 14:19:44.892</t>
        </is>
      </c>
      <c r="C137" s="6" t="inlineStr">
        <is>
          <t>Interaction</t>
        </is>
      </c>
      <c r="D137" s="6" t="inlineStr">
        <is>
          <t>Danniel</t>
        </is>
      </c>
      <c r="E137" s="6" t="inlineStr">
        <is>
          <t>GunShoot</t>
        </is>
      </c>
      <c r="F137" s="6" t="inlineStr">
        <is>
          <t>Failed</t>
        </is>
      </c>
      <c r="G137" s="6" t="inlineStr">
        <is>
          <t>Easy</t>
        </is>
      </c>
      <c r="M137" s="6">
        <v>141</v>
      </c>
      <c r="N137" s="6" t="inlineStr">
        <is>
          <t>2026-10-02 14:19:44.892 | Minigame: Danniel | Type: GunShoot | Outcome: Failed | Difficulty: Easy | ExpectedTime: 150.4305 | ActualTime: N/A | TimingOffset: N/A | TimingError: N/A | ReactionTime: N/A | SpatialAccuracy: N/A | DirectionAccuracy: N/A | CorrectHand: N/A</t>
        </is>
      </c>
    </row>
    <row r="138" ht="17" customHeight="1">
      <c r="A138" s="0">
        <v>137</v>
      </c>
      <c r="B138" s="0" t="inlineStr">
        <is>
          <t>2026-10-02 14:19:44.892</t>
        </is>
      </c>
      <c r="C138" s="0" t="inlineStr">
        <is>
          <t>PlayerState</t>
        </is>
      </c>
      <c r="H138" s="0" t="inlineStr">
        <is>
          <t>Overloaded</t>
        </is>
      </c>
      <c r="M138" s="0">
        <v>142</v>
      </c>
      <c r="N138" s="0" t="inlineStr">
        <is>
          <t>2026-10-02 14:19:44.892 | PlayerState: Overloaded</t>
        </is>
      </c>
    </row>
    <row r="139" ht="17" customHeight="1">
      <c r="A139" s="6">
        <v>138</v>
      </c>
      <c r="B139" s="6" t="inlineStr">
        <is>
          <t>2026-10-02 14:19:46.575</t>
        </is>
      </c>
      <c r="C139" s="6" t="inlineStr">
        <is>
          <t>Interaction</t>
        </is>
      </c>
      <c r="D139" s="6" t="inlineStr">
        <is>
          <t>Danniel</t>
        </is>
      </c>
      <c r="E139" s="6" t="inlineStr">
        <is>
          <t>GunShoot</t>
        </is>
      </c>
      <c r="F139" s="6" t="inlineStr">
        <is>
          <t>Success</t>
        </is>
      </c>
      <c r="G139" s="6" t="inlineStr">
        <is>
          <t>Easy</t>
        </is>
      </c>
      <c r="K139" s="4">
        <v>0.1565</v>
      </c>
      <c r="M139" s="6">
        <v>143</v>
      </c>
      <c r="N139" s="6" t="inlineStr">
        <is>
          <t>2026-10-02 14:19:46.575 | Minigame: Danniel | Type: GunShoot | Outcome: Success | Difficulty: Easy | ExpectedTime: 151.0400 | ActualTime: 151.1965 | TimingOffset: 0.1565 | TimingError: 0.1565 | ReactionTime: N/A | SpatialAccuracy: N/A | DirectionAccuracy: N/A | CorrectHand: N/A</t>
        </is>
      </c>
    </row>
    <row r="140" ht="17" customHeight="1">
      <c r="A140" s="0">
        <v>139</v>
      </c>
      <c r="B140" s="0" t="inlineStr">
        <is>
          <t>2026-10-02 14:19:46.966</t>
        </is>
      </c>
      <c r="C140" s="0" t="inlineStr">
        <is>
          <t>Interaction</t>
        </is>
      </c>
      <c r="D140" s="0" t="inlineStr">
        <is>
          <t>Danniel</t>
        </is>
      </c>
      <c r="E140" s="0" t="inlineStr">
        <is>
          <t>GunShoot</t>
        </is>
      </c>
      <c r="F140" s="0" t="inlineStr">
        <is>
          <t>Failed</t>
        </is>
      </c>
      <c r="G140" s="0" t="inlineStr">
        <is>
          <t>Easy</t>
        </is>
      </c>
      <c r="M140" s="0">
        <v>144</v>
      </c>
      <c r="N140" s="0" t="inlineStr">
        <is>
          <t>2026-10-02 14:19:46.966 | Minigame: Danniel | Type: GunShoot | Outcome: Failed | Difficulty: Easy | ExpectedTime: 152.5050 | ActualTime: N/A | TimingOffset: N/A | TimingError: N/A | ReactionTime: N/A | SpatialAccuracy: N/A | DirectionAccuracy: N/A | CorrectHand: N/A</t>
        </is>
      </c>
    </row>
    <row r="141" ht="17" customHeight="1">
      <c r="A141" s="6">
        <v>140</v>
      </c>
      <c r="B141" s="6" t="inlineStr">
        <is>
          <t>2026-10-02 14:19:50.250</t>
        </is>
      </c>
      <c r="C141" s="6" t="inlineStr">
        <is>
          <t>Interaction</t>
        </is>
      </c>
      <c r="D141" s="6" t="inlineStr">
        <is>
          <t>Danniel</t>
        </is>
      </c>
      <c r="E141" s="6" t="inlineStr">
        <is>
          <t>GunShoot</t>
        </is>
      </c>
      <c r="F141" s="6" t="inlineStr">
        <is>
          <t>Failed</t>
        </is>
      </c>
      <c r="G141" s="6" t="inlineStr">
        <is>
          <t>Easy</t>
        </is>
      </c>
      <c r="M141" s="6">
        <v>145</v>
      </c>
      <c r="N141" s="6" t="inlineStr">
        <is>
          <t>2026-10-02 14:19:50.250 | Minigame: Danniel | Type: GunShoot | Outcome: Failed | Difficulty: Easy | ExpectedTime: 155.7894 | ActualTime: N/A | TimingOffset: N/A | TimingError: N/A | ReactionTime: N/A | SpatialAccuracy: N/A | DirectionAccuracy: N/A | CorrectHand: N/A</t>
        </is>
      </c>
    </row>
    <row r="142" ht="17" customHeight="1">
      <c r="A142" s="0">
        <v>141</v>
      </c>
      <c r="B142" s="0" t="inlineStr">
        <is>
          <t>2026-10-02 14:19:55.250</t>
        </is>
      </c>
      <c r="C142" s="0" t="inlineStr">
        <is>
          <t>PlayerState</t>
        </is>
      </c>
      <c r="H142" s="0" t="inlineStr">
        <is>
          <t>Idle</t>
        </is>
      </c>
      <c r="M142" s="0">
        <v>146</v>
      </c>
      <c r="N142" s="0" t="inlineStr">
        <is>
          <t>2026-10-02 14:19:55.250 | PlayerState: Idle</t>
        </is>
      </c>
    </row>
    <row r="143" ht="17" customHeight="1">
      <c r="A143" s="6">
        <v>142</v>
      </c>
      <c r="B143" s="6" t="inlineStr">
        <is>
          <t>2026-10-02 14:20:00.053</t>
        </is>
      </c>
      <c r="C143" s="6" t="inlineStr">
        <is>
          <t>Interaction</t>
        </is>
      </c>
      <c r="D143" s="6" t="inlineStr">
        <is>
          <t>Jeremy</t>
        </is>
      </c>
      <c r="E143" s="6" t="inlineStr">
        <is>
          <t>SwordCut</t>
        </is>
      </c>
      <c r="F143" s="6" t="inlineStr">
        <is>
          <t>Failed</t>
        </is>
      </c>
      <c r="G143" s="6" t="inlineStr">
        <is>
          <t>Easy</t>
        </is>
      </c>
      <c r="K143" s="4">
        <v>0.1859</v>
      </c>
      <c r="M143" s="6">
        <v>147</v>
      </c>
      <c r="N143" s="6" t="inlineStr">
        <is>
          <t>2026-10-02 14:20:00.053 | Minigame: Jeremy | Type: SwordCut | Outcome: Failed | Difficulty: Easy | ExpectedTime: 165.4073 | ActualTime: 165.5933 | TimingOffset: 0.1859 | TimingError: 0.1859 | ReactionTime: N/A | SpatialAccuracy: N/A | DirectionAccuracy: 0.0000 | CorrectHand: True</t>
        </is>
      </c>
    </row>
    <row r="144" ht="17" customHeight="1">
      <c r="A144" s="0">
        <v>143</v>
      </c>
      <c r="B144" s="0" t="inlineStr">
        <is>
          <t>2026-10-02 14:20:00.054</t>
        </is>
      </c>
      <c r="C144" s="0" t="inlineStr">
        <is>
          <t>PlayerState</t>
        </is>
      </c>
      <c r="H144" s="0" t="inlineStr">
        <is>
          <t>Engaged</t>
        </is>
      </c>
      <c r="M144" s="0">
        <v>148</v>
      </c>
      <c r="N144" s="0" t="inlineStr">
        <is>
          <t>2026-10-02 14:20:00.054 | PlayerState: Engaged</t>
        </is>
      </c>
    </row>
    <row r="145" ht="17" customHeight="1">
      <c r="A145" s="6">
        <v>144</v>
      </c>
      <c r="B145" s="6" t="inlineStr">
        <is>
          <t>2026-10-02 14:20:02.016</t>
        </is>
      </c>
      <c r="C145" s="6" t="inlineStr">
        <is>
          <t>Interaction</t>
        </is>
      </c>
      <c r="D145" s="6" t="inlineStr">
        <is>
          <t>Jeremy</t>
        </is>
      </c>
      <c r="E145" s="6" t="inlineStr">
        <is>
          <t>SwordCut</t>
        </is>
      </c>
      <c r="F145" s="6" t="inlineStr">
        <is>
          <t>Success</t>
        </is>
      </c>
      <c r="G145" s="6" t="inlineStr">
        <is>
          <t>Easy</t>
        </is>
      </c>
      <c r="K145" s="4">
        <v>0.1499</v>
      </c>
      <c r="M145" s="6">
        <v>149</v>
      </c>
      <c r="N145" s="6" t="inlineStr">
        <is>
          <t>2026-10-02 14:20:02.016 | Minigame: Jeremy | Type: SwordCut | Outcome: Success | Difficulty: Easy | ExpectedTime: 167.7061 | ActualTime: 167.5563 | TimingOffset: -0.1499 | TimingError: 0.1499 | ReactionTime: N/A | SpatialAccuracy: N/A | DirectionAccuracy: 1.0000 | CorrectHand: True</t>
        </is>
      </c>
    </row>
    <row r="146" ht="17" customHeight="1">
      <c r="A146" s="0">
        <v>145</v>
      </c>
      <c r="B146" s="0" t="inlineStr">
        <is>
          <t>2026-10-02 14:20:05.093</t>
        </is>
      </c>
      <c r="C146" s="0" t="inlineStr">
        <is>
          <t>Interaction</t>
        </is>
      </c>
      <c r="D146" s="0" t="inlineStr">
        <is>
          <t>Jeremy</t>
        </is>
      </c>
      <c r="E146" s="0" t="inlineStr">
        <is>
          <t>SwordCut</t>
        </is>
      </c>
      <c r="F146" s="0" t="inlineStr">
        <is>
          <t>Missed</t>
        </is>
      </c>
      <c r="G146" s="0" t="inlineStr">
        <is>
          <t>Easy</t>
        </is>
      </c>
      <c r="M146" s="0">
        <v>150</v>
      </c>
      <c r="N146" s="0" t="inlineStr">
        <is>
          <t>2026-10-02 14:20:05.093 | Minigame: Jeremy | Type: SwordCut | Outcome: Missed | Difficulty: Easy | ExpectedTime: 170.0049 | ActualTime: N/A | TimingOffset: N/A | TimingError: N/A | ReactionTime: N/A | SpatialAccuracy: N/A | DirectionAccuracy: N/A | CorrectHand: N/A</t>
        </is>
      </c>
    </row>
    <row r="147" ht="17" customHeight="1">
      <c r="A147" s="6">
        <v>146</v>
      </c>
      <c r="B147" s="6" t="inlineStr">
        <is>
          <t>2026-10-02 14:20:06.945</t>
        </is>
      </c>
      <c r="C147" s="6" t="inlineStr">
        <is>
          <t>Interaction</t>
        </is>
      </c>
      <c r="D147" s="6" t="inlineStr">
        <is>
          <t>Jeremy</t>
        </is>
      </c>
      <c r="E147" s="6" t="inlineStr">
        <is>
          <t>SwordCut</t>
        </is>
      </c>
      <c r="F147" s="6" t="inlineStr">
        <is>
          <t>Failed</t>
        </is>
      </c>
      <c r="G147" s="6" t="inlineStr">
        <is>
          <t>Easy</t>
        </is>
      </c>
      <c r="K147" s="4">
        <v>0.1808</v>
      </c>
      <c r="M147" s="6">
        <v>151</v>
      </c>
      <c r="N147" s="6" t="inlineStr">
        <is>
          <t>2026-10-02 14:20:06.945 | Minigame: Jeremy | Type: SwordCut | Outcome: Failed | Difficulty: Easy | ExpectedTime: 172.3037 | ActualTime: 172.4844 | TimingOffset: 0.1808 | TimingError: 0.1808 | ReactionTime: N/A | SpatialAccuracy: N/A | DirectionAccuracy: 0.0000 | CorrectHand: True</t>
        </is>
      </c>
    </row>
    <row r="148" ht="17" customHeight="1">
      <c r="A148" s="0">
        <v>147</v>
      </c>
      <c r="B148" s="0" t="inlineStr">
        <is>
          <t>2026-10-02 14:20:08.992</t>
        </is>
      </c>
      <c r="C148" s="0" t="inlineStr">
        <is>
          <t>Interaction</t>
        </is>
      </c>
      <c r="D148" s="0" t="inlineStr">
        <is>
          <t>Jeremy</t>
        </is>
      </c>
      <c r="E148" s="0" t="inlineStr">
        <is>
          <t>SwordCut</t>
        </is>
      </c>
      <c r="F148" s="0" t="inlineStr">
        <is>
          <t>Failed</t>
        </is>
      </c>
      <c r="G148" s="0" t="inlineStr">
        <is>
          <t>Easy</t>
        </is>
      </c>
      <c r="K148" s="4">
        <v>0.0715</v>
      </c>
      <c r="M148" s="0">
        <v>152</v>
      </c>
      <c r="N148" s="0" t="inlineStr">
        <is>
          <t>2026-10-02 14:20:08.992 | Minigame: Jeremy | Type: SwordCut | Outcome: Failed | Difficulty: Easy | ExpectedTime: 174.6024 | ActualTime: 174.5310 | TimingOffset: -0.0715 | TimingError: 0.0715 | ReactionTime: N/A | SpatialAccuracy: N/A | DirectionAccuracy: 0.0000 | CorrectHand: True</t>
        </is>
      </c>
    </row>
    <row r="149" ht="17" customHeight="1">
      <c r="A149" s="6">
        <v>148</v>
      </c>
      <c r="B149" s="6" t="inlineStr">
        <is>
          <t>2026-10-02 14:20:08.992</t>
        </is>
      </c>
      <c r="C149" s="6" t="inlineStr">
        <is>
          <t>PlayerState</t>
        </is>
      </c>
      <c r="H149" s="6" t="inlineStr">
        <is>
          <t>Overloaded</t>
        </is>
      </c>
      <c r="M149" s="6">
        <v>153</v>
      </c>
      <c r="N149" s="6" t="inlineStr">
        <is>
          <t>2026-10-02 14:20:08.992 | PlayerState: Overloaded</t>
        </is>
      </c>
    </row>
    <row r="150" ht="17" customHeight="1">
      <c r="A150" s="0">
        <v>149</v>
      </c>
      <c r="B150" s="0" t="inlineStr">
        <is>
          <t>2026-10-02 14:20:11.177</t>
        </is>
      </c>
      <c r="C150" s="0" t="inlineStr">
        <is>
          <t>Interaction</t>
        </is>
      </c>
      <c r="D150" s="0" t="inlineStr">
        <is>
          <t>Jeremy</t>
        </is>
      </c>
      <c r="E150" s="0" t="inlineStr">
        <is>
          <t>SwordCut</t>
        </is>
      </c>
      <c r="F150" s="0" t="inlineStr">
        <is>
          <t>Success</t>
        </is>
      </c>
      <c r="G150" s="0" t="inlineStr">
        <is>
          <t>Easy</t>
        </is>
      </c>
      <c r="K150" s="4">
        <v>0.1848</v>
      </c>
      <c r="M150" s="0">
        <v>154</v>
      </c>
      <c r="N150" s="0" t="inlineStr">
        <is>
          <t>2026-10-02 14:20:11.177 | Minigame: Jeremy | Type: SwordCut | Outcome: Success | Difficulty: Easy | ExpectedTime: 176.9012 | ActualTime: 176.7164 | TimingOffset: -0.1848 | TimingError: 0.1848 | ReactionTime: N/A | SpatialAccuracy: N/A | DirectionAccuracy: 1.0000 | CorrectHand: True</t>
        </is>
      </c>
    </row>
    <row r="151" ht="17" customHeight="1">
      <c r="A151" s="6">
        <v>150</v>
      </c>
      <c r="B151" s="6" t="inlineStr">
        <is>
          <t>2026-10-02 14:20:13.668</t>
        </is>
      </c>
      <c r="C151" s="6" t="inlineStr">
        <is>
          <t>Interaction</t>
        </is>
      </c>
      <c r="D151" s="6" t="inlineStr">
        <is>
          <t>Jeremy</t>
        </is>
      </c>
      <c r="E151" s="6" t="inlineStr">
        <is>
          <t>SwordCut</t>
        </is>
      </c>
      <c r="F151" s="6" t="inlineStr">
        <is>
          <t>Failed</t>
        </is>
      </c>
      <c r="G151" s="6" t="inlineStr">
        <is>
          <t>Easy</t>
        </is>
      </c>
      <c r="K151" s="4">
        <v>0.0082</v>
      </c>
      <c r="M151" s="6">
        <v>155</v>
      </c>
      <c r="N151" s="6" t="inlineStr">
        <is>
          <t>2026-10-02 14:20:13.668 | Minigame: Jeremy | Type: SwordCut | Outcome: Failed | Difficulty: Easy | ExpectedTime: 179.2000 | ActualTime: 179.2082 | TimingOffset: 0.0082 | TimingError: 0.0082 | ReactionTime: N/A | SpatialAccuracy: N/A | DirectionAccuracy: 0.0000 | CorrectHand: True</t>
        </is>
      </c>
    </row>
    <row r="152" ht="17" customHeight="1">
      <c r="A152" s="0">
        <v>151</v>
      </c>
      <c r="B152" s="0" t="inlineStr">
        <is>
          <t>2026-10-02 14:20:15.757</t>
        </is>
      </c>
      <c r="C152" s="0" t="inlineStr">
        <is>
          <t>Interaction</t>
        </is>
      </c>
      <c r="D152" s="0" t="inlineStr">
        <is>
          <t>Jeremy</t>
        </is>
      </c>
      <c r="E152" s="0" t="inlineStr">
        <is>
          <t>SwordCut</t>
        </is>
      </c>
      <c r="F152" s="0" t="inlineStr">
        <is>
          <t>Success</t>
        </is>
      </c>
      <c r="G152" s="0" t="inlineStr">
        <is>
          <t>Easy</t>
        </is>
      </c>
      <c r="K152" s="4">
        <v>0.2017</v>
      </c>
      <c r="M152" s="0">
        <v>156</v>
      </c>
      <c r="N152" s="0" t="inlineStr">
        <is>
          <t>2026-10-02 14:20:15.757 | Minigame: Jeremy | Type: SwordCut | Outcome: Success | Difficulty: Easy | ExpectedTime: 181.4988 | ActualTime: 181.2970 | TimingOffset: -0.2017 | TimingError: 0.2017 | ReactionTime: N/A | SpatialAccuracy: N/A | DirectionAccuracy: 1.0000 | CorrectHand: True</t>
        </is>
      </c>
    </row>
    <row r="153" ht="17" customHeight="1">
      <c r="A153" s="6">
        <v>152</v>
      </c>
      <c r="B153" s="6" t="inlineStr">
        <is>
          <t>2026-10-02 14:20:20.754</t>
        </is>
      </c>
      <c r="C153" s="6" t="inlineStr">
        <is>
          <t>PlayerState</t>
        </is>
      </c>
      <c r="H153" s="6" t="inlineStr">
        <is>
          <t>Idle</t>
        </is>
      </c>
      <c r="M153" s="6">
        <v>157</v>
      </c>
      <c r="N153" s="6" t="inlineStr">
        <is>
          <t>2026-10-02 14:20:20.754 | PlayerState: Idle</t>
        </is>
      </c>
    </row>
  </sheetData>
  <autoFilter ref="A1:N153"/>
  <pageMargins left="0.4" right="0.4" top="0.7" bottom="0.7" header="0.3" footer="0.3"/>
</worksheet>
</file>

<file path=xl/worksheets/sheet8.xml><?xml version="1.0" encoding="utf-8"?>
<worksheet xmlns="http://schemas.openxmlformats.org/spreadsheetml/2006/main">
  <dimension ref="A1:C22"/>
  <sheetViews>
    <sheetView workbookViewId="0">
      <pane ySplit="4" topLeftCell="A5" activePane="bottomLeft" state="frozen"/>
    </sheetView>
  </sheetViews>
  <sheetFormatPr defaultRowHeight="17"/>
  <cols>
    <col min="1" max="1" width="26" customWidth="1"/>
    <col min="2" max="2" width="54" customWidth="1"/>
    <col min="3" max="3" width="64" customWidth="1"/>
  </cols>
  <sheetData>
    <row r="1" ht="30" customHeight="1">
      <c r="A1" s="2" t="inlineStr">
        <is>
          <t>Guía de lectura de los registros</t>
        </is>
      </c>
    </row>
    <row r="2" ht="17" customHeight="1"/>
    <row r="3" ht="17" customHeight="1"/>
    <row r="4" ht="22" customHeight="1">
      <c r="A4" s="1" t="inlineStr">
        <is>
          <t>Campo</t>
        </is>
      </c>
      <c r="B4" s="1" t="inlineStr">
        <is>
          <t>Interpretación</t>
        </is>
      </c>
      <c r="C4" s="1" t="inlineStr">
        <is>
          <t>Precaución</t>
        </is>
      </c>
    </row>
    <row r="5" ht="17" customHeight="1">
      <c r="A5" s="6" t="inlineStr">
        <is>
          <t>IdEvento</t>
        </is>
      </c>
      <c r="B5" s="6" t="inlineStr">
        <is>
          <t>Orden de aparición en el archivo</t>
        </is>
      </c>
      <c r="C5" s="6" t="inlineStr">
        <is>
          <t>Permite relacionar interacciones, DDA y estados</t>
        </is>
      </c>
    </row>
    <row r="6" ht="17" customHeight="1">
      <c r="A6" s="0" t="inlineStr">
        <is>
          <t>FechaHora</t>
        </is>
      </c>
      <c r="B6" s="0" t="inlineStr">
        <is>
          <t>Fecha y hora del evento</t>
        </is>
      </c>
      <c r="C6" s="0" t="inlineStr">
        <is>
          <t>Hora local de la fuente; zona horaria no indicada</t>
        </is>
      </c>
    </row>
    <row r="7" ht="17" customHeight="1">
      <c r="A7" s="6" t="inlineStr">
        <is>
          <t>Participante</t>
        </is>
      </c>
      <c r="B7" s="6" t="inlineStr">
        <is>
          <t>Identificador de la sesión</t>
        </is>
      </c>
      <c r="C7" s="6" t="inlineStr">
        <is>
          <t>Conserva el ID de cada TXT para cruces con encuestas</t>
        </is>
      </c>
    </row>
    <row r="8" ht="17" customHeight="1">
      <c r="A8" s="0" t="inlineStr">
        <is>
          <t>Resultado</t>
        </is>
      </c>
      <c r="B8" s="0" t="inlineStr">
        <is>
          <t>Success, Failed o Missed</t>
        </is>
      </c>
      <c r="C8" s="0" t="inlineStr">
        <is>
          <t>Se conservan las categorías originales</t>
        </is>
      </c>
    </row>
    <row r="9" ht="17" customHeight="1">
      <c r="A9" s="6" t="inlineStr">
        <is>
          <t>TipoAccion</t>
        </is>
      </c>
      <c r="B9" s="6" t="inlineStr">
        <is>
          <t>Tipo concreto de interacción</t>
        </is>
      </c>
      <c r="C9" s="6" t="inlineStr">
        <is>
          <t>HammerTouch y HammerHit se mantienen separados</t>
        </is>
      </c>
    </row>
    <row r="10" ht="17" customHeight="1">
      <c r="A10" s="0" t="inlineStr">
        <is>
          <t>TiempoEsperado_s</t>
        </is>
      </c>
      <c r="B10" s="0" t="inlineStr">
        <is>
          <t>Tiempo objetivo declarado por el log</t>
        </is>
      </c>
      <c r="C10" s="0" t="inlineStr">
        <is>
          <t>Segundos según el registro</t>
        </is>
      </c>
    </row>
    <row r="11" ht="17" customHeight="1">
      <c r="A11" s="6" t="inlineStr">
        <is>
          <t>TiempoReal_s</t>
        </is>
      </c>
      <c r="B11" s="6" t="inlineStr">
        <is>
          <t>Tiempo de ejecución declarado por el log</t>
        </is>
      </c>
      <c r="C11" s="6" t="inlineStr">
        <is>
          <t>Puede estar ausente incluso con Success</t>
        </is>
      </c>
    </row>
    <row r="12" ht="17" customHeight="1">
      <c r="A12" s="0" t="inlineStr">
        <is>
          <t>DesfaseTiming_s</t>
        </is>
      </c>
      <c r="B12" s="0" t="inlineStr">
        <is>
          <t>Diferencia con signo entre tiempos</t>
        </is>
      </c>
      <c r="C12" s="0" t="inlineStr">
        <is>
          <t>Negativo: ejecución anticipada</t>
        </is>
      </c>
    </row>
    <row r="13" ht="17" customHeight="1">
      <c r="A13" s="6" t="inlineStr">
        <is>
          <t>ErrorTiming_s</t>
        </is>
      </c>
      <c r="B13" s="6" t="inlineStr">
        <is>
          <t>Error temporal reportado</t>
        </is>
      </c>
      <c r="C13" s="6" t="inlineStr">
        <is>
          <t>Promedio solo de valores disponibles</t>
        </is>
      </c>
    </row>
    <row r="14" ht="17" customHeight="1">
      <c r="A14" s="0" t="inlineStr">
        <is>
          <t>TiempoReaccion_s</t>
        </is>
      </c>
      <c r="B14" s="0" t="inlineStr">
        <is>
          <t>Tiempo de reacción reportado</t>
        </is>
      </c>
      <c r="C14" s="0" t="inlineStr">
        <is>
          <t>N/A no debe interpretarse como 0</t>
        </is>
      </c>
    </row>
    <row r="15" ht="17" customHeight="1">
      <c r="A15" s="6" t="inlineStr">
        <is>
          <t>PrecisionEspacial</t>
        </is>
      </c>
      <c r="B15" s="6" t="inlineStr">
        <is>
          <t>Precisión espacial si se registró</t>
        </is>
      </c>
      <c r="C15" s="6" t="inlineStr">
        <is>
          <t>Si todos los datos faltan, promedio vacío</t>
        </is>
      </c>
    </row>
    <row r="16" ht="17" customHeight="1">
      <c r="A16" s="0" t="inlineStr">
        <is>
          <t>PrecisionDireccion</t>
        </is>
      </c>
      <c r="B16" s="0" t="inlineStr">
        <is>
          <t>Precisión de dirección</t>
        </is>
      </c>
      <c r="C16" s="0" t="inlineStr">
        <is>
          <t>Solo tomar valores efectivamente reportados</t>
        </is>
      </c>
    </row>
    <row r="17" ht="17" customHeight="1">
      <c r="A17" s="6" t="inlineStr">
        <is>
          <t>ManoCorrecta</t>
        </is>
      </c>
      <c r="B17" s="6" t="inlineStr">
        <is>
          <t>True/False si la interacción tiene mano asociada</t>
        </is>
      </c>
      <c r="C17" s="6" t="inlineStr">
        <is>
          <t>Vacío = dato no disponible</t>
        </is>
      </c>
    </row>
    <row r="18" ht="17" customHeight="1">
      <c r="A18" s="0" t="inlineStr">
        <is>
          <t>Adaptaciones</t>
        </is>
      </c>
      <c r="B18" s="0" t="inlineStr">
        <is>
          <t>Cambios de dificultad</t>
        </is>
      </c>
      <c r="C18" s="0" t="inlineStr">
        <is>
          <t>Se mantienen motivo y tasa informada</t>
        </is>
      </c>
    </row>
    <row r="19" ht="17" customHeight="1">
      <c r="A19" s="6" t="inlineStr">
        <is>
          <t>Estados jugador</t>
        </is>
      </c>
      <c r="B19" s="6" t="inlineStr">
        <is>
          <t>Cambios globales del estado del jugador</t>
        </is>
      </c>
      <c r="C19" s="6" t="inlineStr">
        <is>
          <t>No inferir minijuego sin dato explícito</t>
        </is>
      </c>
    </row>
    <row r="20" ht="17" customHeight="1">
      <c r="A20" s="0" t="inlineStr">
        <is>
          <t>Resumen</t>
        </is>
      </c>
      <c r="B20" s="0" t="inlineStr">
        <is>
          <t>Reportado vs. calculado</t>
        </is>
      </c>
      <c r="C20" s="0" t="inlineStr">
        <is>
          <t>Sirve para validar coincidencia y detectar campos sin datos</t>
        </is>
      </c>
    </row>
    <row r="21" ht="17" customHeight="1">
      <c r="A21" s="6" t="inlineStr">
        <is>
          <t>LineaOrigen</t>
        </is>
      </c>
      <c r="B21" s="6" t="inlineStr">
        <is>
          <t>Línea del archivo .txt</t>
        </is>
      </c>
      <c r="C21" s="6" t="inlineStr">
        <is>
          <t>Permite comprobar eventos contra fuente original</t>
        </is>
      </c>
    </row>
    <row r="22" ht="17" customHeight="1">
      <c r="A22" s="0" t="inlineStr">
        <is>
          <t>TextoOriginal</t>
        </is>
      </c>
      <c r="B22" s="0" t="inlineStr">
        <is>
          <t>Evento tal como estaba en el .txt</t>
        </is>
      </c>
      <c r="C22" s="0" t="inlineStr">
        <is>
          <t>Útil ante eventos nuevos/desconocidos</t>
        </is>
      </c>
    </row>
  </sheetData>
  <pageMargins left="0.4" right="0.4" top="0.7" bottom="0.7" header="0.3" footer="0.3"/>
</worksheet>
</file>