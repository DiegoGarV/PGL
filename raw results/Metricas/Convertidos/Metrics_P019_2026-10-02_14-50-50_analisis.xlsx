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P019</t>
        </is>
      </c>
    </row>
    <row r="2" ht="17" customHeight="1"/>
    <row r="3" ht="17" customHeight="1">
      <c r="A3" s="6" t="inlineStr">
        <is>
          <t>Inicio: 2026-10-02 14:50:50     |     Fuente: Metrics_P019_2026-10-02_14-50-50.txt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145.0</v>
      </c>
      <c r="C6" s="0">
        <f>COUNTA('Interacciones'!$A$2:$A$146)</f>
        <v>145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83.0</v>
      </c>
      <c r="C7" s="6">
        <f>COUNTIF('Interacciones'!$F$2:$F$146,"Success")</f>
        <v>83</v>
      </c>
      <c r="E7" s="6" t="inlineStr">
        <is>
          <t>Estados del jugador</t>
        </is>
      </c>
      <c r="F7" s="6">
        <v>23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36.0</v>
      </c>
      <c r="C8" s="0">
        <f>COUNTIF('Interacciones'!$F$2:$F$146,"Failed")</f>
        <v>36</v>
      </c>
      <c r="E8" s="0" t="inlineStr">
        <is>
          <t>Eventos totales</t>
        </is>
      </c>
      <c r="F8" s="0">
        <v>173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26.0</v>
      </c>
      <c r="C9" s="6">
        <f>COUNTIF('Interacciones'!$F$2:$F$146,"Missed")</f>
        <v>26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0.5724</v>
      </c>
      <c r="C10" s="0">
        <f>IFERROR(C7/C6,0)</f>
        <v>0.5724137931034483</v>
      </c>
    </row>
    <row r="11" ht="17" customHeight="1">
      <c r="A11" s="6" t="inlineStr">
        <is>
          <t>Error timing medio (s)</t>
        </is>
      </c>
      <c r="B11" s="6">
        <v>0.3334</v>
      </c>
      <c r="C11" s="6">
        <f>IFERROR(AVERAGE('Interacciones'!$K$2:$K$146),"")</f>
        <v>0.33339607843137253</v>
      </c>
    </row>
    <row r="12" ht="17" customHeight="1">
      <c r="A12" s="0" t="inlineStr">
        <is>
          <t>Reacción media (s)</t>
        </is>
      </c>
      <c r="B12" s="0">
        <v>0.4039</v>
      </c>
      <c r="C12" s="0">
        <f>IFERROR(AVERAGE('Interacciones'!$L$2:$L$146),"")</f>
        <v>0.40392307692307694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IFERROR(AVERAGE('Interacciones'!$M$2:$M$146),"")</f>
        <v/>
      </c>
    </row>
    <row r="14" ht="17" customHeight="1">
      <c r="A14" s="0" t="inlineStr">
        <is>
          <t>Precisión dirección media</t>
        </is>
      </c>
      <c r="B14" s="0">
        <v>0.44</v>
      </c>
      <c r="C14" s="0">
        <f>IFERROR(AVERAGE('Interacciones'!$N$2:$N$146),"")</f>
        <v>0.44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COUNTIF('Interacciones'!$D$2:$D$146,$A5)</f>
        <v>79</v>
      </c>
      <c r="C5" s="6">
        <f>COUNTIFS('Interacciones'!$D$2:$D$146,$A5,'Interacciones'!$F$2:$F$146,"Success")</f>
        <v>47</v>
      </c>
      <c r="D5" s="6">
        <f>COUNTIFS('Interacciones'!$D$2:$D$146,$A5,'Interacciones'!$F$2:$F$146,"Failed")</f>
        <v>10</v>
      </c>
      <c r="E5" s="6">
        <f>COUNTIFS('Interacciones'!$D$2:$D$146,$A5,'Interacciones'!$F$2:$F$146,"Missed")</f>
        <v>22</v>
      </c>
      <c r="F5" s="3">
        <f>IFERROR(C5/B5,0)</f>
        <v>0.5949367088607594</v>
      </c>
      <c r="G5" s="4">
        <f>IFERROR(AVERAGEIF('Interacciones'!$D$2:$D$146,$A5,'Interacciones'!$K$2:$K$146),"")</f>
        <v>0.016876923076923078</v>
      </c>
      <c r="H5" s="4" t="str">
        <f>IFERROR(AVERAGEIF('Interacciones'!$D$2:$D$146,$A5,'Interacciones'!$L$2:$L$146),"")</f>
        <v/>
      </c>
      <c r="I5" s="6">
        <f>COUNTIF('Adaptaciones'!$C$2:$C$6,$A5)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COUNTIF('Interacciones'!$D$2:$D$146,$A6)</f>
        <v>20</v>
      </c>
      <c r="C6" s="0">
        <f>COUNTIFS('Interacciones'!$D$2:$D$146,$A6,'Interacciones'!$F$2:$F$146,"Success")</f>
        <v>12</v>
      </c>
      <c r="D6" s="0">
        <f>COUNTIFS('Interacciones'!$D$2:$D$146,$A6,'Interacciones'!$F$2:$F$146,"Failed")</f>
        <v>8</v>
      </c>
      <c r="E6" s="0">
        <f>COUNTIFS('Interacciones'!$D$2:$D$146,$A6,'Interacciones'!$F$2:$F$146,"Missed")</f>
        <v>0</v>
      </c>
      <c r="F6" s="3">
        <f>IFERROR(C6/B6,0)</f>
        <v>0.6</v>
      </c>
      <c r="G6" s="4">
        <f>IFERROR(AVERAGEIF('Interacciones'!$D$2:$D$146,$A6,'Interacciones'!$K$2:$K$146),"")</f>
        <v>0.10686666666666667</v>
      </c>
      <c r="H6" s="4" t="str">
        <f>IFERROR(AVERAGEIF('Interacciones'!$D$2:$D$146,$A6,'Interacciones'!$L$2:$L$146),"")</f>
        <v/>
      </c>
      <c r="I6" s="0">
        <f>COUNTIF('Adaptaciones'!$C$2:$C$6,$A6)</f>
        <v>0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COUNTIF('Interacciones'!$D$2:$D$146,$A7)</f>
        <v>7</v>
      </c>
      <c r="C7" s="6">
        <f>COUNTIFS('Interacciones'!$D$2:$D$146,$A7,'Interacciones'!$F$2:$F$146,"Success")</f>
        <v>3</v>
      </c>
      <c r="D7" s="6">
        <f>COUNTIFS('Interacciones'!$D$2:$D$146,$A7,'Interacciones'!$F$2:$F$146,"Failed")</f>
        <v>3</v>
      </c>
      <c r="E7" s="6">
        <f>COUNTIFS('Interacciones'!$D$2:$D$146,$A7,'Interacciones'!$F$2:$F$146,"Missed")</f>
        <v>1</v>
      </c>
      <c r="F7" s="3">
        <f>IFERROR(C7/B7,0)</f>
        <v>0.42857142857142855</v>
      </c>
      <c r="G7" s="4">
        <f>IFERROR(AVERAGEIF('Interacciones'!$D$2:$D$146,$A7,'Interacciones'!$K$2:$K$146),"")</f>
        <v>0.12143333333333334</v>
      </c>
      <c r="H7" s="4" t="str">
        <f>IFERROR(AVERAGEIF('Interacciones'!$D$2:$D$146,$A7,'Interacciones'!$L$2:$L$146),"")</f>
        <v/>
      </c>
      <c r="I7" s="6">
        <f>COUNTIF('Adaptaciones'!$C$2:$C$6,$A7)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COUNTIF('Interacciones'!$D$2:$D$146,$A8)</f>
        <v>14</v>
      </c>
      <c r="C8" s="0">
        <f>COUNTIFS('Interacciones'!$D$2:$D$146,$A8,'Interacciones'!$F$2:$F$146,"Success")</f>
        <v>13</v>
      </c>
      <c r="D8" s="0">
        <f>COUNTIFS('Interacciones'!$D$2:$D$146,$A8,'Interacciones'!$F$2:$F$146,"Failed")</f>
        <v>1</v>
      </c>
      <c r="E8" s="0">
        <f>COUNTIFS('Interacciones'!$D$2:$D$146,$A8,'Interacciones'!$F$2:$F$146,"Missed")</f>
        <v>0</v>
      </c>
      <c r="F8" s="3">
        <f>IFERROR(C8/B8,0)</f>
        <v>0.9285714285714286</v>
      </c>
      <c r="G8" s="4">
        <f>IFERROR(AVERAGEIF('Interacciones'!$D$2:$D$146,$A8,'Interacciones'!$K$2:$K$146),"")</f>
        <v>0.12735384615384615</v>
      </c>
      <c r="H8" s="4" t="str">
        <f>IFERROR(AVERAGEIF('Interacciones'!$D$2:$D$146,$A8,'Interacciones'!$L$2:$L$146),"")</f>
        <v/>
      </c>
      <c r="I8" s="0">
        <f>COUNTIF('Adaptaciones'!$C$2:$C$6,$A8)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COUNTIF('Interacciones'!$D$2:$D$146,$A9)</f>
        <v>9</v>
      </c>
      <c r="C9" s="6">
        <f>COUNTIFS('Interacciones'!$D$2:$D$146,$A9,'Interacciones'!$F$2:$F$146,"Success")</f>
        <v>3</v>
      </c>
      <c r="D9" s="6">
        <f>COUNTIFS('Interacciones'!$D$2:$D$146,$A9,'Interacciones'!$F$2:$F$146,"Failed")</f>
        <v>3</v>
      </c>
      <c r="E9" s="6">
        <f>COUNTIFS('Interacciones'!$D$2:$D$146,$A9,'Interacciones'!$F$2:$F$146,"Missed")</f>
        <v>3</v>
      </c>
      <c r="F9" s="3">
        <f>IFERROR(C9/B9,0)</f>
        <v>0.3333333333333333</v>
      </c>
      <c r="G9" s="4">
        <f>IFERROR(AVERAGEIF('Interacciones'!$D$2:$D$146,$A9,'Interacciones'!$K$2:$K$146),"")</f>
        <v>3.5199666666666665</v>
      </c>
      <c r="H9" s="4" t="str">
        <f>IFERROR(AVERAGEIF('Interacciones'!$D$2:$D$146,$A9,'Interacciones'!$L$2:$L$146),"")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COUNTIF('Interacciones'!$D$2:$D$146,$A10)</f>
        <v>16</v>
      </c>
      <c r="C10" s="0">
        <f>COUNTIFS('Interacciones'!$D$2:$D$146,$A10,'Interacciones'!$F$2:$F$146,"Success")</f>
        <v>5</v>
      </c>
      <c r="D10" s="0">
        <f>COUNTIFS('Interacciones'!$D$2:$D$146,$A10,'Interacciones'!$F$2:$F$146,"Failed")</f>
        <v>11</v>
      </c>
      <c r="E10" s="0">
        <f>COUNTIFS('Interacciones'!$D$2:$D$146,$A10,'Interacciones'!$F$2:$F$146,"Missed")</f>
        <v>0</v>
      </c>
      <c r="F10" s="3">
        <f>IFERROR(C10/B10,0)</f>
        <v>0.3125</v>
      </c>
      <c r="G10" s="4">
        <f>IFERROR(AVERAGEIF('Interacciones'!$D$2:$D$146,$A10,'Interacciones'!$K$2:$K$146),"")</f>
        <v>0.641723076923077</v>
      </c>
      <c r="H10" s="4">
        <f>IFERROR(AVERAGEIF('Interacciones'!$D$2:$D$146,$A10,'Interacciones'!$L$2:$L$146),"")</f>
        <v>0.40392307692307694</v>
      </c>
      <c r="I10" s="0">
        <f>COUNTIF('Adaptaciones'!$C$2:$C$6,$A10)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2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COUNTIFS('Interacciones'!$D$2:$D$146,$A5,'Interacciones'!$E$2:$E$146,$B5)</f>
        <v>52</v>
      </c>
      <c r="D5" s="6">
        <f>COUNTIFS('Interacciones'!$D$2:$D$146,$A5,'Interacciones'!$E$2:$E$146,$B5,'Interacciones'!$F$2:$F$146,"Success")</f>
        <v>42</v>
      </c>
      <c r="E5" s="6">
        <f>COUNTIFS('Interacciones'!$D$2:$D$146,$A5,'Interacciones'!$E$2:$E$146,$B5,'Interacciones'!$F$2:$F$146,"Failed")</f>
        <v>10</v>
      </c>
      <c r="F5" s="6">
        <f>COUNTIFS('Interacciones'!$D$2:$D$146,$A5,'Interacciones'!$E$2:$E$146,$B5,'Interacciones'!$F$2:$F$146,"Missed")</f>
        <v>0</v>
      </c>
      <c r="G5" s="3">
        <f>IFERROR(D5/C5,0)</f>
        <v>0.8076923076923077</v>
      </c>
      <c r="H5" s="4">
        <f>IFERROR(AVERAGEIFS('Interacciones'!$K$2:$K$146,'Interacciones'!$D$2:$D$146,$A5,'Interacciones'!$E$2:$E$146,$B5),"")</f>
        <v>0.016876923076923078</v>
      </c>
      <c r="I5" s="4" t="str">
        <f>IFERROR(AVERAGEIFS('Interacciones'!$L$2:$L$146,'Interacciones'!$D$2:$D$146,$A5,'Interacciones'!$E$2:$E$146,$B5),"")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COUNTIFS('Interacciones'!$D$2:$D$146,$A6,'Interacciones'!$E$2:$E$146,$B6)</f>
        <v>27</v>
      </c>
      <c r="D6" s="0">
        <f>COUNTIFS('Interacciones'!$D$2:$D$146,$A6,'Interacciones'!$E$2:$E$146,$B6,'Interacciones'!$F$2:$F$146,"Success")</f>
        <v>5</v>
      </c>
      <c r="E6" s="0">
        <f>COUNTIFS('Interacciones'!$D$2:$D$146,$A6,'Interacciones'!$E$2:$E$146,$B6,'Interacciones'!$F$2:$F$146,"Failed")</f>
        <v>0</v>
      </c>
      <c r="F6" s="0">
        <f>COUNTIFS('Interacciones'!$D$2:$D$146,$A6,'Interacciones'!$E$2:$E$146,$B6,'Interacciones'!$F$2:$F$146,"Missed")</f>
        <v>22</v>
      </c>
      <c r="G6" s="3">
        <f>IFERROR(D6/C6,0)</f>
        <v>0.18518518518518517</v>
      </c>
      <c r="H6" s="4" t="str">
        <f>IFERROR(AVERAGEIFS('Interacciones'!$K$2:$K$146,'Interacciones'!$D$2:$D$146,$A6,'Interacciones'!$E$2:$E$146,$B6),"")</f>
        <v/>
      </c>
      <c r="I6" s="4" t="str">
        <f>IFERROR(AVERAGEIFS('Interacciones'!$L$2:$L$146,'Interacciones'!$D$2:$D$146,$A6,'Interacciones'!$E$2:$E$146,$B6),"")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COUNTIFS('Interacciones'!$D$2:$D$146,$A7,'Interacciones'!$E$2:$E$146,$B7)</f>
        <v>20</v>
      </c>
      <c r="D7" s="6">
        <f>COUNTIFS('Interacciones'!$D$2:$D$146,$A7,'Interacciones'!$E$2:$E$146,$B7,'Interacciones'!$F$2:$F$146,"Success")</f>
        <v>12</v>
      </c>
      <c r="E7" s="6">
        <f>COUNTIFS('Interacciones'!$D$2:$D$146,$A7,'Interacciones'!$E$2:$E$146,$B7,'Interacciones'!$F$2:$F$146,"Failed")</f>
        <v>8</v>
      </c>
      <c r="F7" s="6">
        <f>COUNTIFS('Interacciones'!$D$2:$D$146,$A7,'Interacciones'!$E$2:$E$146,$B7,'Interacciones'!$F$2:$F$146,"Missed")</f>
        <v>0</v>
      </c>
      <c r="G7" s="3">
        <f>IFERROR(D7/C7,0)</f>
        <v>0.6</v>
      </c>
      <c r="H7" s="4">
        <f>IFERROR(AVERAGEIFS('Interacciones'!$K$2:$K$146,'Interacciones'!$D$2:$D$146,$A7,'Interacciones'!$E$2:$E$146,$B7),"")</f>
        <v>0.10686666666666667</v>
      </c>
      <c r="I7" s="4" t="str">
        <f>IFERROR(AVERAGEIFS('Interacciones'!$L$2:$L$146,'Interacciones'!$D$2:$D$146,$A7,'Interacciones'!$E$2:$E$146,$B7),"")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COUNTIFS('Interacciones'!$D$2:$D$146,$A8,'Interacciones'!$E$2:$E$146,$B8)</f>
        <v>7</v>
      </c>
      <c r="D8" s="0">
        <f>COUNTIFS('Interacciones'!$D$2:$D$146,$A8,'Interacciones'!$E$2:$E$146,$B8,'Interacciones'!$F$2:$F$146,"Success")</f>
        <v>3</v>
      </c>
      <c r="E8" s="0">
        <f>COUNTIFS('Interacciones'!$D$2:$D$146,$A8,'Interacciones'!$E$2:$E$146,$B8,'Interacciones'!$F$2:$F$146,"Failed")</f>
        <v>3</v>
      </c>
      <c r="F8" s="0">
        <f>COUNTIFS('Interacciones'!$D$2:$D$146,$A8,'Interacciones'!$E$2:$E$146,$B8,'Interacciones'!$F$2:$F$146,"Missed")</f>
        <v>1</v>
      </c>
      <c r="G8" s="3">
        <f>IFERROR(D8/C8,0)</f>
        <v>0.42857142857142855</v>
      </c>
      <c r="H8" s="4">
        <f>IFERROR(AVERAGEIFS('Interacciones'!$K$2:$K$146,'Interacciones'!$D$2:$D$146,$A8,'Interacciones'!$E$2:$E$146,$B8),"")</f>
        <v>0.12143333333333334</v>
      </c>
      <c r="I8" s="4" t="str">
        <f>IFERROR(AVERAGEIFS('Interacciones'!$L$2:$L$146,'Interacciones'!$D$2:$D$146,$A8,'Interacciones'!$E$2:$E$146,$B8),"")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COUNTIFS('Interacciones'!$D$2:$D$146,$A9,'Interacciones'!$E$2:$E$146,$B9)</f>
        <v>13</v>
      </c>
      <c r="D9" s="6">
        <f>COUNTIFS('Interacciones'!$D$2:$D$146,$A9,'Interacciones'!$E$2:$E$146,$B9,'Interacciones'!$F$2:$F$146,"Success")</f>
        <v>13</v>
      </c>
      <c r="E9" s="6">
        <f>COUNTIFS('Interacciones'!$D$2:$D$146,$A9,'Interacciones'!$E$2:$E$146,$B9,'Interacciones'!$F$2:$F$146,"Failed")</f>
        <v>0</v>
      </c>
      <c r="F9" s="6">
        <f>COUNTIFS('Interacciones'!$D$2:$D$146,$A9,'Interacciones'!$E$2:$E$146,$B9,'Interacciones'!$F$2:$F$146,"Missed")</f>
        <v>0</v>
      </c>
      <c r="G9" s="3">
        <f>IFERROR(D9/C9,0)</f>
        <v>1.0</v>
      </c>
      <c r="H9" s="4">
        <f>IFERROR(AVERAGEIFS('Interacciones'!$K$2:$K$146,'Interacciones'!$D$2:$D$146,$A9,'Interacciones'!$E$2:$E$146,$B9),"")</f>
        <v>0.12735384615384615</v>
      </c>
      <c r="I9" s="4" t="str">
        <f>IFERROR(AVERAGEIFS('Interacciones'!$L$2:$L$146,'Interacciones'!$D$2:$D$146,$A9,'Interacciones'!$E$2:$E$146,$B9),"")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COUNTIFS('Interacciones'!$D$2:$D$146,$A10,'Interacciones'!$E$2:$E$146,$B10)</f>
        <v>1</v>
      </c>
      <c r="D10" s="0">
        <f>COUNTIFS('Interacciones'!$D$2:$D$146,$A10,'Interacciones'!$E$2:$E$146,$B10,'Interacciones'!$F$2:$F$146,"Success")</f>
        <v>0</v>
      </c>
      <c r="E10" s="0">
        <f>COUNTIFS('Interacciones'!$D$2:$D$146,$A10,'Interacciones'!$E$2:$E$146,$B10,'Interacciones'!$F$2:$F$146,"Failed")</f>
        <v>1</v>
      </c>
      <c r="F10" s="0">
        <f>COUNTIFS('Interacciones'!$D$2:$D$146,$A10,'Interacciones'!$E$2:$E$146,$B10,'Interacciones'!$F$2:$F$146,"Missed")</f>
        <v>0</v>
      </c>
      <c r="G10" s="3">
        <f>IFERROR(D10/C10,0)</f>
        <v>0.0</v>
      </c>
      <c r="H10" s="4" t="str">
        <f>IFERROR(AVERAGEIFS('Interacciones'!$K$2:$K$146,'Interacciones'!$D$2:$D$146,$A10,'Interacciones'!$E$2:$E$146,$B10),"")</f>
        <v/>
      </c>
      <c r="I10" s="4" t="str">
        <f>IFERROR(AVERAGEIFS('Interacciones'!$L$2:$L$146,'Interacciones'!$D$2:$D$146,$A10,'Interacciones'!$E$2:$E$146,$B10),"")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COUNTIFS('Interacciones'!$D$2:$D$146,$A11,'Interacciones'!$E$2:$E$146,$B11)</f>
        <v>9</v>
      </c>
      <c r="D11" s="6">
        <f>COUNTIFS('Interacciones'!$D$2:$D$146,$A11,'Interacciones'!$E$2:$E$146,$B11,'Interacciones'!$F$2:$F$146,"Success")</f>
        <v>3</v>
      </c>
      <c r="E11" s="6">
        <f>COUNTIFS('Interacciones'!$D$2:$D$146,$A11,'Interacciones'!$E$2:$E$146,$B11,'Interacciones'!$F$2:$F$146,"Failed")</f>
        <v>3</v>
      </c>
      <c r="F11" s="6">
        <f>COUNTIFS('Interacciones'!$D$2:$D$146,$A11,'Interacciones'!$E$2:$E$146,$B11,'Interacciones'!$F$2:$F$146,"Missed")</f>
        <v>3</v>
      </c>
      <c r="G11" s="3">
        <f>IFERROR(D11/C11,0)</f>
        <v>0.3333333333333333</v>
      </c>
      <c r="H11" s="4">
        <f>IFERROR(AVERAGEIFS('Interacciones'!$K$2:$K$146,'Interacciones'!$D$2:$D$146,$A11,'Interacciones'!$E$2:$E$146,$B11),"")</f>
        <v>3.5199666666666665</v>
      </c>
      <c r="I11" s="4" t="str">
        <f>IFERROR(AVERAGEIFS('Interacciones'!$L$2:$L$146,'Interacciones'!$D$2:$D$146,$A11,'Interacciones'!$E$2:$E$146,$B11),"")</f>
        <v/>
      </c>
    </row>
    <row r="12" ht="17" customHeight="1">
      <c r="A12" s="0" t="inlineStr">
        <is>
          <t>Shipi</t>
        </is>
      </c>
      <c r="B12" s="0" t="inlineStr">
        <is>
          <t>FoodCut</t>
        </is>
      </c>
      <c r="C12" s="0">
        <f>COUNTIFS('Interacciones'!$D$2:$D$146,$A12,'Interacciones'!$E$2:$E$146,$B12)</f>
        <v>16</v>
      </c>
      <c r="D12" s="0">
        <f>COUNTIFS('Interacciones'!$D$2:$D$146,$A12,'Interacciones'!$E$2:$E$146,$B12,'Interacciones'!$F$2:$F$146,"Success")</f>
        <v>5</v>
      </c>
      <c r="E12" s="0">
        <f>COUNTIFS('Interacciones'!$D$2:$D$146,$A12,'Interacciones'!$E$2:$E$146,$B12,'Interacciones'!$F$2:$F$146,"Failed")</f>
        <v>11</v>
      </c>
      <c r="F12" s="0">
        <f>COUNTIFS('Interacciones'!$D$2:$D$146,$A12,'Interacciones'!$E$2:$E$146,$B12,'Interacciones'!$F$2:$F$146,"Missed")</f>
        <v>0</v>
      </c>
      <c r="G12" s="3">
        <f>IFERROR(D12/C12,0)</f>
        <v>0.3125</v>
      </c>
      <c r="H12" s="4">
        <f>IFERROR(AVERAGEIFS('Interacciones'!$K$2:$K$146,'Interacciones'!$D$2:$D$146,$A12,'Interacciones'!$E$2:$E$146,$B12),"")</f>
        <v>0.641723076923077</v>
      </c>
      <c r="I12" s="4">
        <f>IFERROR(AVERAGEIFS('Interacciones'!$L$2:$L$146,'Interacciones'!$D$2:$D$146,$A12,'Interacciones'!$E$2:$E$146,$B12),"")</f>
        <v>0.40392307692307694</v>
      </c>
    </row>
  </sheetData>
  <autoFilter ref="A4:I12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4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P019</t>
        </is>
      </c>
      <c r="C2" s="0" t="inlineStr">
        <is>
          <t>2026-10-02 14:50:52.422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I2" s="4">
        <v>0.9297</v>
      </c>
      <c r="J2" s="4">
        <v>0.0337</v>
      </c>
      <c r="K2" s="4">
        <v>0.0337</v>
      </c>
      <c r="P2" s="0">
        <v>7</v>
      </c>
    </row>
    <row r="3" ht="17" customHeight="1">
      <c r="A3" s="6">
        <v>4</v>
      </c>
      <c r="B3" s="6" t="inlineStr">
        <is>
          <t>P019</t>
        </is>
      </c>
      <c r="C3" s="6" t="inlineStr">
        <is>
          <t>2026-10-02 14:50:53.159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Failed</t>
        </is>
      </c>
      <c r="G3" s="6" t="inlineStr">
        <is>
          <t>Normal</t>
        </is>
      </c>
      <c r="H3" s="4">
        <v>1.664</v>
      </c>
      <c r="I3" s="4">
        <v>1.6794</v>
      </c>
      <c r="J3" s="4">
        <v>0.0154</v>
      </c>
      <c r="K3" s="4">
        <v>0.0154</v>
      </c>
      <c r="P3" s="6">
        <v>9</v>
      </c>
    </row>
    <row r="4" ht="17" customHeight="1">
      <c r="A4" s="0">
        <v>5</v>
      </c>
      <c r="B4" s="0" t="inlineStr">
        <is>
          <t>P019</t>
        </is>
      </c>
      <c r="C4" s="0" t="inlineStr">
        <is>
          <t>2026-10-02 14:50:53.172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1.6936</v>
      </c>
      <c r="J4" s="4">
        <v>0.0296</v>
      </c>
      <c r="K4" s="4">
        <v>0.0296</v>
      </c>
      <c r="P4" s="0">
        <v>10</v>
      </c>
    </row>
    <row r="5" ht="17" customHeight="1">
      <c r="A5" s="6">
        <v>6</v>
      </c>
      <c r="B5" s="6" t="inlineStr">
        <is>
          <t>P019</t>
        </is>
      </c>
      <c r="C5" s="6" t="inlineStr">
        <is>
          <t>2026-10-02 14:50:53.949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2.4576</v>
      </c>
      <c r="J5" s="4">
        <v>0.0256</v>
      </c>
      <c r="K5" s="4">
        <v>0.0256</v>
      </c>
      <c r="P5" s="6">
        <v>11</v>
      </c>
    </row>
    <row r="6" ht="17" customHeight="1">
      <c r="A6" s="0">
        <v>7</v>
      </c>
      <c r="B6" s="0" t="inlineStr">
        <is>
          <t>P019</t>
        </is>
      </c>
      <c r="C6" s="0" t="inlineStr">
        <is>
          <t>2026-10-02 14:50:54.687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P019</t>
        </is>
      </c>
      <c r="C7" s="6" t="inlineStr">
        <is>
          <t>2026-10-02 14:50:55.005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P019</t>
        </is>
      </c>
      <c r="C8" s="0" t="inlineStr">
        <is>
          <t>2026-10-02 14:50:55.452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3.9723</v>
      </c>
      <c r="J8" s="4">
        <v>0.0043</v>
      </c>
      <c r="K8" s="4">
        <v>0.0043</v>
      </c>
      <c r="P8" s="0">
        <v>14</v>
      </c>
    </row>
    <row r="9" ht="17" customHeight="1">
      <c r="A9" s="6">
        <v>10</v>
      </c>
      <c r="B9" s="6" t="inlineStr">
        <is>
          <t>P019</t>
        </is>
      </c>
      <c r="C9" s="6" t="inlineStr">
        <is>
          <t>2026-10-02 14:50:56.216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H9" s="4">
        <v>4.736</v>
      </c>
      <c r="I9" s="4">
        <v>4.7362</v>
      </c>
      <c r="J9" s="4">
        <v>0.0002</v>
      </c>
      <c r="K9" s="4">
        <v>0.0002</v>
      </c>
      <c r="P9" s="6">
        <v>15</v>
      </c>
    </row>
    <row r="10" ht="17" customHeight="1">
      <c r="A10" s="0">
        <v>11</v>
      </c>
      <c r="B10" s="0" t="inlineStr">
        <is>
          <t>P019</t>
        </is>
      </c>
      <c r="C10" s="0" t="inlineStr">
        <is>
          <t>2026-10-02 14:50:56.216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4.7362</v>
      </c>
      <c r="J10" s="4">
        <v>0.0002</v>
      </c>
      <c r="K10" s="4">
        <v>0.0002</v>
      </c>
      <c r="P10" s="0">
        <v>16</v>
      </c>
    </row>
    <row r="11" ht="17" customHeight="1">
      <c r="A11" s="6">
        <v>12</v>
      </c>
      <c r="B11" s="6" t="inlineStr">
        <is>
          <t>P019</t>
        </is>
      </c>
      <c r="C11" s="6" t="inlineStr">
        <is>
          <t>2026-10-02 14:50:57.008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5.5284</v>
      </c>
      <c r="J11" s="4">
        <v>0.0244</v>
      </c>
      <c r="K11" s="4">
        <v>0.0244</v>
      </c>
      <c r="P11" s="6">
        <v>17</v>
      </c>
    </row>
    <row r="12" ht="17" customHeight="1">
      <c r="A12" s="0">
        <v>13</v>
      </c>
      <c r="B12" s="0" t="inlineStr">
        <is>
          <t>P019</t>
        </is>
      </c>
      <c r="C12" s="0" t="inlineStr">
        <is>
          <t>2026-10-02 14:50:57.785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H12" s="4">
        <v>6.272</v>
      </c>
      <c r="P12" s="0">
        <v>18</v>
      </c>
    </row>
    <row r="13" ht="17" customHeight="1">
      <c r="A13" s="6">
        <v>14</v>
      </c>
      <c r="B13" s="6" t="inlineStr">
        <is>
          <t>P019</t>
        </is>
      </c>
      <c r="C13" s="6" t="inlineStr">
        <is>
          <t>2026-10-02 14:50:58.091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15</v>
      </c>
      <c r="B14" s="0" t="inlineStr">
        <is>
          <t>P019</t>
        </is>
      </c>
      <c r="C14" s="0" t="inlineStr">
        <is>
          <t>2026-10-02 14:50:58.508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H14" s="4">
        <v>7.04</v>
      </c>
      <c r="I14" s="4">
        <v>7.0148</v>
      </c>
      <c r="J14" s="4">
        <v>-0.0252</v>
      </c>
      <c r="K14" s="4">
        <v>0.0252</v>
      </c>
      <c r="P14" s="0">
        <v>20</v>
      </c>
    </row>
    <row r="15" ht="17" customHeight="1">
      <c r="A15" s="6">
        <v>16</v>
      </c>
      <c r="B15" s="6" t="inlineStr">
        <is>
          <t>P019</t>
        </is>
      </c>
      <c r="C15" s="6" t="inlineStr">
        <is>
          <t>2026-10-02 14:50:59.285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Normal</t>
        </is>
      </c>
      <c r="H15" s="4">
        <v>7.808</v>
      </c>
      <c r="I15" s="4">
        <v>7.8064</v>
      </c>
      <c r="J15" s="4">
        <v>-0.0016</v>
      </c>
      <c r="K15" s="4">
        <v>0.0016</v>
      </c>
      <c r="P15" s="6">
        <v>21</v>
      </c>
    </row>
    <row r="16" ht="17" customHeight="1">
      <c r="A16" s="0">
        <v>17</v>
      </c>
      <c r="B16" s="0" t="inlineStr">
        <is>
          <t>P019</t>
        </is>
      </c>
      <c r="C16" s="0" t="inlineStr">
        <is>
          <t>2026-10-02 14:50:59.300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H16" s="4">
        <v>7.808</v>
      </c>
      <c r="I16" s="4">
        <v>7.8205</v>
      </c>
      <c r="J16" s="4">
        <v>0.0125</v>
      </c>
      <c r="K16" s="4">
        <v>0.0125</v>
      </c>
      <c r="P16" s="0">
        <v>22</v>
      </c>
    </row>
    <row r="17" ht="17" customHeight="1">
      <c r="A17" s="6">
        <v>18</v>
      </c>
      <c r="B17" s="6" t="inlineStr">
        <is>
          <t>P019</t>
        </is>
      </c>
      <c r="C17" s="6" t="inlineStr">
        <is>
          <t>2026-10-02 14:51:00.049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H17" s="4">
        <v>8.576</v>
      </c>
      <c r="I17" s="4">
        <v>8.5699</v>
      </c>
      <c r="J17" s="4">
        <v>-0.0061</v>
      </c>
      <c r="K17" s="4">
        <v>0.0061</v>
      </c>
      <c r="P17" s="6">
        <v>23</v>
      </c>
    </row>
    <row r="18" ht="17" customHeight="1">
      <c r="A18" s="0">
        <v>19</v>
      </c>
      <c r="B18" s="0" t="inlineStr">
        <is>
          <t>P019</t>
        </is>
      </c>
      <c r="C18" s="0" t="inlineStr">
        <is>
          <t>2026-10-02 14:51:00.160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H18" s="4">
        <v>8.576</v>
      </c>
      <c r="P18" s="0">
        <v>24</v>
      </c>
    </row>
    <row r="19" ht="17" customHeight="1">
      <c r="A19" s="6">
        <v>20</v>
      </c>
      <c r="B19" s="6" t="inlineStr">
        <is>
          <t>P019</t>
        </is>
      </c>
      <c r="C19" s="6" t="inlineStr">
        <is>
          <t>2026-10-02 14:51:00.799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9.344</v>
      </c>
      <c r="I19" s="4">
        <v>9.3203</v>
      </c>
      <c r="J19" s="4">
        <v>-0.0237</v>
      </c>
      <c r="K19" s="4">
        <v>0.0237</v>
      </c>
      <c r="P19" s="6">
        <v>25</v>
      </c>
    </row>
    <row r="20" ht="17" customHeight="1">
      <c r="A20" s="0">
        <v>21</v>
      </c>
      <c r="B20" s="0" t="inlineStr">
        <is>
          <t>P019</t>
        </is>
      </c>
      <c r="C20" s="0" t="inlineStr">
        <is>
          <t>2026-10-02 14:51:00.827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9.344</v>
      </c>
      <c r="I20" s="4">
        <v>9.3479</v>
      </c>
      <c r="J20" s="4">
        <v>0.0039</v>
      </c>
      <c r="K20" s="4">
        <v>0.0039</v>
      </c>
      <c r="P20" s="0">
        <v>26</v>
      </c>
    </row>
    <row r="21" ht="17" customHeight="1">
      <c r="A21" s="6">
        <v>22</v>
      </c>
      <c r="B21" s="6" t="inlineStr">
        <is>
          <t>P019</t>
        </is>
      </c>
      <c r="C21" s="6" t="inlineStr">
        <is>
          <t>2026-10-02 14:51:01.563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H21" s="4">
        <v>10.112</v>
      </c>
      <c r="I21" s="4">
        <v>10.0698</v>
      </c>
      <c r="J21" s="4">
        <v>-0.0422</v>
      </c>
      <c r="K21" s="4">
        <v>0.0422</v>
      </c>
      <c r="P21" s="6">
        <v>27</v>
      </c>
    </row>
    <row r="22" ht="17" customHeight="1">
      <c r="A22" s="0">
        <v>24</v>
      </c>
      <c r="B22" s="0" t="inlineStr">
        <is>
          <t>P019</t>
        </is>
      </c>
      <c r="C22" s="0" t="inlineStr">
        <is>
          <t>2026-10-02 14:51:02.410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10.88</v>
      </c>
      <c r="I22" s="4">
        <v>10.931</v>
      </c>
      <c r="J22" s="4">
        <v>0.051</v>
      </c>
      <c r="K22" s="4">
        <v>0.051</v>
      </c>
      <c r="P22" s="0">
        <v>29</v>
      </c>
    </row>
    <row r="23" ht="17" customHeight="1">
      <c r="A23" s="6">
        <v>25</v>
      </c>
      <c r="B23" s="6" t="inlineStr">
        <is>
          <t>P019</t>
        </is>
      </c>
      <c r="C23" s="6" t="inlineStr">
        <is>
          <t>2026-10-02 14:51:02.686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10.88</v>
      </c>
      <c r="P23" s="6">
        <v>30</v>
      </c>
    </row>
    <row r="24" ht="17" customHeight="1">
      <c r="A24" s="0">
        <v>26</v>
      </c>
      <c r="B24" s="0" t="inlineStr">
        <is>
          <t>P019</t>
        </is>
      </c>
      <c r="C24" s="0" t="inlineStr">
        <is>
          <t>2026-10-02 14:51:02.702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H24" s="4">
        <v>11.264</v>
      </c>
      <c r="I24" s="4">
        <v>11.2227</v>
      </c>
      <c r="J24" s="4">
        <v>-0.0413</v>
      </c>
      <c r="K24" s="4">
        <v>0.0413</v>
      </c>
      <c r="P24" s="0">
        <v>31</v>
      </c>
    </row>
    <row r="25" ht="17" customHeight="1">
      <c r="A25" s="6">
        <v>27</v>
      </c>
      <c r="B25" s="6" t="inlineStr">
        <is>
          <t>P019</t>
        </is>
      </c>
      <c r="C25" s="6" t="inlineStr">
        <is>
          <t>2026-10-02 14:51:03.133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11.648</v>
      </c>
      <c r="I25" s="4">
        <v>11.6531</v>
      </c>
      <c r="J25" s="4">
        <v>0.0051</v>
      </c>
      <c r="K25" s="4">
        <v>0.0051</v>
      </c>
      <c r="P25" s="6">
        <v>32</v>
      </c>
    </row>
    <row r="26" ht="17" customHeight="1">
      <c r="A26" s="0">
        <v>28</v>
      </c>
      <c r="B26" s="0" t="inlineStr">
        <is>
          <t>P019</t>
        </is>
      </c>
      <c r="C26" s="0" t="inlineStr">
        <is>
          <t>2026-10-02 14:51:03.452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H26" s="4">
        <v>11.648</v>
      </c>
      <c r="P26" s="0">
        <v>33</v>
      </c>
    </row>
    <row r="27" ht="17" customHeight="1">
      <c r="A27" s="6">
        <v>29</v>
      </c>
      <c r="B27" s="6" t="inlineStr">
        <is>
          <t>P019</t>
        </is>
      </c>
      <c r="C27" s="6" t="inlineStr">
        <is>
          <t>2026-10-02 14:51:03.507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12.032</v>
      </c>
      <c r="I27" s="4">
        <v>12.0142</v>
      </c>
      <c r="J27" s="4">
        <v>-0.0178</v>
      </c>
      <c r="K27" s="4">
        <v>0.0178</v>
      </c>
      <c r="P27" s="6">
        <v>34</v>
      </c>
    </row>
    <row r="28" ht="17" customHeight="1">
      <c r="A28" s="0">
        <v>30</v>
      </c>
      <c r="B28" s="0" t="inlineStr">
        <is>
          <t>P019</t>
        </is>
      </c>
      <c r="C28" s="0" t="inlineStr">
        <is>
          <t>2026-10-02 14:51:04.230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12.416</v>
      </c>
      <c r="P28" s="0">
        <v>35</v>
      </c>
    </row>
    <row r="29" ht="17" customHeight="1">
      <c r="A29" s="6">
        <v>31</v>
      </c>
      <c r="B29" s="6" t="inlineStr">
        <is>
          <t>P019</t>
        </is>
      </c>
      <c r="C29" s="6" t="inlineStr">
        <is>
          <t>2026-10-02 14:51:04.230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H29" s="4">
        <v>12.416</v>
      </c>
      <c r="P29" s="6">
        <v>36</v>
      </c>
    </row>
    <row r="30" ht="17" customHeight="1">
      <c r="A30" s="0">
        <v>32</v>
      </c>
      <c r="B30" s="0" t="inlineStr">
        <is>
          <t>P019</t>
        </is>
      </c>
      <c r="C30" s="0" t="inlineStr">
        <is>
          <t>2026-10-02 14:51:04.243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12.8</v>
      </c>
      <c r="I30" s="4">
        <v>12.7646</v>
      </c>
      <c r="J30" s="4">
        <v>-0.0354</v>
      </c>
      <c r="K30" s="4">
        <v>0.0354</v>
      </c>
      <c r="P30" s="0">
        <v>37</v>
      </c>
    </row>
    <row r="31" ht="17" customHeight="1">
      <c r="A31" s="6">
        <v>33</v>
      </c>
      <c r="B31" s="6" t="inlineStr">
        <is>
          <t>P019</t>
        </is>
      </c>
      <c r="C31" s="6" t="inlineStr">
        <is>
          <t>2026-10-02 14:51:04.646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13.184</v>
      </c>
      <c r="I31" s="4">
        <v>13.1669</v>
      </c>
      <c r="J31" s="4">
        <v>-0.0171</v>
      </c>
      <c r="K31" s="4">
        <v>0.0171</v>
      </c>
      <c r="P31" s="6">
        <v>38</v>
      </c>
    </row>
    <row r="32" ht="17" customHeight="1">
      <c r="A32" s="0">
        <v>34</v>
      </c>
      <c r="B32" s="0" t="inlineStr">
        <is>
          <t>P019</t>
        </is>
      </c>
      <c r="C32" s="0" t="inlineStr">
        <is>
          <t>2026-10-02 14:51:04.978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H32" s="4">
        <v>13.184</v>
      </c>
      <c r="P32" s="0">
        <v>39</v>
      </c>
    </row>
    <row r="33" ht="17" customHeight="1">
      <c r="A33" s="6">
        <v>35</v>
      </c>
      <c r="B33" s="6" t="inlineStr">
        <is>
          <t>P019</t>
        </is>
      </c>
      <c r="C33" s="6" t="inlineStr">
        <is>
          <t>2026-10-02 14:51:05.022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13.568</v>
      </c>
      <c r="I33" s="4">
        <v>13.5422</v>
      </c>
      <c r="J33" s="4">
        <v>-0.0258</v>
      </c>
      <c r="K33" s="4">
        <v>0.0258</v>
      </c>
      <c r="P33" s="6">
        <v>40</v>
      </c>
    </row>
    <row r="34" ht="17" customHeight="1">
      <c r="A34" s="0">
        <v>36</v>
      </c>
      <c r="B34" s="0" t="inlineStr">
        <is>
          <t>P019</t>
        </is>
      </c>
      <c r="C34" s="0" t="inlineStr">
        <is>
          <t>2026-10-02 14:51:05.451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H34" s="4">
        <v>13.952</v>
      </c>
      <c r="I34" s="4">
        <v>13.9724</v>
      </c>
      <c r="J34" s="4">
        <v>0.0204</v>
      </c>
      <c r="K34" s="4">
        <v>0.0204</v>
      </c>
      <c r="P34" s="0">
        <v>41</v>
      </c>
    </row>
    <row r="35" ht="17" customHeight="1">
      <c r="A35" s="6">
        <v>37</v>
      </c>
      <c r="B35" s="6" t="inlineStr">
        <is>
          <t>P019</t>
        </is>
      </c>
      <c r="C35" s="6" t="inlineStr">
        <is>
          <t>2026-10-02 14:51:05.771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13.952</v>
      </c>
      <c r="P35" s="6">
        <v>42</v>
      </c>
    </row>
    <row r="36" ht="17" customHeight="1">
      <c r="A36" s="0">
        <v>38</v>
      </c>
      <c r="B36" s="0" t="inlineStr">
        <is>
          <t>P019</t>
        </is>
      </c>
      <c r="C36" s="0" t="inlineStr">
        <is>
          <t>2026-10-02 14:51:05.813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14.336</v>
      </c>
      <c r="I36" s="4">
        <v>14.3338</v>
      </c>
      <c r="J36" s="4">
        <v>-0.0022</v>
      </c>
      <c r="K36" s="4">
        <v>0.0022</v>
      </c>
      <c r="P36" s="0">
        <v>43</v>
      </c>
    </row>
    <row r="37" ht="17" customHeight="1">
      <c r="A37" s="6">
        <v>39</v>
      </c>
      <c r="B37" s="6" t="inlineStr">
        <is>
          <t>P019</t>
        </is>
      </c>
      <c r="C37" s="6" t="inlineStr">
        <is>
          <t>2026-10-02 14:51:06.188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14.72</v>
      </c>
      <c r="I37" s="4">
        <v>14.7084</v>
      </c>
      <c r="J37" s="4">
        <v>-0.0116</v>
      </c>
      <c r="K37" s="4">
        <v>0.0116</v>
      </c>
      <c r="P37" s="6">
        <v>44</v>
      </c>
    </row>
    <row r="38" ht="17" customHeight="1">
      <c r="A38" s="0">
        <v>40</v>
      </c>
      <c r="B38" s="0" t="inlineStr">
        <is>
          <t>P019</t>
        </is>
      </c>
      <c r="C38" s="0" t="inlineStr">
        <is>
          <t>2026-10-02 14:51:06.520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14.72</v>
      </c>
      <c r="P38" s="0">
        <v>45</v>
      </c>
    </row>
    <row r="39" ht="17" customHeight="1">
      <c r="A39" s="6">
        <v>41</v>
      </c>
      <c r="B39" s="6" t="inlineStr">
        <is>
          <t>P019</t>
        </is>
      </c>
      <c r="C39" s="6" t="inlineStr">
        <is>
          <t>2026-10-02 14:51:06.563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15.104</v>
      </c>
      <c r="I39" s="4">
        <v>15.0834</v>
      </c>
      <c r="J39" s="4">
        <v>-0.0206</v>
      </c>
      <c r="K39" s="4">
        <v>0.0206</v>
      </c>
      <c r="P39" s="6">
        <v>46</v>
      </c>
    </row>
    <row r="40" ht="17" customHeight="1">
      <c r="A40" s="0">
        <v>42</v>
      </c>
      <c r="B40" s="0" t="inlineStr">
        <is>
          <t>P019</t>
        </is>
      </c>
      <c r="C40" s="0" t="inlineStr">
        <is>
          <t>2026-10-02 14:51:06.980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15.488</v>
      </c>
      <c r="I40" s="4">
        <v>15.5004</v>
      </c>
      <c r="J40" s="4">
        <v>0.0124</v>
      </c>
      <c r="K40" s="4">
        <v>0.0124</v>
      </c>
      <c r="P40" s="0">
        <v>47</v>
      </c>
    </row>
    <row r="41" ht="17" customHeight="1">
      <c r="A41" s="6">
        <v>43</v>
      </c>
      <c r="B41" s="6" t="inlineStr">
        <is>
          <t>P019</t>
        </is>
      </c>
      <c r="C41" s="6" t="inlineStr">
        <is>
          <t>2026-10-02 14:51:07.285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15.488</v>
      </c>
      <c r="P41" s="6">
        <v>48</v>
      </c>
    </row>
    <row r="42" ht="17" customHeight="1">
      <c r="A42" s="0">
        <v>44</v>
      </c>
      <c r="B42" s="0" t="inlineStr">
        <is>
          <t>P019</t>
        </is>
      </c>
      <c r="C42" s="0" t="inlineStr">
        <is>
          <t>2026-10-02 14:51:07.327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H42" s="4">
        <v>15.872</v>
      </c>
      <c r="I42" s="4">
        <v>15.8478</v>
      </c>
      <c r="J42" s="4">
        <v>-0.0242</v>
      </c>
      <c r="K42" s="4">
        <v>0.0242</v>
      </c>
      <c r="P42" s="0">
        <v>49</v>
      </c>
    </row>
    <row r="43" ht="17" customHeight="1">
      <c r="A43" s="6">
        <v>45</v>
      </c>
      <c r="B43" s="6" t="inlineStr">
        <is>
          <t>P019</t>
        </is>
      </c>
      <c r="C43" s="6" t="inlineStr">
        <is>
          <t>2026-10-02 14:51:07.758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H43" s="4">
        <v>16.256</v>
      </c>
      <c r="I43" s="4">
        <v>16.2781</v>
      </c>
      <c r="J43" s="4">
        <v>0.0221</v>
      </c>
      <c r="K43" s="4">
        <v>0.0221</v>
      </c>
      <c r="P43" s="6">
        <v>50</v>
      </c>
    </row>
    <row r="44" ht="17" customHeight="1">
      <c r="A44" s="0">
        <v>46</v>
      </c>
      <c r="B44" s="0" t="inlineStr">
        <is>
          <t>P019</t>
        </is>
      </c>
      <c r="C44" s="0" t="inlineStr">
        <is>
          <t>2026-10-02 14:51:08.049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H44" s="4">
        <v>16.256</v>
      </c>
      <c r="P44" s="0">
        <v>51</v>
      </c>
    </row>
    <row r="45" ht="17" customHeight="1">
      <c r="A45" s="6">
        <v>47</v>
      </c>
      <c r="B45" s="6" t="inlineStr">
        <is>
          <t>P019</t>
        </is>
      </c>
      <c r="C45" s="6" t="inlineStr">
        <is>
          <t>2026-10-02 14:51:08.118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16.64</v>
      </c>
      <c r="I45" s="4">
        <v>16.6394</v>
      </c>
      <c r="J45" s="4">
        <v>-0.0006</v>
      </c>
      <c r="K45" s="4">
        <v>0.0006</v>
      </c>
      <c r="P45" s="6">
        <v>52</v>
      </c>
    </row>
    <row r="46" ht="17" customHeight="1">
      <c r="A46" s="0">
        <v>48</v>
      </c>
      <c r="B46" s="0" t="inlineStr">
        <is>
          <t>P019</t>
        </is>
      </c>
      <c r="C46" s="0" t="inlineStr">
        <is>
          <t>2026-10-02 14:51:08.535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17.024</v>
      </c>
      <c r="I46" s="4">
        <v>17.0566</v>
      </c>
      <c r="J46" s="4">
        <v>0.0326</v>
      </c>
      <c r="K46" s="4">
        <v>0.0326</v>
      </c>
      <c r="P46" s="0">
        <v>53</v>
      </c>
    </row>
    <row r="47" ht="17" customHeight="1">
      <c r="A47" s="6">
        <v>49</v>
      </c>
      <c r="B47" s="6" t="inlineStr">
        <is>
          <t>P019</t>
        </is>
      </c>
      <c r="C47" s="6" t="inlineStr">
        <is>
          <t>2026-10-02 14:51:08.827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H47" s="4">
        <v>17.024</v>
      </c>
      <c r="P47" s="6">
        <v>54</v>
      </c>
    </row>
    <row r="48" ht="17" customHeight="1">
      <c r="A48" s="0">
        <v>50</v>
      </c>
      <c r="B48" s="0" t="inlineStr">
        <is>
          <t>P019</t>
        </is>
      </c>
      <c r="C48" s="0" t="inlineStr">
        <is>
          <t>2026-10-02 14:51:08.870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17.408</v>
      </c>
      <c r="I48" s="4">
        <v>17.3898</v>
      </c>
      <c r="J48" s="4">
        <v>-0.0182</v>
      </c>
      <c r="K48" s="4">
        <v>0.0182</v>
      </c>
      <c r="P48" s="0">
        <v>55</v>
      </c>
    </row>
    <row r="49" ht="17" customHeight="1">
      <c r="A49" s="6">
        <v>51</v>
      </c>
      <c r="B49" s="6" t="inlineStr">
        <is>
          <t>P019</t>
        </is>
      </c>
      <c r="C49" s="6" t="inlineStr">
        <is>
          <t>2026-10-02 14:51:09.272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17.792</v>
      </c>
      <c r="I49" s="4">
        <v>17.7927</v>
      </c>
      <c r="J49" s="4">
        <v>0.0007</v>
      </c>
      <c r="K49" s="4">
        <v>0.0007</v>
      </c>
      <c r="P49" s="6">
        <v>56</v>
      </c>
    </row>
    <row r="50" ht="17" customHeight="1">
      <c r="A50" s="0">
        <v>52</v>
      </c>
      <c r="B50" s="0" t="inlineStr">
        <is>
          <t>P019</t>
        </is>
      </c>
      <c r="C50" s="0" t="inlineStr">
        <is>
          <t>2026-10-02 14:51:09.590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H50" s="4">
        <v>17.792</v>
      </c>
      <c r="P50" s="0">
        <v>57</v>
      </c>
    </row>
    <row r="51" ht="17" customHeight="1">
      <c r="A51" s="6">
        <v>53</v>
      </c>
      <c r="B51" s="6" t="inlineStr">
        <is>
          <t>P019</t>
        </is>
      </c>
      <c r="C51" s="6" t="inlineStr">
        <is>
          <t>2026-10-02 14:51:09.662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18.176</v>
      </c>
      <c r="I51" s="4">
        <v>18.1817</v>
      </c>
      <c r="J51" s="4">
        <v>0.0057</v>
      </c>
      <c r="K51" s="4">
        <v>0.0057</v>
      </c>
      <c r="P51" s="6">
        <v>58</v>
      </c>
    </row>
    <row r="52" ht="17" customHeight="1">
      <c r="A52" s="0">
        <v>54</v>
      </c>
      <c r="B52" s="0" t="inlineStr">
        <is>
          <t>P019</t>
        </is>
      </c>
      <c r="C52" s="0" t="inlineStr">
        <is>
          <t>2026-10-02 14:51:10.092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18.56</v>
      </c>
      <c r="I52" s="4">
        <v>18.5983</v>
      </c>
      <c r="J52" s="4">
        <v>0.0383</v>
      </c>
      <c r="K52" s="4">
        <v>0.0383</v>
      </c>
      <c r="P52" s="0">
        <v>59</v>
      </c>
    </row>
    <row r="53" ht="17" customHeight="1">
      <c r="A53" s="6">
        <v>55</v>
      </c>
      <c r="B53" s="6" t="inlineStr">
        <is>
          <t>P019</t>
        </is>
      </c>
      <c r="C53" s="6" t="inlineStr">
        <is>
          <t>2026-10-02 14:51:10.369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Hard</t>
        </is>
      </c>
      <c r="H53" s="4">
        <v>18.56</v>
      </c>
      <c r="P53" s="6">
        <v>60</v>
      </c>
    </row>
    <row r="54" ht="17" customHeight="1">
      <c r="A54" s="0">
        <v>56</v>
      </c>
      <c r="B54" s="0" t="inlineStr">
        <is>
          <t>P019</t>
        </is>
      </c>
      <c r="C54" s="0" t="inlineStr">
        <is>
          <t>2026-10-02 14:51:10.744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H54" s="4">
        <v>18.944</v>
      </c>
      <c r="P54" s="0">
        <v>61</v>
      </c>
    </row>
    <row r="55" ht="17" customHeight="1">
      <c r="A55" s="6">
        <v>57</v>
      </c>
      <c r="B55" s="6" t="inlineStr">
        <is>
          <t>P019</t>
        </is>
      </c>
      <c r="C55" s="6" t="inlineStr">
        <is>
          <t>2026-10-02 14:51:10.828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19.328</v>
      </c>
      <c r="I55" s="4">
        <v>19.3489</v>
      </c>
      <c r="J55" s="4">
        <v>0.0209</v>
      </c>
      <c r="K55" s="4">
        <v>0.0209</v>
      </c>
      <c r="P55" s="6">
        <v>62</v>
      </c>
    </row>
    <row r="56" ht="17" customHeight="1">
      <c r="A56" s="0">
        <v>58</v>
      </c>
      <c r="B56" s="0" t="inlineStr">
        <is>
          <t>P019</t>
        </is>
      </c>
      <c r="C56" s="0" t="inlineStr">
        <is>
          <t>2026-10-02 14:51:11.133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Hard</t>
        </is>
      </c>
      <c r="H56" s="4">
        <v>19.328</v>
      </c>
      <c r="P56" s="0">
        <v>63</v>
      </c>
    </row>
    <row r="57" ht="17" customHeight="1">
      <c r="A57" s="6">
        <v>59</v>
      </c>
      <c r="B57" s="6" t="inlineStr">
        <is>
          <t>P019</t>
        </is>
      </c>
      <c r="C57" s="6" t="inlineStr">
        <is>
          <t>2026-10-02 14:51:11.230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H57" s="4">
        <v>19.712</v>
      </c>
      <c r="I57" s="4">
        <v>19.7369</v>
      </c>
      <c r="J57" s="4">
        <v>0.0249</v>
      </c>
      <c r="K57" s="4">
        <v>0.0249</v>
      </c>
      <c r="P57" s="6">
        <v>64</v>
      </c>
    </row>
    <row r="58" ht="17" customHeight="1">
      <c r="A58" s="0">
        <v>60</v>
      </c>
      <c r="B58" s="0" t="inlineStr">
        <is>
          <t>P019</t>
        </is>
      </c>
      <c r="C58" s="0" t="inlineStr">
        <is>
          <t>2026-10-02 14:51:11.910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20.096</v>
      </c>
      <c r="P58" s="0">
        <v>65</v>
      </c>
    </row>
    <row r="59" ht="17" customHeight="1">
      <c r="A59" s="6">
        <v>61</v>
      </c>
      <c r="B59" s="6" t="inlineStr">
        <is>
          <t>P019</t>
        </is>
      </c>
      <c r="C59" s="6" t="inlineStr">
        <is>
          <t>2026-10-02 14:51:11.911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Missed</t>
        </is>
      </c>
      <c r="G59" s="6" t="inlineStr">
        <is>
          <t>Hard</t>
        </is>
      </c>
      <c r="H59" s="4">
        <v>20.096</v>
      </c>
      <c r="P59" s="6">
        <v>66</v>
      </c>
    </row>
    <row r="60" ht="17" customHeight="1">
      <c r="A60" s="0">
        <v>65</v>
      </c>
      <c r="B60" s="0" t="inlineStr">
        <is>
          <t>P019</t>
        </is>
      </c>
      <c r="C60" s="0" t="inlineStr">
        <is>
          <t>2026-10-02 14:51:11.980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Normal</t>
        </is>
      </c>
      <c r="H60" s="4">
        <v>20.48</v>
      </c>
      <c r="I60" s="4">
        <v>20.5011</v>
      </c>
      <c r="J60" s="4">
        <v>0.0211</v>
      </c>
      <c r="K60" s="4">
        <v>0.0211</v>
      </c>
      <c r="P60" s="0">
        <v>70</v>
      </c>
    </row>
    <row r="61" ht="17" customHeight="1">
      <c r="A61" s="6">
        <v>66</v>
      </c>
      <c r="B61" s="6" t="inlineStr">
        <is>
          <t>P019</t>
        </is>
      </c>
      <c r="C61" s="6" t="inlineStr">
        <is>
          <t>2026-10-02 14:51:12.660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Normal</t>
        </is>
      </c>
      <c r="H61" s="4">
        <v>20.864</v>
      </c>
      <c r="P61" s="6">
        <v>71</v>
      </c>
    </row>
    <row r="62" ht="17" customHeight="1">
      <c r="A62" s="0">
        <v>67</v>
      </c>
      <c r="B62" s="0" t="inlineStr">
        <is>
          <t>P019</t>
        </is>
      </c>
      <c r="C62" s="0" t="inlineStr">
        <is>
          <t>2026-10-02 14:51:12.660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Normal</t>
        </is>
      </c>
      <c r="H62" s="4">
        <v>20.864</v>
      </c>
      <c r="P62" s="0">
        <v>72</v>
      </c>
    </row>
    <row r="63" ht="17" customHeight="1">
      <c r="A63" s="6">
        <v>68</v>
      </c>
      <c r="B63" s="6" t="inlineStr">
        <is>
          <t>P019</t>
        </is>
      </c>
      <c r="C63" s="6" t="inlineStr">
        <is>
          <t>2026-10-02 14:51:13.091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H63" s="4">
        <v>21.632</v>
      </c>
      <c r="I63" s="4">
        <v>21.6119</v>
      </c>
      <c r="J63" s="4">
        <v>-0.0201</v>
      </c>
      <c r="K63" s="4">
        <v>0.0201</v>
      </c>
      <c r="P63" s="6">
        <v>73</v>
      </c>
    </row>
    <row r="64" ht="17" customHeight="1">
      <c r="A64" s="0">
        <v>69</v>
      </c>
      <c r="B64" s="0" t="inlineStr">
        <is>
          <t>P019</t>
        </is>
      </c>
      <c r="C64" s="0" t="inlineStr">
        <is>
          <t>2026-10-02 14:51:13.882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Normal</t>
        </is>
      </c>
      <c r="H64" s="4">
        <v>22.4</v>
      </c>
      <c r="I64" s="4">
        <v>22.4035</v>
      </c>
      <c r="J64" s="4">
        <v>0.0035</v>
      </c>
      <c r="K64" s="4">
        <v>0.0035</v>
      </c>
      <c r="P64" s="0">
        <v>74</v>
      </c>
    </row>
    <row r="65" ht="17" customHeight="1">
      <c r="A65" s="6">
        <v>70</v>
      </c>
      <c r="B65" s="6" t="inlineStr">
        <is>
          <t>P019</t>
        </is>
      </c>
      <c r="C65" s="6" t="inlineStr">
        <is>
          <t>2026-10-02 14:51:13.882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Failed</t>
        </is>
      </c>
      <c r="G65" s="6" t="inlineStr">
        <is>
          <t>Normal</t>
        </is>
      </c>
      <c r="H65" s="4">
        <v>22.4</v>
      </c>
      <c r="I65" s="4">
        <v>22.4035</v>
      </c>
      <c r="J65" s="4">
        <v>0.0035</v>
      </c>
      <c r="K65" s="4">
        <v>0.0035</v>
      </c>
      <c r="P65" s="6">
        <v>75</v>
      </c>
    </row>
    <row r="66" ht="17" customHeight="1">
      <c r="A66" s="0">
        <v>71</v>
      </c>
      <c r="B66" s="0" t="inlineStr">
        <is>
          <t>P019</t>
        </is>
      </c>
      <c r="C66" s="0" t="inlineStr">
        <is>
          <t>2026-10-02 14:51:14.633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H66" s="4">
        <v>23.168</v>
      </c>
      <c r="I66" s="4">
        <v>23.1532</v>
      </c>
      <c r="J66" s="4">
        <v>-0.0148</v>
      </c>
      <c r="K66" s="4">
        <v>0.0148</v>
      </c>
      <c r="P66" s="0">
        <v>76</v>
      </c>
    </row>
    <row r="67" ht="17" customHeight="1">
      <c r="A67" s="6">
        <v>72</v>
      </c>
      <c r="B67" s="6" t="inlineStr">
        <is>
          <t>P019</t>
        </is>
      </c>
      <c r="C67" s="6" t="inlineStr">
        <is>
          <t>2026-10-02 14:51:14.701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Success</t>
        </is>
      </c>
      <c r="G67" s="6" t="inlineStr">
        <is>
          <t>Normal</t>
        </is>
      </c>
      <c r="H67" s="4">
        <v>23.168</v>
      </c>
      <c r="P67" s="6">
        <v>77</v>
      </c>
    </row>
    <row r="68" ht="17" customHeight="1">
      <c r="A68" s="0">
        <v>73</v>
      </c>
      <c r="B68" s="0" t="inlineStr">
        <is>
          <t>P019</t>
        </is>
      </c>
      <c r="C68" s="0" t="inlineStr">
        <is>
          <t>2026-10-02 14:51:15.423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Failed</t>
        </is>
      </c>
      <c r="G68" s="0" t="inlineStr">
        <is>
          <t>Normal</t>
        </is>
      </c>
      <c r="H68" s="4">
        <v>23.936</v>
      </c>
      <c r="I68" s="4">
        <v>23.9308</v>
      </c>
      <c r="J68" s="4">
        <v>-0.0052</v>
      </c>
      <c r="K68" s="4">
        <v>0.0052</v>
      </c>
      <c r="P68" s="0">
        <v>78</v>
      </c>
    </row>
    <row r="69" ht="17" customHeight="1">
      <c r="A69" s="6">
        <v>74</v>
      </c>
      <c r="B69" s="6" t="inlineStr">
        <is>
          <t>P019</t>
        </is>
      </c>
      <c r="C69" s="6" t="inlineStr">
        <is>
          <t>2026-10-02 14:51:15.728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Missed</t>
        </is>
      </c>
      <c r="G69" s="6" t="inlineStr">
        <is>
          <t>Normal</t>
        </is>
      </c>
      <c r="H69" s="4">
        <v>23.936</v>
      </c>
      <c r="P69" s="6">
        <v>79</v>
      </c>
    </row>
    <row r="70" ht="17" customHeight="1">
      <c r="A70" s="0">
        <v>75</v>
      </c>
      <c r="B70" s="0" t="inlineStr">
        <is>
          <t>P019</t>
        </is>
      </c>
      <c r="C70" s="0" t="inlineStr">
        <is>
          <t>2026-10-02 14:51:16.160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Normal</t>
        </is>
      </c>
      <c r="H70" s="4">
        <v>24.704</v>
      </c>
      <c r="I70" s="4">
        <v>24.6808</v>
      </c>
      <c r="J70" s="4">
        <v>-0.0232</v>
      </c>
      <c r="K70" s="4">
        <v>0.0232</v>
      </c>
      <c r="P70" s="0">
        <v>80</v>
      </c>
    </row>
    <row r="71" ht="17" customHeight="1">
      <c r="A71" s="6">
        <v>76</v>
      </c>
      <c r="B71" s="6" t="inlineStr">
        <is>
          <t>P019</t>
        </is>
      </c>
      <c r="C71" s="6" t="inlineStr">
        <is>
          <t>2026-10-02 14:51:16.951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Failed</t>
        </is>
      </c>
      <c r="G71" s="6" t="inlineStr">
        <is>
          <t>Normal</t>
        </is>
      </c>
      <c r="H71" s="4">
        <v>25.472</v>
      </c>
      <c r="I71" s="4">
        <v>25.4584</v>
      </c>
      <c r="J71" s="4">
        <v>-0.0136</v>
      </c>
      <c r="K71" s="4">
        <v>0.0136</v>
      </c>
      <c r="P71" s="6">
        <v>81</v>
      </c>
    </row>
    <row r="72" ht="17" customHeight="1">
      <c r="A72" s="0">
        <v>77</v>
      </c>
      <c r="B72" s="0" t="inlineStr">
        <is>
          <t>P019</t>
        </is>
      </c>
      <c r="C72" s="0" t="inlineStr">
        <is>
          <t>2026-10-02 14:51:16.951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H72" s="4">
        <v>25.472</v>
      </c>
      <c r="I72" s="4">
        <v>25.4724</v>
      </c>
      <c r="J72" s="4">
        <v>0.0004</v>
      </c>
      <c r="K72" s="4">
        <v>0.0004</v>
      </c>
      <c r="P72" s="0">
        <v>82</v>
      </c>
    </row>
    <row r="73" ht="17" customHeight="1">
      <c r="A73" s="6">
        <v>78</v>
      </c>
      <c r="B73" s="6" t="inlineStr">
        <is>
          <t>P019</t>
        </is>
      </c>
      <c r="C73" s="6" t="inlineStr">
        <is>
          <t>2026-10-02 14:51:17.729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H73" s="4">
        <v>26.24</v>
      </c>
      <c r="I73" s="4">
        <v>26.2498</v>
      </c>
      <c r="J73" s="4">
        <v>0.0098</v>
      </c>
      <c r="K73" s="4">
        <v>0.0098</v>
      </c>
      <c r="P73" s="6">
        <v>83</v>
      </c>
    </row>
    <row r="74" ht="17" customHeight="1">
      <c r="A74" s="0">
        <v>79</v>
      </c>
      <c r="B74" s="0" t="inlineStr">
        <is>
          <t>P019</t>
        </is>
      </c>
      <c r="C74" s="0" t="inlineStr">
        <is>
          <t>2026-10-02 14:51:17.770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Success</t>
        </is>
      </c>
      <c r="G74" s="0" t="inlineStr">
        <is>
          <t>Normal</t>
        </is>
      </c>
      <c r="H74" s="4">
        <v>26.24</v>
      </c>
      <c r="P74" s="0">
        <v>84</v>
      </c>
    </row>
    <row r="75" ht="17" customHeight="1">
      <c r="A75" s="6">
        <v>80</v>
      </c>
      <c r="B75" s="6" t="inlineStr">
        <is>
          <t>P019</t>
        </is>
      </c>
      <c r="C75" s="6" t="inlineStr">
        <is>
          <t>2026-10-02 14:51:18.493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Failed</t>
        </is>
      </c>
      <c r="G75" s="6" t="inlineStr">
        <is>
          <t>Normal</t>
        </is>
      </c>
      <c r="H75" s="4">
        <v>27.008</v>
      </c>
      <c r="I75" s="4">
        <v>27.0136</v>
      </c>
      <c r="J75" s="4">
        <v>0.0056</v>
      </c>
      <c r="K75" s="4">
        <v>0.0056</v>
      </c>
      <c r="P75" s="6">
        <v>85</v>
      </c>
    </row>
    <row r="76" ht="17" customHeight="1">
      <c r="A76" s="0">
        <v>81</v>
      </c>
      <c r="B76" s="0" t="inlineStr">
        <is>
          <t>P019</t>
        </is>
      </c>
      <c r="C76" s="0" t="inlineStr">
        <is>
          <t>2026-10-02 14:51:18.812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Normal</t>
        </is>
      </c>
      <c r="H76" s="4">
        <v>27.008</v>
      </c>
      <c r="P76" s="0">
        <v>86</v>
      </c>
    </row>
    <row r="77" ht="17" customHeight="1">
      <c r="A77" s="6">
        <v>82</v>
      </c>
      <c r="B77" s="6" t="inlineStr">
        <is>
          <t>P019</t>
        </is>
      </c>
      <c r="C77" s="6" t="inlineStr">
        <is>
          <t>2026-10-02 14:51:19.241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Failed</t>
        </is>
      </c>
      <c r="G77" s="6" t="inlineStr">
        <is>
          <t>Normal</t>
        </is>
      </c>
      <c r="H77" s="4">
        <v>27.776</v>
      </c>
      <c r="I77" s="4">
        <v>27.7493</v>
      </c>
      <c r="J77" s="4">
        <v>-0.0267</v>
      </c>
      <c r="K77" s="4">
        <v>0.0267</v>
      </c>
      <c r="P77" s="6">
        <v>87</v>
      </c>
    </row>
    <row r="78" ht="17" customHeight="1">
      <c r="A78" s="0">
        <v>86</v>
      </c>
      <c r="B78" s="0" t="inlineStr">
        <is>
          <t>P019</t>
        </is>
      </c>
      <c r="C78" s="0" t="inlineStr">
        <is>
          <t>2026-10-02 14:51:20.034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Easy</t>
        </is>
      </c>
      <c r="H78" s="4">
        <v>28.544</v>
      </c>
      <c r="I78" s="4">
        <v>28.5549</v>
      </c>
      <c r="J78" s="4">
        <v>0.0109</v>
      </c>
      <c r="K78" s="4">
        <v>0.0109</v>
      </c>
      <c r="P78" s="0">
        <v>91</v>
      </c>
    </row>
    <row r="79" ht="17" customHeight="1">
      <c r="A79" s="6">
        <v>87</v>
      </c>
      <c r="B79" s="6" t="inlineStr">
        <is>
          <t>P019</t>
        </is>
      </c>
      <c r="C79" s="6" t="inlineStr">
        <is>
          <t>2026-10-02 14:51:20.035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Failed</t>
        </is>
      </c>
      <c r="G79" s="6" t="inlineStr">
        <is>
          <t>Easy</t>
        </is>
      </c>
      <c r="H79" s="4">
        <v>28.544</v>
      </c>
      <c r="I79" s="4">
        <v>28.5549</v>
      </c>
      <c r="J79" s="4">
        <v>0.0109</v>
      </c>
      <c r="K79" s="4">
        <v>0.0109</v>
      </c>
      <c r="P79" s="6">
        <v>92</v>
      </c>
    </row>
    <row r="80" ht="17" customHeight="1">
      <c r="A80" s="0">
        <v>88</v>
      </c>
      <c r="B80" s="0" t="inlineStr">
        <is>
          <t>P019</t>
        </is>
      </c>
      <c r="C80" s="0" t="inlineStr">
        <is>
          <t>2026-10-02 14:51:21.548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Easy</t>
        </is>
      </c>
      <c r="H80" s="4">
        <v>30.08</v>
      </c>
      <c r="I80" s="4">
        <v>30.0692</v>
      </c>
      <c r="J80" s="4">
        <v>-0.0108</v>
      </c>
      <c r="K80" s="4">
        <v>0.0108</v>
      </c>
      <c r="P80" s="0">
        <v>93</v>
      </c>
    </row>
    <row r="81" ht="17" customHeight="1">
      <c r="A81" s="6">
        <v>89</v>
      </c>
      <c r="B81" s="6" t="inlineStr">
        <is>
          <t>P019</t>
        </is>
      </c>
      <c r="C81" s="6" t="inlineStr">
        <is>
          <t>2026-10-02 14:51:25.630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Easy</t>
        </is>
      </c>
      <c r="H81" s="4">
        <v>34.304</v>
      </c>
      <c r="I81" s="4">
        <v>34.1374</v>
      </c>
      <c r="J81" s="4">
        <v>-0.1666</v>
      </c>
      <c r="K81" s="4">
        <v>0.1666</v>
      </c>
      <c r="P81" s="6">
        <v>94</v>
      </c>
    </row>
    <row r="82" ht="17" customHeight="1">
      <c r="A82" s="0">
        <v>90</v>
      </c>
      <c r="B82" s="0" t="inlineStr">
        <is>
          <t>P019</t>
        </is>
      </c>
      <c r="C82" s="0" t="inlineStr">
        <is>
          <t>2026-10-02 14:51:28.019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Easy</t>
        </is>
      </c>
      <c r="H82" s="4">
        <v>36.608</v>
      </c>
      <c r="I82" s="4">
        <v>36.5267</v>
      </c>
      <c r="J82" s="4">
        <v>-0.0813</v>
      </c>
      <c r="K82" s="4">
        <v>0.0813</v>
      </c>
      <c r="P82" s="0">
        <v>95</v>
      </c>
    </row>
    <row r="83" ht="17" customHeight="1">
      <c r="A83" s="6">
        <v>91</v>
      </c>
      <c r="B83" s="6" t="inlineStr">
        <is>
          <t>P019</t>
        </is>
      </c>
      <c r="C83" s="6" t="inlineStr">
        <is>
          <t>2026-10-02 14:51:30.340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Easy</t>
        </is>
      </c>
      <c r="H83" s="4">
        <v>38.912</v>
      </c>
      <c r="I83" s="4">
        <v>38.8462</v>
      </c>
      <c r="J83" s="4">
        <v>-0.0658</v>
      </c>
      <c r="K83" s="4">
        <v>0.0658</v>
      </c>
      <c r="P83" s="6">
        <v>96</v>
      </c>
    </row>
    <row r="84" ht="17" customHeight="1">
      <c r="A84" s="0">
        <v>92</v>
      </c>
      <c r="B84" s="0" t="inlineStr">
        <is>
          <t>P019</t>
        </is>
      </c>
      <c r="C84" s="0" t="inlineStr">
        <is>
          <t>2026-10-02 14:51:32.548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Easy</t>
        </is>
      </c>
      <c r="H84" s="4">
        <v>41.216</v>
      </c>
      <c r="I84" s="4">
        <v>41.055</v>
      </c>
      <c r="J84" s="4">
        <v>-0.161</v>
      </c>
      <c r="K84" s="4">
        <v>0.161</v>
      </c>
      <c r="P84" s="0">
        <v>97</v>
      </c>
    </row>
    <row r="85" ht="17" customHeight="1">
      <c r="A85" s="6">
        <v>93</v>
      </c>
      <c r="B85" s="6" t="inlineStr">
        <is>
          <t>P019</t>
        </is>
      </c>
      <c r="C85" s="6" t="inlineStr">
        <is>
          <t>2026-10-02 14:51:36.533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Easy</t>
        </is>
      </c>
      <c r="H85" s="4">
        <v>45.056</v>
      </c>
      <c r="I85" s="4">
        <v>45.0398</v>
      </c>
      <c r="J85" s="4">
        <v>-0.0162</v>
      </c>
      <c r="K85" s="4">
        <v>0.0162</v>
      </c>
      <c r="P85" s="6">
        <v>98</v>
      </c>
    </row>
    <row r="86" ht="17" customHeight="1">
      <c r="A86" s="0">
        <v>94</v>
      </c>
      <c r="B86" s="0" t="inlineStr">
        <is>
          <t>P019</t>
        </is>
      </c>
      <c r="C86" s="0" t="inlineStr">
        <is>
          <t>2026-10-02 14:51:38.671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Easy</t>
        </is>
      </c>
      <c r="H86" s="4">
        <v>47.36</v>
      </c>
      <c r="I86" s="4">
        <v>47.1787</v>
      </c>
      <c r="J86" s="4">
        <v>-0.1813</v>
      </c>
      <c r="K86" s="4">
        <v>0.1813</v>
      </c>
      <c r="P86" s="0">
        <v>99</v>
      </c>
    </row>
    <row r="87" ht="17" customHeight="1">
      <c r="A87" s="6">
        <v>95</v>
      </c>
      <c r="B87" s="6" t="inlineStr">
        <is>
          <t>P019</t>
        </is>
      </c>
      <c r="C87" s="6" t="inlineStr">
        <is>
          <t>2026-10-02 14:51:41.032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Easy</t>
        </is>
      </c>
      <c r="H87" s="4">
        <v>49.664</v>
      </c>
      <c r="I87" s="4">
        <v>49.5392</v>
      </c>
      <c r="J87" s="4">
        <v>-0.1248</v>
      </c>
      <c r="K87" s="4">
        <v>0.1248</v>
      </c>
      <c r="P87" s="6">
        <v>100</v>
      </c>
    </row>
    <row r="88" ht="17" customHeight="1">
      <c r="A88" s="0">
        <v>96</v>
      </c>
      <c r="B88" s="0" t="inlineStr">
        <is>
          <t>P019</t>
        </is>
      </c>
      <c r="C88" s="0" t="inlineStr">
        <is>
          <t>2026-10-02 14:51:43.628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Easy</t>
        </is>
      </c>
      <c r="H88" s="4">
        <v>51.968</v>
      </c>
      <c r="I88" s="4">
        <v>52.1363</v>
      </c>
      <c r="J88" s="4">
        <v>0.1683</v>
      </c>
      <c r="K88" s="4">
        <v>0.1683</v>
      </c>
      <c r="P88" s="0">
        <v>101</v>
      </c>
    </row>
    <row r="89" ht="17" customHeight="1">
      <c r="A89" s="6">
        <v>98</v>
      </c>
      <c r="B89" s="6" t="inlineStr">
        <is>
          <t>P019</t>
        </is>
      </c>
      <c r="C89" s="6" t="inlineStr">
        <is>
          <t>2026-10-02 14:51:44.003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Normal</t>
        </is>
      </c>
      <c r="H89" s="4">
        <v>52.352</v>
      </c>
      <c r="I89" s="4">
        <v>52.5104</v>
      </c>
      <c r="J89" s="4">
        <v>0.1584</v>
      </c>
      <c r="K89" s="4">
        <v>0.1584</v>
      </c>
      <c r="P89" s="6">
        <v>103</v>
      </c>
    </row>
    <row r="90" ht="17" customHeight="1">
      <c r="A90" s="0">
        <v>99</v>
      </c>
      <c r="B90" s="0" t="inlineStr">
        <is>
          <t>P019</t>
        </is>
      </c>
      <c r="C90" s="0" t="inlineStr">
        <is>
          <t>2026-10-02 14:51:45.961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H90" s="4">
        <v>54.656</v>
      </c>
      <c r="I90" s="4">
        <v>54.4685</v>
      </c>
      <c r="J90" s="4">
        <v>-0.1875</v>
      </c>
      <c r="K90" s="4">
        <v>0.1875</v>
      </c>
      <c r="P90" s="0">
        <v>104</v>
      </c>
    </row>
    <row r="91" ht="17" customHeight="1">
      <c r="A91" s="6">
        <v>100</v>
      </c>
      <c r="B91" s="6" t="inlineStr">
        <is>
          <t>P019</t>
        </is>
      </c>
      <c r="C91" s="6" t="inlineStr">
        <is>
          <t>2026-10-02 14:51:48.406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H91" s="4">
        <v>56.96</v>
      </c>
      <c r="I91" s="4">
        <v>56.9127</v>
      </c>
      <c r="J91" s="4">
        <v>-0.0473</v>
      </c>
      <c r="K91" s="4">
        <v>0.0473</v>
      </c>
      <c r="P91" s="6">
        <v>105</v>
      </c>
    </row>
    <row r="92" ht="17" customHeight="1">
      <c r="A92" s="0">
        <v>101</v>
      </c>
      <c r="B92" s="0" t="inlineStr">
        <is>
          <t>P019</t>
        </is>
      </c>
      <c r="C92" s="0" t="inlineStr">
        <is>
          <t>2026-10-02 14:51:50.628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Normal</t>
        </is>
      </c>
      <c r="H92" s="4">
        <v>59.264</v>
      </c>
      <c r="I92" s="4">
        <v>59.1352</v>
      </c>
      <c r="J92" s="4">
        <v>-0.1288</v>
      </c>
      <c r="K92" s="4">
        <v>0.1288</v>
      </c>
      <c r="P92" s="0">
        <v>106</v>
      </c>
    </row>
    <row r="93" ht="17" customHeight="1">
      <c r="A93" s="6">
        <v>102</v>
      </c>
      <c r="B93" s="6" t="inlineStr">
        <is>
          <t>P019</t>
        </is>
      </c>
      <c r="C93" s="6" t="inlineStr">
        <is>
          <t>2026-10-02 14:51:52.893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Normal</t>
        </is>
      </c>
      <c r="H93" s="4">
        <v>61.568</v>
      </c>
      <c r="I93" s="4">
        <v>61.3997</v>
      </c>
      <c r="J93" s="4">
        <v>-0.1683</v>
      </c>
      <c r="K93" s="4">
        <v>0.1683</v>
      </c>
      <c r="P93" s="6">
        <v>107</v>
      </c>
    </row>
    <row r="94" ht="17" customHeight="1">
      <c r="A94" s="0">
        <v>103</v>
      </c>
      <c r="B94" s="0" t="inlineStr">
        <is>
          <t>P019</t>
        </is>
      </c>
      <c r="C94" s="0" t="inlineStr">
        <is>
          <t>2026-10-02 14:51:53.546</t>
        </is>
      </c>
      <c r="D94" s="0" t="inlineStr">
        <is>
          <t>Joaquin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Normal</t>
        </is>
      </c>
      <c r="H94" s="4">
        <v>62.0528</v>
      </c>
      <c r="P94" s="0">
        <v>108</v>
      </c>
    </row>
    <row r="95" ht="17" customHeight="1">
      <c r="A95" s="6">
        <v>104</v>
      </c>
      <c r="B95" s="6" t="inlineStr">
        <is>
          <t>P019</t>
        </is>
      </c>
      <c r="C95" s="6" t="inlineStr">
        <is>
          <t>2026-10-02 14:51:57.728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Failed</t>
        </is>
      </c>
      <c r="G95" s="6" t="inlineStr">
        <is>
          <t>Normal</t>
        </is>
      </c>
      <c r="H95" s="4">
        <v>66.2528</v>
      </c>
      <c r="I95" s="4">
        <v>66.2349</v>
      </c>
      <c r="J95" s="4">
        <v>-0.0179</v>
      </c>
      <c r="K95" s="4">
        <v>0.0179</v>
      </c>
      <c r="L95" s="4">
        <v>0.8269</v>
      </c>
      <c r="N95" s="4">
        <v>0.0</v>
      </c>
      <c r="P95" s="6">
        <v>109</v>
      </c>
    </row>
    <row r="96" ht="17" customHeight="1">
      <c r="A96" s="0">
        <v>105</v>
      </c>
      <c r="B96" s="0" t="inlineStr">
        <is>
          <t>P019</t>
        </is>
      </c>
      <c r="C96" s="0" t="inlineStr">
        <is>
          <t>2026-10-02 14:51:58.993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Failed</t>
        </is>
      </c>
      <c r="G96" s="0" t="inlineStr">
        <is>
          <t>Normal</t>
        </is>
      </c>
      <c r="H96" s="4">
        <v>67.7888</v>
      </c>
      <c r="P96" s="0">
        <v>110</v>
      </c>
    </row>
    <row r="97" ht="17" customHeight="1">
      <c r="A97" s="6">
        <v>106</v>
      </c>
      <c r="B97" s="6" t="inlineStr">
        <is>
          <t>P019</t>
        </is>
      </c>
      <c r="C97" s="6" t="inlineStr">
        <is>
          <t>2026-10-02 14:52:01.172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Success</t>
        </is>
      </c>
      <c r="G97" s="6" t="inlineStr">
        <is>
          <t>Normal</t>
        </is>
      </c>
      <c r="H97" s="4">
        <v>69.3248</v>
      </c>
      <c r="I97" s="4">
        <v>69.6799</v>
      </c>
      <c r="J97" s="4">
        <v>0.3551</v>
      </c>
      <c r="K97" s="4">
        <v>0.3551</v>
      </c>
      <c r="L97" s="4">
        <v>1.1999</v>
      </c>
      <c r="N97" s="4">
        <v>1.0</v>
      </c>
      <c r="P97" s="6">
        <v>111</v>
      </c>
    </row>
    <row r="98" ht="17" customHeight="1">
      <c r="A98" s="0">
        <v>107</v>
      </c>
      <c r="B98" s="0" t="inlineStr">
        <is>
          <t>P019</t>
        </is>
      </c>
      <c r="C98" s="0" t="inlineStr">
        <is>
          <t>2026-10-02 14:52:01.548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Normal</t>
        </is>
      </c>
      <c r="H98" s="4">
        <v>70.8608</v>
      </c>
      <c r="I98" s="4">
        <v>70.0547</v>
      </c>
      <c r="J98" s="4">
        <v>-0.8061</v>
      </c>
      <c r="K98" s="4">
        <v>0.8061</v>
      </c>
      <c r="L98" s="4">
        <v>0.0387</v>
      </c>
      <c r="N98" s="4">
        <v>0.0</v>
      </c>
      <c r="P98" s="0">
        <v>112</v>
      </c>
    </row>
    <row r="99" ht="17" customHeight="1">
      <c r="A99" s="6">
        <v>108</v>
      </c>
      <c r="B99" s="6" t="inlineStr">
        <is>
          <t>P019</t>
        </is>
      </c>
      <c r="C99" s="6" t="inlineStr">
        <is>
          <t>2026-10-02 14:52:03.061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Normal</t>
        </is>
      </c>
      <c r="H99" s="4">
        <v>72.3968</v>
      </c>
      <c r="I99" s="4">
        <v>71.5686</v>
      </c>
      <c r="J99" s="4">
        <v>-0.8282</v>
      </c>
      <c r="K99" s="4">
        <v>0.8282</v>
      </c>
      <c r="L99" s="4">
        <v>0.0166</v>
      </c>
      <c r="N99" s="4">
        <v>0.0</v>
      </c>
      <c r="P99" s="6">
        <v>113</v>
      </c>
    </row>
    <row r="100" ht="17" customHeight="1">
      <c r="A100" s="0">
        <v>112</v>
      </c>
      <c r="B100" s="0" t="inlineStr">
        <is>
          <t>P019</t>
        </is>
      </c>
      <c r="C100" s="0" t="inlineStr">
        <is>
          <t>2026-10-02 14:52:04.990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Normal</t>
        </is>
      </c>
      <c r="H100" s="4">
        <v>74.528</v>
      </c>
      <c r="I100" s="4">
        <v>73.498</v>
      </c>
      <c r="J100" s="4">
        <v>-1.03</v>
      </c>
      <c r="K100" s="4">
        <v>1.03</v>
      </c>
      <c r="L100" s="4">
        <v>0.026</v>
      </c>
      <c r="N100" s="4">
        <v>0.0</v>
      </c>
      <c r="P100" s="0">
        <v>117</v>
      </c>
    </row>
    <row r="101" ht="17" customHeight="1">
      <c r="A101" s="6">
        <v>113</v>
      </c>
      <c r="B101" s="6" t="inlineStr">
        <is>
          <t>P019</t>
        </is>
      </c>
      <c r="C101" s="6" t="inlineStr">
        <is>
          <t>2026-10-02 14:52:07.811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Success</t>
        </is>
      </c>
      <c r="G101" s="6" t="inlineStr">
        <is>
          <t>Normal</t>
        </is>
      </c>
      <c r="H101" s="4">
        <v>76.448</v>
      </c>
      <c r="I101" s="4">
        <v>76.3175</v>
      </c>
      <c r="J101" s="4">
        <v>-0.1305</v>
      </c>
      <c r="K101" s="4">
        <v>0.1305</v>
      </c>
      <c r="L101" s="4">
        <v>0.9255</v>
      </c>
      <c r="N101" s="4">
        <v>1.0</v>
      </c>
      <c r="P101" s="6">
        <v>118</v>
      </c>
    </row>
    <row r="102" ht="17" customHeight="1">
      <c r="A102" s="0">
        <v>115</v>
      </c>
      <c r="B102" s="0" t="inlineStr">
        <is>
          <t>P019</t>
        </is>
      </c>
      <c r="C102" s="0" t="inlineStr">
        <is>
          <t>2026-10-02 14:52:09.545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Success</t>
        </is>
      </c>
      <c r="G102" s="0" t="inlineStr">
        <is>
          <t>Easy</t>
        </is>
      </c>
      <c r="H102" s="4">
        <v>78.368</v>
      </c>
      <c r="I102" s="4">
        <v>78.0525</v>
      </c>
      <c r="J102" s="4">
        <v>-0.3155</v>
      </c>
      <c r="K102" s="4">
        <v>0.3155</v>
      </c>
      <c r="L102" s="4">
        <v>0.7405</v>
      </c>
      <c r="N102" s="4">
        <v>1.0</v>
      </c>
      <c r="P102" s="0">
        <v>120</v>
      </c>
    </row>
    <row r="103" ht="17" customHeight="1">
      <c r="A103" s="6">
        <v>117</v>
      </c>
      <c r="B103" s="6" t="inlineStr">
        <is>
          <t>P019</t>
        </is>
      </c>
      <c r="C103" s="6" t="inlineStr">
        <is>
          <t>2026-10-02 14:52:12.087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Failed</t>
        </is>
      </c>
      <c r="G103" s="6" t="inlineStr">
        <is>
          <t>Easy</t>
        </is>
      </c>
      <c r="H103" s="4">
        <v>80.288</v>
      </c>
      <c r="P103" s="6">
        <v>122</v>
      </c>
    </row>
    <row r="104" ht="17" customHeight="1">
      <c r="A104" s="0">
        <v>118</v>
      </c>
      <c r="B104" s="0" t="inlineStr">
        <is>
          <t>P019</t>
        </is>
      </c>
      <c r="C104" s="0" t="inlineStr">
        <is>
          <t>2026-10-02 14:52:12.670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Failed</t>
        </is>
      </c>
      <c r="G104" s="0" t="inlineStr">
        <is>
          <t>Easy</t>
        </is>
      </c>
      <c r="H104" s="4">
        <v>82.208</v>
      </c>
      <c r="I104" s="4">
        <v>81.1773</v>
      </c>
      <c r="J104" s="4">
        <v>-1.0307</v>
      </c>
      <c r="K104" s="4">
        <v>1.0307</v>
      </c>
      <c r="L104" s="4">
        <v>0.0253</v>
      </c>
      <c r="N104" s="4">
        <v>0.0</v>
      </c>
      <c r="P104" s="0">
        <v>123</v>
      </c>
    </row>
    <row r="105" ht="17" customHeight="1">
      <c r="A105" s="6">
        <v>119</v>
      </c>
      <c r="B105" s="6" t="inlineStr">
        <is>
          <t>P019</t>
        </is>
      </c>
      <c r="C105" s="6" t="inlineStr">
        <is>
          <t>2026-10-02 14:52:14.587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Easy</t>
        </is>
      </c>
      <c r="H105" s="4">
        <v>84.128</v>
      </c>
      <c r="I105" s="4">
        <v>83.0937</v>
      </c>
      <c r="J105" s="4">
        <v>-1.0343</v>
      </c>
      <c r="K105" s="4">
        <v>1.0343</v>
      </c>
      <c r="L105" s="4">
        <v>0.0217</v>
      </c>
      <c r="N105" s="4">
        <v>0.0</v>
      </c>
      <c r="P105" s="6">
        <v>124</v>
      </c>
    </row>
    <row r="106" ht="17" customHeight="1">
      <c r="A106" s="0">
        <v>120</v>
      </c>
      <c r="B106" s="0" t="inlineStr">
        <is>
          <t>P019</t>
        </is>
      </c>
      <c r="C106" s="0" t="inlineStr">
        <is>
          <t>2026-10-02 14:52:16.503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Failed</t>
        </is>
      </c>
      <c r="G106" s="0" t="inlineStr">
        <is>
          <t>Easy</t>
        </is>
      </c>
      <c r="H106" s="4">
        <v>86.048</v>
      </c>
      <c r="I106" s="4">
        <v>85.0111</v>
      </c>
      <c r="J106" s="4">
        <v>-1.0369</v>
      </c>
      <c r="K106" s="4">
        <v>1.0369</v>
      </c>
      <c r="L106" s="4">
        <v>0.0191</v>
      </c>
      <c r="N106" s="4">
        <v>0.0</v>
      </c>
      <c r="P106" s="0">
        <v>125</v>
      </c>
    </row>
    <row r="107" ht="17" customHeight="1">
      <c r="A107" s="6">
        <v>122</v>
      </c>
      <c r="B107" s="6" t="inlineStr">
        <is>
          <t>P019</t>
        </is>
      </c>
      <c r="C107" s="6" t="inlineStr">
        <is>
          <t>2026-10-02 14:52:19.088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Success</t>
        </is>
      </c>
      <c r="G107" s="6" t="inlineStr">
        <is>
          <t>Easy</t>
        </is>
      </c>
      <c r="H107" s="4">
        <v>87.968</v>
      </c>
      <c r="I107" s="4">
        <v>87.5946</v>
      </c>
      <c r="J107" s="4">
        <v>-0.3734</v>
      </c>
      <c r="K107" s="4">
        <v>0.3734</v>
      </c>
      <c r="L107" s="4">
        <v>0.6826</v>
      </c>
      <c r="N107" s="4">
        <v>1.0</v>
      </c>
      <c r="P107" s="6">
        <v>127</v>
      </c>
    </row>
    <row r="108" ht="17" customHeight="1">
      <c r="A108" s="0">
        <v>123</v>
      </c>
      <c r="B108" s="0" t="inlineStr">
        <is>
          <t>P019</t>
        </is>
      </c>
      <c r="C108" s="0" t="inlineStr">
        <is>
          <t>2026-10-02 14:52:21.032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Success</t>
        </is>
      </c>
      <c r="G108" s="0" t="inlineStr">
        <is>
          <t>Easy</t>
        </is>
      </c>
      <c r="H108" s="4">
        <v>89.888</v>
      </c>
      <c r="I108" s="4">
        <v>89.5392</v>
      </c>
      <c r="J108" s="4">
        <v>-0.3488</v>
      </c>
      <c r="K108" s="4">
        <v>0.3488</v>
      </c>
      <c r="L108" s="4">
        <v>0.7072</v>
      </c>
      <c r="N108" s="4">
        <v>1.0</v>
      </c>
      <c r="P108" s="0">
        <v>128</v>
      </c>
    </row>
    <row r="109" ht="17" customHeight="1">
      <c r="A109" s="6">
        <v>124</v>
      </c>
      <c r="B109" s="6" t="inlineStr">
        <is>
          <t>P019</t>
        </is>
      </c>
      <c r="C109" s="6" t="inlineStr">
        <is>
          <t>2026-10-02 14:52:23.268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Failed</t>
        </is>
      </c>
      <c r="G109" s="6" t="inlineStr">
        <is>
          <t>Easy</t>
        </is>
      </c>
      <c r="H109" s="4">
        <v>91.808</v>
      </c>
      <c r="P109" s="6">
        <v>129</v>
      </c>
    </row>
    <row r="110" ht="17" customHeight="1">
      <c r="A110" s="0">
        <v>125</v>
      </c>
      <c r="B110" s="0" t="inlineStr">
        <is>
          <t>P019</t>
        </is>
      </c>
      <c r="C110" s="0" t="inlineStr">
        <is>
          <t>2026-10-02 14:52:24.186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H110" s="4">
        <v>93.728</v>
      </c>
      <c r="I110" s="4">
        <v>92.693</v>
      </c>
      <c r="J110" s="4">
        <v>-1.035</v>
      </c>
      <c r="K110" s="4">
        <v>1.035</v>
      </c>
      <c r="L110" s="4">
        <v>0.021</v>
      </c>
      <c r="N110" s="4">
        <v>0.0</v>
      </c>
      <c r="P110" s="0">
        <v>130</v>
      </c>
    </row>
    <row r="111" ht="17" customHeight="1">
      <c r="A111" s="6">
        <v>126</v>
      </c>
      <c r="B111" s="6" t="inlineStr">
        <is>
          <t>P019</t>
        </is>
      </c>
      <c r="C111" s="6" t="inlineStr">
        <is>
          <t>2026-10-02 14:52:28.700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Easy</t>
        </is>
      </c>
      <c r="H111" s="4">
        <v>96.128</v>
      </c>
      <c r="I111" s="4">
        <v>96.9711</v>
      </c>
      <c r="J111" s="4">
        <v>0.8431</v>
      </c>
      <c r="K111" s="4">
        <v>0.8431</v>
      </c>
      <c r="N111" s="4">
        <v>0.0</v>
      </c>
      <c r="O111" s="6" t="b">
        <v>0</v>
      </c>
      <c r="P111" s="6">
        <v>131</v>
      </c>
    </row>
    <row r="112" ht="17" customHeight="1">
      <c r="A112" s="0">
        <v>128</v>
      </c>
      <c r="B112" s="0" t="inlineStr">
        <is>
          <t>P019</t>
        </is>
      </c>
      <c r="C112" s="0" t="inlineStr">
        <is>
          <t>2026-10-02 14:52:30.228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Easy</t>
        </is>
      </c>
      <c r="H112" s="4">
        <v>94.976</v>
      </c>
      <c r="I112" s="4">
        <v>98.6099</v>
      </c>
      <c r="J112" s="4">
        <v>3.6339</v>
      </c>
      <c r="K112" s="4">
        <v>3.6339</v>
      </c>
      <c r="N112" s="4">
        <v>1.0</v>
      </c>
      <c r="O112" s="0" t="b">
        <v>1</v>
      </c>
      <c r="P112" s="0">
        <v>133</v>
      </c>
    </row>
    <row r="113" ht="17" customHeight="1">
      <c r="A113" s="6">
        <v>130</v>
      </c>
      <c r="B113" s="6" t="inlineStr">
        <is>
          <t>P019</t>
        </is>
      </c>
      <c r="C113" s="6" t="inlineStr">
        <is>
          <t>2026-10-02 14:52:35.935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Missed</t>
        </is>
      </c>
      <c r="G113" s="6" t="inlineStr">
        <is>
          <t>Easy</t>
        </is>
      </c>
      <c r="H113" s="4">
        <v>98.432</v>
      </c>
      <c r="P113" s="6">
        <v>135</v>
      </c>
    </row>
    <row r="114" ht="17" customHeight="1">
      <c r="A114" s="0">
        <v>131</v>
      </c>
      <c r="B114" s="0" t="inlineStr">
        <is>
          <t>P019</t>
        </is>
      </c>
      <c r="C114" s="0" t="inlineStr">
        <is>
          <t>2026-10-02 14:52:38.463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Failed</t>
        </is>
      </c>
      <c r="G114" s="0" t="inlineStr">
        <is>
          <t>Easy</t>
        </is>
      </c>
      <c r="H114" s="4">
        <v>101.12</v>
      </c>
      <c r="I114" s="4">
        <v>105.97</v>
      </c>
      <c r="J114" s="4">
        <v>4.85</v>
      </c>
      <c r="K114" s="4">
        <v>4.85</v>
      </c>
      <c r="N114" s="4">
        <v>0.0</v>
      </c>
      <c r="O114" s="0" t="b">
        <v>0</v>
      </c>
      <c r="P114" s="0">
        <v>136</v>
      </c>
    </row>
    <row r="115" ht="17" customHeight="1">
      <c r="A115" s="6">
        <v>133</v>
      </c>
      <c r="B115" s="6" t="inlineStr">
        <is>
          <t>P019</t>
        </is>
      </c>
      <c r="C115" s="6" t="inlineStr">
        <is>
          <t>2026-10-02 14:52:42.462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Missed</t>
        </is>
      </c>
      <c r="G115" s="6" t="inlineStr">
        <is>
          <t>Easy</t>
        </is>
      </c>
      <c r="H115" s="4">
        <v>104.96</v>
      </c>
      <c r="P115" s="6">
        <v>138</v>
      </c>
    </row>
    <row r="116" ht="17" customHeight="1">
      <c r="A116" s="0">
        <v>135</v>
      </c>
      <c r="B116" s="0" t="inlineStr">
        <is>
          <t>P019</t>
        </is>
      </c>
      <c r="C116" s="0" t="inlineStr">
        <is>
          <t>2026-10-02 14:52:45.253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H116" s="4">
        <v>108.032</v>
      </c>
      <c r="I116" s="4">
        <v>111.1367</v>
      </c>
      <c r="J116" s="4">
        <v>3.1047</v>
      </c>
      <c r="K116" s="4">
        <v>3.1047</v>
      </c>
      <c r="N116" s="4">
        <v>0.0</v>
      </c>
      <c r="O116" s="0" t="b">
        <v>0</v>
      </c>
      <c r="P116" s="0">
        <v>140</v>
      </c>
    </row>
    <row r="117" ht="17" customHeight="1">
      <c r="A117" s="6">
        <v>137</v>
      </c>
      <c r="B117" s="6" t="inlineStr">
        <is>
          <t>P019</t>
        </is>
      </c>
      <c r="C117" s="6" t="inlineStr">
        <is>
          <t>2026-10-02 14:52:49.671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Success</t>
        </is>
      </c>
      <c r="G117" s="6" t="inlineStr">
        <is>
          <t>Easy</t>
        </is>
      </c>
      <c r="H117" s="4">
        <v>113.024</v>
      </c>
      <c r="I117" s="4">
        <v>117.5391</v>
      </c>
      <c r="J117" s="4">
        <v>4.5151</v>
      </c>
      <c r="K117" s="4">
        <v>4.5151</v>
      </c>
      <c r="N117" s="4">
        <v>1.0</v>
      </c>
      <c r="O117" s="6" t="b">
        <v>1</v>
      </c>
      <c r="P117" s="6">
        <v>142</v>
      </c>
    </row>
    <row r="118" ht="17" customHeight="1">
      <c r="A118" s="0">
        <v>138</v>
      </c>
      <c r="B118" s="0" t="inlineStr">
        <is>
          <t>P019</t>
        </is>
      </c>
      <c r="C118" s="0" t="inlineStr">
        <is>
          <t>2026-10-02 14:52:53.601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Missed</t>
        </is>
      </c>
      <c r="G118" s="0" t="inlineStr">
        <is>
          <t>Easy</t>
        </is>
      </c>
      <c r="H118" s="4">
        <v>116.096</v>
      </c>
      <c r="P118" s="0">
        <v>143</v>
      </c>
    </row>
    <row r="119" ht="17" customHeight="1">
      <c r="A119" s="6">
        <v>140</v>
      </c>
      <c r="B119" s="6" t="inlineStr">
        <is>
          <t>P019</t>
        </is>
      </c>
      <c r="C119" s="6" t="inlineStr">
        <is>
          <t>2026-10-02 14:52:55.672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Success</t>
        </is>
      </c>
      <c r="G119" s="6" t="inlineStr">
        <is>
          <t>Easy</t>
        </is>
      </c>
      <c r="H119" s="4">
        <v>119.936</v>
      </c>
      <c r="I119" s="4">
        <v>124.109</v>
      </c>
      <c r="J119" s="4">
        <v>4.173</v>
      </c>
      <c r="K119" s="4">
        <v>4.173</v>
      </c>
      <c r="N119" s="4">
        <v>1.0</v>
      </c>
      <c r="O119" s="6" t="b">
        <v>1</v>
      </c>
      <c r="P119" s="6">
        <v>145</v>
      </c>
    </row>
    <row r="120" ht="17" customHeight="1">
      <c r="A120" s="0">
        <v>142</v>
      </c>
      <c r="B120" s="0" t="inlineStr">
        <is>
          <t>P019</t>
        </is>
      </c>
      <c r="C120" s="0" t="inlineStr">
        <is>
          <t>2026-10-02 14:52:57.821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H120" s="4">
        <v>126.08</v>
      </c>
      <c r="I120" s="4">
        <v>126.2027</v>
      </c>
      <c r="J120" s="4">
        <v>0.1227</v>
      </c>
      <c r="K120" s="4">
        <v>0.1227</v>
      </c>
      <c r="P120" s="0">
        <v>147</v>
      </c>
    </row>
    <row r="121" ht="17" customHeight="1">
      <c r="A121" s="6">
        <v>143</v>
      </c>
      <c r="B121" s="6" t="inlineStr">
        <is>
          <t>P019</t>
        </is>
      </c>
      <c r="C121" s="6" t="inlineStr">
        <is>
          <t>2026-10-02 14:52:59.140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H121" s="4">
        <v>127.616</v>
      </c>
      <c r="I121" s="4">
        <v>127.4391</v>
      </c>
      <c r="J121" s="4">
        <v>-0.1769</v>
      </c>
      <c r="K121" s="4">
        <v>0.1769</v>
      </c>
      <c r="P121" s="6">
        <v>148</v>
      </c>
    </row>
    <row r="122" ht="17" customHeight="1">
      <c r="A122" s="0">
        <v>144</v>
      </c>
      <c r="B122" s="0" t="inlineStr">
        <is>
          <t>P019</t>
        </is>
      </c>
      <c r="C122" s="0" t="inlineStr">
        <is>
          <t>2026-10-02 14:53:01.530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Failed</t>
        </is>
      </c>
      <c r="G122" s="0" t="inlineStr">
        <is>
          <t>Easy</t>
        </is>
      </c>
      <c r="H122" s="4">
        <v>130.0368</v>
      </c>
      <c r="P122" s="0">
        <v>149</v>
      </c>
    </row>
    <row r="123" ht="17" customHeight="1">
      <c r="A123" s="6">
        <v>145</v>
      </c>
      <c r="B123" s="6" t="inlineStr">
        <is>
          <t>P019</t>
        </is>
      </c>
      <c r="C123" s="6" t="inlineStr">
        <is>
          <t>2026-10-02 14:53:01.572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H123" s="4">
        <v>129.536</v>
      </c>
      <c r="I123" s="4">
        <v>129.356</v>
      </c>
      <c r="J123" s="4">
        <v>-0.18</v>
      </c>
      <c r="K123" s="4">
        <v>0.18</v>
      </c>
      <c r="P123" s="6">
        <v>150</v>
      </c>
    </row>
    <row r="124" ht="17" customHeight="1">
      <c r="A124" s="0">
        <v>146</v>
      </c>
      <c r="B124" s="0" t="inlineStr">
        <is>
          <t>P019</t>
        </is>
      </c>
      <c r="C124" s="0" t="inlineStr">
        <is>
          <t>2026-10-02 14:53:03.808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131.84</v>
      </c>
      <c r="I124" s="4">
        <v>131.7727</v>
      </c>
      <c r="J124" s="4">
        <v>-0.0673</v>
      </c>
      <c r="K124" s="4">
        <v>0.0673</v>
      </c>
      <c r="P124" s="0">
        <v>151</v>
      </c>
    </row>
    <row r="125" ht="17" customHeight="1">
      <c r="A125" s="6">
        <v>147</v>
      </c>
      <c r="B125" s="6" t="inlineStr">
        <is>
          <t>P019</t>
        </is>
      </c>
      <c r="C125" s="6" t="inlineStr">
        <is>
          <t>2026-10-02 14:53:04.391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H125" s="4">
        <v>132.898</v>
      </c>
      <c r="P125" s="6">
        <v>152</v>
      </c>
    </row>
    <row r="126" ht="17" customHeight="1">
      <c r="A126" s="0">
        <v>148</v>
      </c>
      <c r="B126" s="0" t="inlineStr">
        <is>
          <t>P019</t>
        </is>
      </c>
      <c r="C126" s="0" t="inlineStr">
        <is>
          <t>2026-10-02 14:53:06.002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H126" s="4">
        <v>133.76</v>
      </c>
      <c r="I126" s="4">
        <v>133.6758</v>
      </c>
      <c r="J126" s="4">
        <v>-0.0842</v>
      </c>
      <c r="K126" s="4">
        <v>0.0842</v>
      </c>
      <c r="P126" s="0">
        <v>153</v>
      </c>
    </row>
    <row r="127" ht="17" customHeight="1">
      <c r="A127" s="6">
        <v>149</v>
      </c>
      <c r="B127" s="6" t="inlineStr">
        <is>
          <t>P019</t>
        </is>
      </c>
      <c r="C127" s="6" t="inlineStr">
        <is>
          <t>2026-10-02 14:53:06.725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Failed</t>
        </is>
      </c>
      <c r="G127" s="6" t="inlineStr">
        <is>
          <t>Easy</t>
        </is>
      </c>
      <c r="H127" s="4">
        <v>135.2316</v>
      </c>
      <c r="P127" s="6">
        <v>154</v>
      </c>
    </row>
    <row r="128" ht="17" customHeight="1">
      <c r="A128" s="0">
        <v>150</v>
      </c>
      <c r="B128" s="0" t="inlineStr">
        <is>
          <t>P019</t>
        </is>
      </c>
      <c r="C128" s="0" t="inlineStr">
        <is>
          <t>2026-10-02 14:53:08.044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H128" s="4">
        <v>136.5515</v>
      </c>
      <c r="P128" s="0">
        <v>155</v>
      </c>
    </row>
    <row r="129" ht="17" customHeight="1">
      <c r="A129" s="6">
        <v>151</v>
      </c>
      <c r="B129" s="6" t="inlineStr">
        <is>
          <t>P019</t>
        </is>
      </c>
      <c r="C129" s="6" t="inlineStr">
        <is>
          <t>2026-10-02 14:53:10.210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H129" s="4">
        <v>137.984</v>
      </c>
      <c r="I129" s="4">
        <v>138.1211</v>
      </c>
      <c r="J129" s="4">
        <v>0.1371</v>
      </c>
      <c r="K129" s="4">
        <v>0.1371</v>
      </c>
      <c r="P129" s="6">
        <v>156</v>
      </c>
    </row>
    <row r="130" ht="17" customHeight="1">
      <c r="A130" s="0">
        <v>152</v>
      </c>
      <c r="B130" s="0" t="inlineStr">
        <is>
          <t>P019</t>
        </is>
      </c>
      <c r="C130" s="0" t="inlineStr">
        <is>
          <t>2026-10-02 14:53:11.420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H130" s="4">
        <v>139.9263</v>
      </c>
      <c r="P130" s="0">
        <v>157</v>
      </c>
    </row>
    <row r="131" ht="17" customHeight="1">
      <c r="A131" s="6">
        <v>153</v>
      </c>
      <c r="B131" s="6" t="inlineStr">
        <is>
          <t>P019</t>
        </is>
      </c>
      <c r="C131" s="6" t="inlineStr">
        <is>
          <t>2026-10-02 14:53:11.599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H131" s="4">
        <v>139.52</v>
      </c>
      <c r="I131" s="4">
        <v>139.4957</v>
      </c>
      <c r="J131" s="4">
        <v>-0.0243</v>
      </c>
      <c r="K131" s="4">
        <v>0.0243</v>
      </c>
      <c r="P131" s="6">
        <v>158</v>
      </c>
    </row>
    <row r="132" ht="17" customHeight="1">
      <c r="A132" s="0">
        <v>154</v>
      </c>
      <c r="B132" s="0" t="inlineStr">
        <is>
          <t>P019</t>
        </is>
      </c>
      <c r="C132" s="0" t="inlineStr">
        <is>
          <t>2026-10-02 14:53:13.711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H132" s="4">
        <v>141.44</v>
      </c>
      <c r="I132" s="4">
        <v>141.4819</v>
      </c>
      <c r="J132" s="4">
        <v>0.0419</v>
      </c>
      <c r="K132" s="4">
        <v>0.0419</v>
      </c>
      <c r="P132" s="0">
        <v>159</v>
      </c>
    </row>
    <row r="133" ht="17" customHeight="1">
      <c r="A133" s="6">
        <v>155</v>
      </c>
      <c r="B133" s="6" t="inlineStr">
        <is>
          <t>P019</t>
        </is>
      </c>
      <c r="C133" s="6" t="inlineStr">
        <is>
          <t>2026-10-02 14:53:14.668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Failed</t>
        </is>
      </c>
      <c r="G133" s="6" t="inlineStr">
        <is>
          <t>Easy</t>
        </is>
      </c>
      <c r="H133" s="4">
        <v>143.1756</v>
      </c>
      <c r="P133" s="6">
        <v>160</v>
      </c>
    </row>
    <row r="134" ht="17" customHeight="1">
      <c r="A134" s="0">
        <v>156</v>
      </c>
      <c r="B134" s="0" t="inlineStr">
        <is>
          <t>P019</t>
        </is>
      </c>
      <c r="C134" s="0" t="inlineStr">
        <is>
          <t>2026-10-02 14:53:17.071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Failed</t>
        </is>
      </c>
      <c r="G134" s="0" t="inlineStr">
        <is>
          <t>Easy</t>
        </is>
      </c>
      <c r="H134" s="4">
        <v>145.5785</v>
      </c>
      <c r="P134" s="0">
        <v>161</v>
      </c>
    </row>
    <row r="135" ht="17" customHeight="1">
      <c r="A135" s="6">
        <v>158</v>
      </c>
      <c r="B135" s="6" t="inlineStr">
        <is>
          <t>P019</t>
        </is>
      </c>
      <c r="C135" s="6" t="inlineStr">
        <is>
          <t>2026-10-02 14:53:17.350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Success</t>
        </is>
      </c>
      <c r="G135" s="6" t="inlineStr">
        <is>
          <t>Easy</t>
        </is>
      </c>
      <c r="H135" s="4">
        <v>144.896</v>
      </c>
      <c r="I135" s="4">
        <v>145.0644</v>
      </c>
      <c r="J135" s="4">
        <v>0.1684</v>
      </c>
      <c r="K135" s="4">
        <v>0.1684</v>
      </c>
      <c r="P135" s="6">
        <v>163</v>
      </c>
    </row>
    <row r="136" ht="17" customHeight="1">
      <c r="A136" s="0">
        <v>159</v>
      </c>
      <c r="B136" s="0" t="inlineStr">
        <is>
          <t>P019</t>
        </is>
      </c>
      <c r="C136" s="0" t="inlineStr">
        <is>
          <t>2026-10-02 14:53:21.264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Success</t>
        </is>
      </c>
      <c r="G136" s="0" t="inlineStr">
        <is>
          <t>Easy</t>
        </is>
      </c>
      <c r="H136" s="4">
        <v>149.12</v>
      </c>
      <c r="I136" s="4">
        <v>149.0629</v>
      </c>
      <c r="J136" s="4">
        <v>-0.0571</v>
      </c>
      <c r="K136" s="4">
        <v>0.0571</v>
      </c>
      <c r="P136" s="0">
        <v>164</v>
      </c>
    </row>
    <row r="137" ht="17" customHeight="1">
      <c r="A137" s="6">
        <v>160</v>
      </c>
      <c r="B137" s="6" t="inlineStr">
        <is>
          <t>P019</t>
        </is>
      </c>
      <c r="C137" s="6" t="inlineStr">
        <is>
          <t>2026-10-02 14:53:23.279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H137" s="4">
        <v>151.7863</v>
      </c>
      <c r="P137" s="6">
        <v>165</v>
      </c>
    </row>
    <row r="138" ht="17" customHeight="1">
      <c r="A138" s="0">
        <v>161</v>
      </c>
      <c r="B138" s="0" t="inlineStr">
        <is>
          <t>P019</t>
        </is>
      </c>
      <c r="C138" s="0" t="inlineStr">
        <is>
          <t>2026-10-02 14:53:23.933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Success</t>
        </is>
      </c>
      <c r="G138" s="0" t="inlineStr">
        <is>
          <t>Easy</t>
        </is>
      </c>
      <c r="H138" s="4">
        <v>151.808</v>
      </c>
      <c r="I138" s="4">
        <v>151.9391</v>
      </c>
      <c r="J138" s="4">
        <v>0.1311</v>
      </c>
      <c r="K138" s="4">
        <v>0.1311</v>
      </c>
      <c r="P138" s="0">
        <v>166</v>
      </c>
    </row>
    <row r="139" ht="17" customHeight="1">
      <c r="A139" s="6">
        <v>162</v>
      </c>
      <c r="B139" s="6" t="inlineStr">
        <is>
          <t>P019</t>
        </is>
      </c>
      <c r="C139" s="6" t="inlineStr">
        <is>
          <t>2026-10-02 14:53:26.252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H139" s="4">
        <v>154.112</v>
      </c>
      <c r="I139" s="4">
        <v>154.2034</v>
      </c>
      <c r="J139" s="4">
        <v>0.0914</v>
      </c>
      <c r="K139" s="4">
        <v>0.0914</v>
      </c>
      <c r="P139" s="6">
        <v>167</v>
      </c>
    </row>
    <row r="140" ht="17" customHeight="1">
      <c r="A140" s="0">
        <v>164</v>
      </c>
      <c r="B140" s="0" t="inlineStr">
        <is>
          <t>P019</t>
        </is>
      </c>
      <c r="C140" s="0" t="inlineStr">
        <is>
          <t>2026-10-02 14:53:39.407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Failed</t>
        </is>
      </c>
      <c r="G140" s="0" t="inlineStr">
        <is>
          <t>Easy</t>
        </is>
      </c>
      <c r="H140" s="4">
        <v>167.7061</v>
      </c>
      <c r="I140" s="4">
        <v>167.914</v>
      </c>
      <c r="J140" s="4">
        <v>0.2079</v>
      </c>
      <c r="K140" s="4">
        <v>0.2079</v>
      </c>
      <c r="N140" s="4">
        <v>0.0</v>
      </c>
      <c r="O140" s="0" t="b">
        <v>1</v>
      </c>
      <c r="P140" s="0">
        <v>169</v>
      </c>
    </row>
    <row r="141" ht="17" customHeight="1">
      <c r="A141" s="6">
        <v>166</v>
      </c>
      <c r="B141" s="6" t="inlineStr">
        <is>
          <t>P019</t>
        </is>
      </c>
      <c r="C141" s="6" t="inlineStr">
        <is>
          <t>2026-10-02 14:53:41.643</t>
        </is>
      </c>
      <c r="D141" s="6" t="inlineStr">
        <is>
          <t>Jeremy</t>
        </is>
      </c>
      <c r="E141" s="6" t="inlineStr">
        <is>
          <t>SwordCut</t>
        </is>
      </c>
      <c r="F141" s="6" t="inlineStr">
        <is>
          <t>Failed</t>
        </is>
      </c>
      <c r="G141" s="6" t="inlineStr">
        <is>
          <t>Easy</t>
        </is>
      </c>
      <c r="H141" s="4">
        <v>170.0049</v>
      </c>
      <c r="I141" s="4">
        <v>170.1509</v>
      </c>
      <c r="J141" s="4">
        <v>0.146</v>
      </c>
      <c r="K141" s="4">
        <v>0.146</v>
      </c>
      <c r="N141" s="4">
        <v>0.0</v>
      </c>
      <c r="O141" s="6" t="b">
        <v>1</v>
      </c>
      <c r="P141" s="6">
        <v>171</v>
      </c>
    </row>
    <row r="142" ht="17" customHeight="1">
      <c r="A142" s="0">
        <v>167</v>
      </c>
      <c r="B142" s="0" t="inlineStr">
        <is>
          <t>P019</t>
        </is>
      </c>
      <c r="C142" s="0" t="inlineStr">
        <is>
          <t>2026-10-02 14:53:43.810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Success</t>
        </is>
      </c>
      <c r="G142" s="0" t="inlineStr">
        <is>
          <t>Easy</t>
        </is>
      </c>
      <c r="H142" s="4">
        <v>172.3037</v>
      </c>
      <c r="I142" s="4">
        <v>172.3174</v>
      </c>
      <c r="J142" s="4">
        <v>0.0138</v>
      </c>
      <c r="K142" s="4">
        <v>0.0138</v>
      </c>
      <c r="N142" s="4">
        <v>1.0</v>
      </c>
      <c r="O142" s="0" t="b">
        <v>1</v>
      </c>
      <c r="P142" s="0">
        <v>172</v>
      </c>
    </row>
    <row r="143" ht="17" customHeight="1">
      <c r="A143" s="6">
        <v>168</v>
      </c>
      <c r="B143" s="6" t="inlineStr">
        <is>
          <t>P019</t>
        </is>
      </c>
      <c r="C143" s="6" t="inlineStr">
        <is>
          <t>2026-10-02 14:53:46.268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Failed</t>
        </is>
      </c>
      <c r="G143" s="6" t="inlineStr">
        <is>
          <t>Easy</t>
        </is>
      </c>
      <c r="H143" s="4">
        <v>174.6024</v>
      </c>
      <c r="I143" s="4">
        <v>174.7753</v>
      </c>
      <c r="J143" s="4">
        <v>0.1729</v>
      </c>
      <c r="K143" s="4">
        <v>0.1729</v>
      </c>
      <c r="N143" s="4">
        <v>0.0</v>
      </c>
      <c r="O143" s="6" t="b">
        <v>1</v>
      </c>
      <c r="P143" s="6">
        <v>173</v>
      </c>
    </row>
    <row r="144" ht="17" customHeight="1">
      <c r="A144" s="0">
        <v>169</v>
      </c>
      <c r="B144" s="0" t="inlineStr">
        <is>
          <t>P019</t>
        </is>
      </c>
      <c r="C144" s="0" t="inlineStr">
        <is>
          <t>2026-10-02 14:53:49.032</t>
        </is>
      </c>
      <c r="D144" s="0" t="inlineStr">
        <is>
          <t>Jeremy</t>
        </is>
      </c>
      <c r="E144" s="0" t="inlineStr">
        <is>
          <t>SwordCut</t>
        </is>
      </c>
      <c r="F144" s="0" t="inlineStr">
        <is>
          <t>Missed</t>
        </is>
      </c>
      <c r="G144" s="0" t="inlineStr">
        <is>
          <t>Easy</t>
        </is>
      </c>
      <c r="H144" s="4">
        <v>176.9012</v>
      </c>
      <c r="P144" s="0">
        <v>174</v>
      </c>
    </row>
    <row r="145" ht="17" customHeight="1">
      <c r="A145" s="6">
        <v>171</v>
      </c>
      <c r="B145" s="6" t="inlineStr">
        <is>
          <t>P019</t>
        </is>
      </c>
      <c r="C145" s="6" t="inlineStr">
        <is>
          <t>2026-10-02 14:53:50.711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Easy</t>
        </is>
      </c>
      <c r="H145" s="4">
        <v>179.2</v>
      </c>
      <c r="I145" s="4">
        <v>179.2182</v>
      </c>
      <c r="J145" s="4">
        <v>0.0182</v>
      </c>
      <c r="K145" s="4">
        <v>0.0182</v>
      </c>
      <c r="N145" s="4">
        <v>1.0</v>
      </c>
      <c r="O145" s="6" t="b">
        <v>1</v>
      </c>
      <c r="P145" s="6">
        <v>176</v>
      </c>
    </row>
    <row r="146" ht="17" customHeight="1">
      <c r="A146" s="0">
        <v>172</v>
      </c>
      <c r="B146" s="0" t="inlineStr">
        <is>
          <t>P019</t>
        </is>
      </c>
      <c r="C146" s="0" t="inlineStr">
        <is>
          <t>2026-10-02 14:53:52.821</t>
        </is>
      </c>
      <c r="D146" s="0" t="inlineStr">
        <is>
          <t>Jeremy</t>
        </is>
      </c>
      <c r="E146" s="0" t="inlineStr">
        <is>
          <t>SwordCut</t>
        </is>
      </c>
      <c r="F146" s="0" t="inlineStr">
        <is>
          <t>Success</t>
        </is>
      </c>
      <c r="G146" s="0" t="inlineStr">
        <is>
          <t>Easy</t>
        </is>
      </c>
      <c r="H146" s="4">
        <v>181.4988</v>
      </c>
      <c r="I146" s="4">
        <v>181.3289</v>
      </c>
      <c r="J146" s="4">
        <v>-0.1698</v>
      </c>
      <c r="K146" s="4">
        <v>0.1698</v>
      </c>
      <c r="N146" s="4">
        <v>1.0</v>
      </c>
      <c r="O146" s="0" t="b">
        <v>1</v>
      </c>
      <c r="P146" s="0">
        <v>177</v>
      </c>
    </row>
  </sheetData>
  <autoFilter ref="A1:P146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23</v>
      </c>
      <c r="B2" s="0" t="inlineStr">
        <is>
          <t>2026-10-02 14:51:01.563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28</v>
      </c>
    </row>
    <row r="3" ht="17" customHeight="1">
      <c r="A3" s="6">
        <v>63</v>
      </c>
      <c r="B3" s="6" t="inlineStr">
        <is>
          <t>2026-10-02 14:51:11.911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68</v>
      </c>
    </row>
    <row r="4" ht="17" customHeight="1">
      <c r="A4" s="0">
        <v>84</v>
      </c>
      <c r="B4" s="0" t="inlineStr">
        <is>
          <t>2026-10-02 14:51:19.243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89</v>
      </c>
    </row>
    <row r="5" ht="17" customHeight="1">
      <c r="A5" s="6">
        <v>97</v>
      </c>
      <c r="B5" s="6" t="inlineStr">
        <is>
          <t>2026-10-02 14:51:43.630</t>
        </is>
      </c>
      <c r="C5" s="6" t="inlineStr">
        <is>
          <t>Joaquin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1.0</v>
      </c>
      <c r="I5" s="6">
        <v>102</v>
      </c>
    </row>
    <row r="6" ht="17" customHeight="1">
      <c r="A6" s="0">
        <v>110</v>
      </c>
      <c r="B6" s="0" t="inlineStr">
        <is>
          <t>2026-10-02 14:52:03.062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115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14:50:51.493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14:50:52.423</t>
        </is>
      </c>
      <c r="C3" s="6" t="inlineStr">
        <is>
          <t>Engaged</t>
        </is>
      </c>
      <c r="D3" s="6">
        <v>8</v>
      </c>
    </row>
    <row r="4" ht="17" customHeight="1">
      <c r="A4" s="0">
        <v>62</v>
      </c>
      <c r="B4" s="0" t="inlineStr">
        <is>
          <t>2026-10-02 14:51:11.911</t>
        </is>
      </c>
      <c r="C4" s="0" t="inlineStr">
        <is>
          <t>Overloaded</t>
        </is>
      </c>
      <c r="D4" s="0">
        <v>67</v>
      </c>
    </row>
    <row r="5" ht="17" customHeight="1">
      <c r="A5" s="6">
        <v>64</v>
      </c>
      <c r="B5" s="6" t="inlineStr">
        <is>
          <t>2026-10-02 14:51:11.911</t>
        </is>
      </c>
      <c r="C5" s="6" t="inlineStr">
        <is>
          <t>Engaged</t>
        </is>
      </c>
      <c r="D5" s="6">
        <v>69</v>
      </c>
    </row>
    <row r="6" ht="17" customHeight="1">
      <c r="A6" s="0">
        <v>83</v>
      </c>
      <c r="B6" s="0" t="inlineStr">
        <is>
          <t>2026-10-02 14:51:19.243</t>
        </is>
      </c>
      <c r="C6" s="0" t="inlineStr">
        <is>
          <t>Overloaded</t>
        </is>
      </c>
      <c r="D6" s="0">
        <v>88</v>
      </c>
    </row>
    <row r="7" ht="17" customHeight="1">
      <c r="A7" s="6">
        <v>85</v>
      </c>
      <c r="B7" s="6" t="inlineStr">
        <is>
          <t>2026-10-02 14:51:19.243</t>
        </is>
      </c>
      <c r="C7" s="6" t="inlineStr">
        <is>
          <t>Engaged</t>
        </is>
      </c>
      <c r="D7" s="6">
        <v>90</v>
      </c>
    </row>
    <row r="8" ht="17" customHeight="1">
      <c r="A8" s="0">
        <v>109</v>
      </c>
      <c r="B8" s="0" t="inlineStr">
        <is>
          <t>2026-10-02 14:52:03.061</t>
        </is>
      </c>
      <c r="C8" s="0" t="inlineStr">
        <is>
          <t>Overloaded</t>
        </is>
      </c>
      <c r="D8" s="0">
        <v>114</v>
      </c>
    </row>
    <row r="9" ht="17" customHeight="1">
      <c r="A9" s="6">
        <v>111</v>
      </c>
      <c r="B9" s="6" t="inlineStr">
        <is>
          <t>2026-10-02 14:52:03.063</t>
        </is>
      </c>
      <c r="C9" s="6" t="inlineStr">
        <is>
          <t>Engaged</t>
        </is>
      </c>
      <c r="D9" s="6">
        <v>116</v>
      </c>
    </row>
    <row r="10" ht="17" customHeight="1">
      <c r="A10" s="0">
        <v>114</v>
      </c>
      <c r="B10" s="0" t="inlineStr">
        <is>
          <t>2026-10-02 14:52:08.060</t>
        </is>
      </c>
      <c r="C10" s="0" t="inlineStr">
        <is>
          <t>Idle</t>
        </is>
      </c>
      <c r="D10" s="0">
        <v>119</v>
      </c>
    </row>
    <row r="11" ht="17" customHeight="1">
      <c r="A11" s="6">
        <v>116</v>
      </c>
      <c r="B11" s="6" t="inlineStr">
        <is>
          <t>2026-10-02 14:52:09.546</t>
        </is>
      </c>
      <c r="C11" s="6" t="inlineStr">
        <is>
          <t>Engaged</t>
        </is>
      </c>
      <c r="D11" s="6">
        <v>121</v>
      </c>
    </row>
    <row r="12" ht="17" customHeight="1">
      <c r="A12" s="0">
        <v>121</v>
      </c>
      <c r="B12" s="0" t="inlineStr">
        <is>
          <t>2026-10-02 14:52:16.503</t>
        </is>
      </c>
      <c r="C12" s="0" t="inlineStr">
        <is>
          <t>Overloaded</t>
        </is>
      </c>
      <c r="D12" s="0">
        <v>126</v>
      </c>
    </row>
    <row r="13" ht="17" customHeight="1">
      <c r="A13" s="6">
        <v>127</v>
      </c>
      <c r="B13" s="6" t="inlineStr">
        <is>
          <t>2026-10-02 14:52:28.700</t>
        </is>
      </c>
      <c r="C13" s="6" t="inlineStr">
        <is>
          <t>Engaged</t>
        </is>
      </c>
      <c r="D13" s="6">
        <v>132</v>
      </c>
    </row>
    <row r="14" ht="17" customHeight="1">
      <c r="A14" s="0">
        <v>129</v>
      </c>
      <c r="B14" s="0" t="inlineStr">
        <is>
          <t>2026-10-02 14:52:35.227</t>
        </is>
      </c>
      <c r="C14" s="0" t="inlineStr">
        <is>
          <t>Idle</t>
        </is>
      </c>
      <c r="D14" s="0">
        <v>134</v>
      </c>
    </row>
    <row r="15" ht="17" customHeight="1">
      <c r="A15" s="6">
        <v>132</v>
      </c>
      <c r="B15" s="6" t="inlineStr">
        <is>
          <t>2026-10-02 14:52:38.463</t>
        </is>
      </c>
      <c r="C15" s="6" t="inlineStr">
        <is>
          <t>Engaged</t>
        </is>
      </c>
      <c r="D15" s="6">
        <v>137</v>
      </c>
    </row>
    <row r="16" ht="17" customHeight="1">
      <c r="A16" s="0">
        <v>134</v>
      </c>
      <c r="B16" s="0" t="inlineStr">
        <is>
          <t>2026-10-02 14:52:43.463</t>
        </is>
      </c>
      <c r="C16" s="0" t="inlineStr">
        <is>
          <t>Idle</t>
        </is>
      </c>
      <c r="D16" s="0">
        <v>139</v>
      </c>
    </row>
    <row r="17" ht="17" customHeight="1">
      <c r="A17" s="6">
        <v>136</v>
      </c>
      <c r="B17" s="6" t="inlineStr">
        <is>
          <t>2026-10-02 14:52:45.253</t>
        </is>
      </c>
      <c r="C17" s="6" t="inlineStr">
        <is>
          <t>Engaged</t>
        </is>
      </c>
      <c r="D17" s="6">
        <v>141</v>
      </c>
    </row>
    <row r="18" ht="17" customHeight="1">
      <c r="A18" s="0">
        <v>139</v>
      </c>
      <c r="B18" s="0" t="inlineStr">
        <is>
          <t>2026-10-02 14:52:54.671</t>
        </is>
      </c>
      <c r="C18" s="0" t="inlineStr">
        <is>
          <t>Idle</t>
        </is>
      </c>
      <c r="D18" s="0">
        <v>144</v>
      </c>
    </row>
    <row r="19" ht="17" customHeight="1">
      <c r="A19" s="6">
        <v>141</v>
      </c>
      <c r="B19" s="6" t="inlineStr">
        <is>
          <t>2026-10-02 14:52:55.672</t>
        </is>
      </c>
      <c r="C19" s="6" t="inlineStr">
        <is>
          <t>Engaged</t>
        </is>
      </c>
      <c r="D19" s="6">
        <v>146</v>
      </c>
    </row>
    <row r="20" ht="17" customHeight="1">
      <c r="A20" s="0">
        <v>157</v>
      </c>
      <c r="B20" s="0" t="inlineStr">
        <is>
          <t>2026-10-02 14:53:17.071</t>
        </is>
      </c>
      <c r="C20" s="0" t="inlineStr">
        <is>
          <t>Overloaded</t>
        </is>
      </c>
      <c r="D20" s="0">
        <v>162</v>
      </c>
    </row>
    <row r="21" ht="17" customHeight="1">
      <c r="A21" s="6">
        <v>163</v>
      </c>
      <c r="B21" s="6" t="inlineStr">
        <is>
          <t>2026-10-02 14:53:31.240</t>
        </is>
      </c>
      <c r="C21" s="6" t="inlineStr">
        <is>
          <t>Idle</t>
        </is>
      </c>
      <c r="D21" s="6">
        <v>168</v>
      </c>
    </row>
    <row r="22" ht="17" customHeight="1">
      <c r="A22" s="0">
        <v>165</v>
      </c>
      <c r="B22" s="0" t="inlineStr">
        <is>
          <t>2026-10-02 14:53:39.407</t>
        </is>
      </c>
      <c r="C22" s="0" t="inlineStr">
        <is>
          <t>Engaged</t>
        </is>
      </c>
      <c r="D22" s="0">
        <v>170</v>
      </c>
    </row>
    <row r="23" ht="17" customHeight="1">
      <c r="A23" s="6">
        <v>170</v>
      </c>
      <c r="B23" s="6" t="inlineStr">
        <is>
          <t>2026-10-02 14:53:49.032</t>
        </is>
      </c>
      <c r="C23" s="6" t="inlineStr">
        <is>
          <t>Overloaded</t>
        </is>
      </c>
      <c r="D23" s="6">
        <v>175</v>
      </c>
    </row>
    <row r="24" ht="17" customHeight="1">
      <c r="A24" s="0">
        <v>173</v>
      </c>
      <c r="B24" s="0" t="inlineStr">
        <is>
          <t>2026-10-02 14:53:57.823</t>
        </is>
      </c>
      <c r="C24" s="0" t="inlineStr">
        <is>
          <t>Idle</t>
        </is>
      </c>
      <c r="D24" s="0">
        <v>178</v>
      </c>
    </row>
  </sheetData>
  <autoFilter ref="A1:D24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7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14:50:51.493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14:50:51.493 | PlayerState: Idle</t>
        </is>
      </c>
    </row>
    <row r="3" ht="17" customHeight="1">
      <c r="A3" s="6">
        <v>2</v>
      </c>
      <c r="B3" s="6" t="inlineStr">
        <is>
          <t>2026-10-02 14:50:52.422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0.0337</v>
      </c>
      <c r="M3" s="6">
        <v>7</v>
      </c>
      <c r="N3" s="6" t="inlineStr">
        <is>
          <t>2026-10-02 14:50:52.422 | Minigame: Alex | Type: HammerHit | Outcome: Success | Difficulty: Normal | ExpectedTime: 0.8960 | ActualTime: 0.9297 | TimingOffset: 0.0337 | TimingError: 0.0337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14:50:52.423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14:50:52.423 | PlayerState: Engaged</t>
        </is>
      </c>
    </row>
    <row r="5" ht="17" customHeight="1">
      <c r="A5" s="6">
        <v>4</v>
      </c>
      <c r="B5" s="6" t="inlineStr">
        <is>
          <t>2026-10-02 14:50:53.159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K5" s="4">
        <v>0.0154</v>
      </c>
      <c r="M5" s="6">
        <v>9</v>
      </c>
      <c r="N5" s="6" t="inlineStr">
        <is>
          <t>2026-10-02 14:50:53.159 | Minigame: Alex | Type: HammerHit | Outcome: Failed | Difficulty: Normal | ExpectedTime: 1.6640 | ActualTime: 1.6794 | TimingOffset: 0.0154 | TimingError: 0.0154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14:50:53.172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0.0296</v>
      </c>
      <c r="M6" s="0">
        <v>10</v>
      </c>
      <c r="N6" s="0" t="inlineStr">
        <is>
          <t>2026-10-02 14:50:53.172 | Minigame: Alex | Type: HammerHit | Outcome: Failed | Difficulty: Normal | ExpectedTime: 1.6640 | ActualTime: 1.6936 | TimingOffset: 0.0296 | TimingError: 0.0296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14:50:53.949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0.0256</v>
      </c>
      <c r="M7" s="6">
        <v>11</v>
      </c>
      <c r="N7" s="6" t="inlineStr">
        <is>
          <t>2026-10-02 14:50:53.949 | Minigame: Alex | Type: HammerHit | Outcome: Success | Difficulty: Normal | ExpectedTime: 2.4320 | ActualTime: 2.4576 | TimingOffset: 0.0256 | TimingError: 0.0256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14:50:54.687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14:50:54.687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14:50:55.005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14:50:55.005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14:50:55.452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0.0043</v>
      </c>
      <c r="M10" s="0">
        <v>14</v>
      </c>
      <c r="N10" s="0" t="inlineStr">
        <is>
          <t>2026-10-02 14:50:55.452 | Minigame: Alex | Type: HammerHit | Outcome: Success | Difficulty: Normal | ExpectedTime: 3.9680 | ActualTime: 3.9723 | TimingOffset: 0.0043 | TimingError: 0.0043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14:50:56.216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K11" s="4">
        <v>0.0002</v>
      </c>
      <c r="M11" s="6">
        <v>15</v>
      </c>
      <c r="N11" s="6" t="inlineStr">
        <is>
          <t>2026-10-02 14:50:56.216 | Minigame: Alex | Type: HammerHit | Outcome: Failed | Difficulty: Normal | ExpectedTime: 4.7360 | ActualTime: 4.7362 | TimingOffset: 0.0002 | TimingError: 0.0002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14:50:56.216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0.0002</v>
      </c>
      <c r="M12" s="0">
        <v>16</v>
      </c>
      <c r="N12" s="0" t="inlineStr">
        <is>
          <t>2026-10-02 14:50:56.216 | Minigame: Alex | Type: HammerHit | Outcome: Success | Difficulty: Normal | ExpectedTime: 4.7360 | ActualTime: 4.7362 | TimingOffset: 0.0002 | TimingError: 0.0002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14:50:57.008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0.0244</v>
      </c>
      <c r="M13" s="6">
        <v>17</v>
      </c>
      <c r="N13" s="6" t="inlineStr">
        <is>
          <t>2026-10-02 14:50:57.008 | Minigame: Alex | Type: HammerHit | Outcome: Success | Difficulty: Normal | ExpectedTime: 5.5040 | ActualTime: 5.5284 | TimingOffset: 0.0244 | TimingError: 0.0244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14:50:57.785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M14" s="0">
        <v>18</v>
      </c>
      <c r="N14" s="0" t="inlineStr">
        <is>
          <t>2026-10-02 14:50:57.785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14:50:58.091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M15" s="6">
        <v>19</v>
      </c>
      <c r="N15" s="6" t="inlineStr">
        <is>
          <t>2026-10-02 14:50:58.091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14:50:58.508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K16" s="4">
        <v>0.0252</v>
      </c>
      <c r="M16" s="0">
        <v>20</v>
      </c>
      <c r="N16" s="0" t="inlineStr">
        <is>
          <t>2026-10-02 14:50:58.508 | Minigame: Alex | Type: HammerHit | Outcome: Success | Difficulty: Normal | ExpectedTime: 7.0400 | ActualTime: 7.0148 | TimingOffset: -0.0252 | TimingError: 0.0252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14:50:59.285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Normal</t>
        </is>
      </c>
      <c r="K17" s="4">
        <v>0.0016</v>
      </c>
      <c r="M17" s="6">
        <v>21</v>
      </c>
      <c r="N17" s="6" t="inlineStr">
        <is>
          <t>2026-10-02 14:50:59.285 | Minigame: Alex | Type: HammerHit | Outcome: Failed | Difficulty: Normal | ExpectedTime: 7.8080 | ActualTime: 7.8064 | TimingOffset: -0.0016 | TimingError: 0.0016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14:50:59.300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K18" s="4">
        <v>0.0125</v>
      </c>
      <c r="M18" s="0">
        <v>22</v>
      </c>
      <c r="N18" s="0" t="inlineStr">
        <is>
          <t>2026-10-02 14:50:59.300 | Minigame: Alex | Type: HammerHit | Outcome: Success | Difficulty: Normal | ExpectedTime: 7.8080 | ActualTime: 7.8205 | TimingOffset: 0.0125 | TimingError: 0.0125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14:51:00.049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K19" s="4">
        <v>0.0061</v>
      </c>
      <c r="M19" s="6">
        <v>23</v>
      </c>
      <c r="N19" s="6" t="inlineStr">
        <is>
          <t>2026-10-02 14:51:00.049 | Minigame: Alex | Type: HammerHit | Outcome: Success | Difficulty: Normal | ExpectedTime: 8.5760 | ActualTime: 8.5699 | TimingOffset: -0.0061 | TimingError: 0.0061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14:51:00.160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Normal</t>
        </is>
      </c>
      <c r="M20" s="0">
        <v>24</v>
      </c>
      <c r="N20" s="0" t="inlineStr">
        <is>
          <t>2026-10-02 14:51:00.160 | Minigame: Alex | Type: HammerTouch | Outcome: Success | Difficulty: Normal | ExpectedTime: 8.5760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14:51:00.799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K21" s="4">
        <v>0.0237</v>
      </c>
      <c r="M21" s="6">
        <v>25</v>
      </c>
      <c r="N21" s="6" t="inlineStr">
        <is>
          <t>2026-10-02 14:51:00.799 | Minigame: Alex | Type: HammerHit | Outcome: Success | Difficulty: Normal | ExpectedTime: 9.3440 | ActualTime: 9.3203 | TimingOffset: -0.0237 | TimingError: 0.0237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14:51:00.827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K22" s="4">
        <v>0.0039</v>
      </c>
      <c r="M22" s="0">
        <v>26</v>
      </c>
      <c r="N22" s="0" t="inlineStr">
        <is>
          <t>2026-10-02 14:51:00.827 | Minigame: Alex | Type: HammerHit | Outcome: Success | Difficulty: Normal | ExpectedTime: 9.3440 | ActualTime: 9.3479 | TimingOffset: 0.0039 | TimingError: 0.0039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14:51:01.563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K23" s="4">
        <v>0.0422</v>
      </c>
      <c r="M23" s="6">
        <v>27</v>
      </c>
      <c r="N23" s="6" t="inlineStr">
        <is>
          <t>2026-10-02 14:51:01.563 | Minigame: Alex | Type: HammerHit | Outcome: Success | Difficulty: Normal | ExpectedTime: 10.1120 | ActualTime: 10.0698 | TimingOffset: -0.0422 | TimingError: 0.0422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14:51:01.563</t>
        </is>
      </c>
      <c r="C24" s="0" t="inlineStr">
        <is>
          <t>DifficultyChanged</t>
        </is>
      </c>
      <c r="D24" s="0" t="inlineStr">
        <is>
          <t>Alex</t>
        </is>
      </c>
      <c r="I24" s="0" t="inlineStr">
        <is>
          <t>Normal -&gt; Hard</t>
        </is>
      </c>
      <c r="J24" s="0" t="inlineStr">
        <is>
          <t>High recent performance</t>
        </is>
      </c>
      <c r="M24" s="0">
        <v>28</v>
      </c>
      <c r="N24" s="0" t="inlineStr">
        <is>
          <t>2026-10-02 14:51:01.563 | DifficultyChanged: Normal -&gt; Hard | Reason: High recent performance | Minigame: Alex | SuccessRate: 0.88</t>
        </is>
      </c>
    </row>
    <row r="25" ht="17" customHeight="1">
      <c r="A25" s="6">
        <v>24</v>
      </c>
      <c r="B25" s="6" t="inlineStr">
        <is>
          <t>2026-10-02 14:51:02.410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0.051</v>
      </c>
      <c r="M25" s="6">
        <v>29</v>
      </c>
      <c r="N25" s="6" t="inlineStr">
        <is>
          <t>2026-10-02 14:51:02.410 | Minigame: Alex | Type: HammerHit | Outcome: Success | Difficulty: Hard | ExpectedTime: 10.8800 | ActualTime: 10.9310 | TimingOffset: 0.0510 | TimingError: 0.0510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14:51:02.686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14:51:02.686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14:51:02.702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K27" s="4">
        <v>0.0413</v>
      </c>
      <c r="M27" s="6">
        <v>31</v>
      </c>
      <c r="N27" s="6" t="inlineStr">
        <is>
          <t>2026-10-02 14:51:02.702 | Minigame: Alex | Type: HammerHit | Outcome: Success | Difficulty: Hard | ExpectedTime: 11.2640 | ActualTime: 11.2227 | TimingOffset: -0.0413 | TimingError: 0.0413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14:51:03.133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0.0051</v>
      </c>
      <c r="M28" s="0">
        <v>32</v>
      </c>
      <c r="N28" s="0" t="inlineStr">
        <is>
          <t>2026-10-02 14:51:03.133 | Minigame: Alex | Type: HammerHit | Outcome: Success | Difficulty: Hard | ExpectedTime: 11.6480 | ActualTime: 11.6531 | TimingOffset: 0.0051 | TimingError: 0.0051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14:51:03.452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M29" s="6">
        <v>33</v>
      </c>
      <c r="N29" s="6" t="inlineStr">
        <is>
          <t>2026-10-02 14:51:03.452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14:51:03.507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K30" s="4">
        <v>0.0178</v>
      </c>
      <c r="M30" s="0">
        <v>34</v>
      </c>
      <c r="N30" s="0" t="inlineStr">
        <is>
          <t>2026-10-02 14:51:03.507 | Minigame: Alex | Type: HammerHit | Outcome: Success | Difficulty: Hard | ExpectedTime: 12.0320 | ActualTime: 12.0142 | TimingOffset: -0.0178 | TimingError: 0.0178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14:51:04.230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14:51:04.230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14:51:04.230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M32" s="0">
        <v>36</v>
      </c>
      <c r="N32" s="0" t="inlineStr">
        <is>
          <t>2026-10-02 14:51:04.230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14:51:04.243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0.0354</v>
      </c>
      <c r="M33" s="6">
        <v>37</v>
      </c>
      <c r="N33" s="6" t="inlineStr">
        <is>
          <t>2026-10-02 14:51:04.243 | Minigame: Alex | Type: HammerHit | Outcome: Success | Difficulty: Hard | ExpectedTime: 12.8000 | ActualTime: 12.7646 | TimingOffset: -0.0354 | TimingError: 0.0354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14:51:04.646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0.0171</v>
      </c>
      <c r="M34" s="0">
        <v>38</v>
      </c>
      <c r="N34" s="0" t="inlineStr">
        <is>
          <t>2026-10-02 14:51:04.646 | Minigame: Alex | Type: HammerHit | Outcome: Success | Difficulty: Hard | ExpectedTime: 13.1840 | ActualTime: 13.1669 | TimingOffset: -0.0171 | TimingError: 0.0171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14:51:04.978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M35" s="6">
        <v>39</v>
      </c>
      <c r="N35" s="6" t="inlineStr">
        <is>
          <t>2026-10-02 14:51:04.978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14:51:05.022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0.0258</v>
      </c>
      <c r="M36" s="0">
        <v>40</v>
      </c>
      <c r="N36" s="0" t="inlineStr">
        <is>
          <t>2026-10-02 14:51:05.022 | Minigame: Alex | Type: HammerHit | Outcome: Success | Difficulty: Hard | ExpectedTime: 13.5680 | ActualTime: 13.5422 | TimingOffset: -0.0258 | TimingError: 0.0258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14:51:05.451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K37" s="4">
        <v>0.0204</v>
      </c>
      <c r="M37" s="6">
        <v>41</v>
      </c>
      <c r="N37" s="6" t="inlineStr">
        <is>
          <t>2026-10-02 14:51:05.451 | Minigame: Alex | Type: HammerHit | Outcome: Success | Difficulty: Hard | ExpectedTime: 13.9520 | ActualTime: 13.9724 | TimingOffset: 0.0204 | TimingError: 0.0204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14:51:05.771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M38" s="0">
        <v>42</v>
      </c>
      <c r="N38" s="0" t="inlineStr">
        <is>
          <t>2026-10-02 14:51:05.771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14:51:05.813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0.0022</v>
      </c>
      <c r="M39" s="6">
        <v>43</v>
      </c>
      <c r="N39" s="6" t="inlineStr">
        <is>
          <t>2026-10-02 14:51:05.813 | Minigame: Alex | Type: HammerHit | Outcome: Success | Difficulty: Hard | ExpectedTime: 14.3360 | ActualTime: 14.3338 | TimingOffset: -0.0022 | TimingError: 0.0022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14:51:06.188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0.0116</v>
      </c>
      <c r="M40" s="0">
        <v>44</v>
      </c>
      <c r="N40" s="0" t="inlineStr">
        <is>
          <t>2026-10-02 14:51:06.188 | Minigame: Alex | Type: HammerHit | Outcome: Success | Difficulty: Hard | ExpectedTime: 14.7200 | ActualTime: 14.7084 | TimingOffset: -0.0116 | TimingError: 0.0116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14:51:06.520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14:51:06.520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14:51:06.563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0.0206</v>
      </c>
      <c r="M42" s="0">
        <v>46</v>
      </c>
      <c r="N42" s="0" t="inlineStr">
        <is>
          <t>2026-10-02 14:51:06.563 | Minigame: Alex | Type: HammerHit | Outcome: Success | Difficulty: Hard | ExpectedTime: 15.1040 | ActualTime: 15.0834 | TimingOffset: -0.0206 | TimingError: 0.0206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14:51:06.980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0.0124</v>
      </c>
      <c r="M43" s="6">
        <v>47</v>
      </c>
      <c r="N43" s="6" t="inlineStr">
        <is>
          <t>2026-10-02 14:51:06.980 | Minigame: Alex | Type: HammerHit | Outcome: Success | Difficulty: Hard | ExpectedTime: 15.4880 | ActualTime: 15.5004 | TimingOffset: 0.0124 | TimingError: 0.0124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14:51:07.285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14:51:07.285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14:51:07.327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0.0242</v>
      </c>
      <c r="M45" s="6">
        <v>49</v>
      </c>
      <c r="N45" s="6" t="inlineStr">
        <is>
          <t>2026-10-02 14:51:07.327 | Minigame: Alex | Type: HammerHit | Outcome: Success | Difficulty: Hard | ExpectedTime: 15.8720 | ActualTime: 15.8478 | TimingOffset: -0.0242 | TimingError: 0.0242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14:51:07.758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0.0221</v>
      </c>
      <c r="M46" s="0">
        <v>50</v>
      </c>
      <c r="N46" s="0" t="inlineStr">
        <is>
          <t>2026-10-02 14:51:07.758 | Minigame: Alex | Type: HammerHit | Outcome: Success | Difficulty: Hard | ExpectedTime: 16.2560 | ActualTime: 16.2781 | TimingOffset: 0.0221 | TimingError: 0.0221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14:51:08.049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14:51:08.049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14:51:08.118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K48" s="4">
        <v>0.0006</v>
      </c>
      <c r="M48" s="0">
        <v>52</v>
      </c>
      <c r="N48" s="0" t="inlineStr">
        <is>
          <t>2026-10-02 14:51:08.118 | Minigame: Alex | Type: HammerHit | Outcome: Success | Difficulty: Hard | ExpectedTime: 16.6400 | ActualTime: 16.6394 | TimingOffset: -0.0006 | TimingError: 0.0006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14:51:08.535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0.0326</v>
      </c>
      <c r="M49" s="6">
        <v>53</v>
      </c>
      <c r="N49" s="6" t="inlineStr">
        <is>
          <t>2026-10-02 14:51:08.535 | Minigame: Alex | Type: HammerHit | Outcome: Success | Difficulty: Hard | ExpectedTime: 17.0240 | ActualTime: 17.0566 | TimingOffset: 0.0326 | TimingError: 0.0326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14:51:08.827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14:51:08.827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14:51:08.870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0.0182</v>
      </c>
      <c r="M51" s="6">
        <v>55</v>
      </c>
      <c r="N51" s="6" t="inlineStr">
        <is>
          <t>2026-10-02 14:51:08.870 | Minigame: Alex | Type: HammerHit | Outcome: Success | Difficulty: Hard | ExpectedTime: 17.4080 | ActualTime: 17.3898 | TimingOffset: -0.0182 | TimingError: 0.0182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14:51:09.272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K52" s="4">
        <v>0.0007</v>
      </c>
      <c r="M52" s="0">
        <v>56</v>
      </c>
      <c r="N52" s="0" t="inlineStr">
        <is>
          <t>2026-10-02 14:51:09.272 | Minigame: Alex | Type: HammerHit | Outcome: Success | Difficulty: Hard | ExpectedTime: 17.7920 | ActualTime: 17.7927 | TimingOffset: 0.0007 | TimingError: 0.0007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14:51:09.590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Hard</t>
        </is>
      </c>
      <c r="M53" s="6">
        <v>57</v>
      </c>
      <c r="N53" s="6" t="inlineStr">
        <is>
          <t>2026-10-02 14:51:09.590 | Minigame: Alex | Type: HammerTouch | Outcome: Missed | Difficulty: Hard | ExpectedTime: 17.7920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14:51:09.662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0.0057</v>
      </c>
      <c r="M54" s="0">
        <v>58</v>
      </c>
      <c r="N54" s="0" t="inlineStr">
        <is>
          <t>2026-10-02 14:51:09.662 | Minigame: Alex | Type: HammerHit | Outcome: Success | Difficulty: Hard | ExpectedTime: 18.1760 | ActualTime: 18.1817 | TimingOffset: 0.0057 | TimingError: 0.0057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14:51:10.092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K55" s="4">
        <v>0.0383</v>
      </c>
      <c r="M55" s="6">
        <v>59</v>
      </c>
      <c r="N55" s="6" t="inlineStr">
        <is>
          <t>2026-10-02 14:51:10.092 | Minigame: Alex | Type: HammerHit | Outcome: Success | Difficulty: Hard | ExpectedTime: 18.5600 | ActualTime: 18.5983 | TimingOffset: 0.0383 | TimingError: 0.0383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14:51:10.369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Hard</t>
        </is>
      </c>
      <c r="M56" s="0">
        <v>60</v>
      </c>
      <c r="N56" s="0" t="inlineStr">
        <is>
          <t>2026-10-02 14:51:10.369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14:51:10.744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M57" s="6">
        <v>61</v>
      </c>
      <c r="N57" s="6" t="inlineStr">
        <is>
          <t>2026-10-02 14:51:10.744 | Minigame: Alex | Type: HammerTouch | Outcome: Missed | Difficulty: Hard | ExpectedTime: 18.9440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14:51:10.828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K58" s="4">
        <v>0.0209</v>
      </c>
      <c r="M58" s="0">
        <v>62</v>
      </c>
      <c r="N58" s="0" t="inlineStr">
        <is>
          <t>2026-10-02 14:51:10.828 | Minigame: Alex | Type: HammerHit | Outcome: Success | Difficulty: Hard | ExpectedTime: 19.3280 | ActualTime: 19.3489 | TimingOffset: 0.0209 | TimingError: 0.0209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14:51:11.133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Missed</t>
        </is>
      </c>
      <c r="G59" s="6" t="inlineStr">
        <is>
          <t>Hard</t>
        </is>
      </c>
      <c r="M59" s="6">
        <v>63</v>
      </c>
      <c r="N59" s="6" t="inlineStr">
        <is>
          <t>2026-10-02 14:51:11.133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14:51:11.230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0.0249</v>
      </c>
      <c r="M60" s="0">
        <v>64</v>
      </c>
      <c r="N60" s="0" t="inlineStr">
        <is>
          <t>2026-10-02 14:51:11.230 | Minigame: Alex | Type: HammerHit | Outcome: Success | Difficulty: Hard | ExpectedTime: 19.7120 | ActualTime: 19.7369 | TimingOffset: 0.0249 | TimingError: 0.0249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14:51:11.910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14:51:11.910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14:51:11.911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Missed</t>
        </is>
      </c>
      <c r="G62" s="0" t="inlineStr">
        <is>
          <t>Hard</t>
        </is>
      </c>
      <c r="M62" s="0">
        <v>66</v>
      </c>
      <c r="N62" s="0" t="inlineStr">
        <is>
          <t>2026-10-02 14:51:11.911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14:51:11.911</t>
        </is>
      </c>
      <c r="C63" s="6" t="inlineStr">
        <is>
          <t>PlayerState</t>
        </is>
      </c>
      <c r="H63" s="6" t="inlineStr">
        <is>
          <t>Overloaded</t>
        </is>
      </c>
      <c r="M63" s="6">
        <v>67</v>
      </c>
      <c r="N63" s="6" t="inlineStr">
        <is>
          <t>2026-10-02 14:51:11.911 | PlayerState: Overloaded</t>
        </is>
      </c>
    </row>
    <row r="64" ht="17" customHeight="1">
      <c r="A64" s="0">
        <v>63</v>
      </c>
      <c r="B64" s="0" t="inlineStr">
        <is>
          <t>2026-10-02 14:51:11.911</t>
        </is>
      </c>
      <c r="C64" s="0" t="inlineStr">
        <is>
          <t>DifficultyChanged</t>
        </is>
      </c>
      <c r="D64" s="0" t="inlineStr">
        <is>
          <t>Alex</t>
        </is>
      </c>
      <c r="I64" s="0" t="inlineStr">
        <is>
          <t>Hard -&gt; Normal</t>
        </is>
      </c>
      <c r="J64" s="0" t="inlineStr">
        <is>
          <t>PlayerState: Overloaded</t>
        </is>
      </c>
      <c r="M64" s="0">
        <v>68</v>
      </c>
      <c r="N64" s="0" t="inlineStr">
        <is>
          <t>2026-10-02 14:51:11.911 | DifficultyChanged: Hard -&gt; Normal | Reason: PlayerState: Overloaded | Minigame: Alex | RecentSuccessRate: 0.50</t>
        </is>
      </c>
    </row>
    <row r="65" ht="17" customHeight="1">
      <c r="A65" s="6">
        <v>64</v>
      </c>
      <c r="B65" s="6" t="inlineStr">
        <is>
          <t>2026-10-02 14:51:11.911</t>
        </is>
      </c>
      <c r="C65" s="6" t="inlineStr">
        <is>
          <t>PlayerState</t>
        </is>
      </c>
      <c r="H65" s="6" t="inlineStr">
        <is>
          <t>Engaged</t>
        </is>
      </c>
      <c r="M65" s="6">
        <v>69</v>
      </c>
      <c r="N65" s="6" t="inlineStr">
        <is>
          <t>2026-10-02 14:51:11.911 | PlayerState: Engaged</t>
        </is>
      </c>
    </row>
    <row r="66" ht="17" customHeight="1">
      <c r="A66" s="0">
        <v>65</v>
      </c>
      <c r="B66" s="0" t="inlineStr">
        <is>
          <t>2026-10-02 14:51:11.980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K66" s="4">
        <v>0.0211</v>
      </c>
      <c r="M66" s="0">
        <v>70</v>
      </c>
      <c r="N66" s="0" t="inlineStr">
        <is>
          <t>2026-10-02 14:51:11.980 | Minigame: Alex | Type: HammerHit | Outcome: Success | Difficulty: Normal | ExpectedTime: 20.4800 | ActualTime: 20.5011 | TimingOffset: 0.0211 | TimingError: 0.0211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14:51:12.660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Normal</t>
        </is>
      </c>
      <c r="M67" s="6">
        <v>71</v>
      </c>
      <c r="N67" s="6" t="inlineStr">
        <is>
          <t>2026-10-02 14:51:12.660 | Minigame: Alex | Type: HammerTouch | Outcome: Missed | Difficulty: Normal | ExpectedTime: 20.8640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14:51:12.660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Normal</t>
        </is>
      </c>
      <c r="M68" s="0">
        <v>72</v>
      </c>
      <c r="N68" s="0" t="inlineStr">
        <is>
          <t>2026-10-02 14:51:12.660 | Minigame: Alex | Type: HammerTouch | Outcome: Missed | Difficulty: Normal | ExpectedTime: 20.8640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14:51:13.091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K69" s="4">
        <v>0.0201</v>
      </c>
      <c r="M69" s="6">
        <v>73</v>
      </c>
      <c r="N69" s="6" t="inlineStr">
        <is>
          <t>2026-10-02 14:51:13.091 | Minigame: Alex | Type: HammerHit | Outcome: Success | Difficulty: Normal | ExpectedTime: 21.6320 | ActualTime: 21.6119 | TimingOffset: -0.0201 | TimingError: 0.0201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14:51:13.882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Normal</t>
        </is>
      </c>
      <c r="K70" s="4">
        <v>0.0035</v>
      </c>
      <c r="M70" s="0">
        <v>74</v>
      </c>
      <c r="N70" s="0" t="inlineStr">
        <is>
          <t>2026-10-02 14:51:13.882 | Minigame: Alex | Type: HammerHit | Outcome: Success | Difficulty: Normal | ExpectedTime: 22.4000 | ActualTime: 22.4035 | TimingOffset: 0.0035 | TimingError: 0.0035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14:51:13.882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Failed</t>
        </is>
      </c>
      <c r="G71" s="6" t="inlineStr">
        <is>
          <t>Normal</t>
        </is>
      </c>
      <c r="K71" s="4">
        <v>0.0035</v>
      </c>
      <c r="M71" s="6">
        <v>75</v>
      </c>
      <c r="N71" s="6" t="inlineStr">
        <is>
          <t>2026-10-02 14:51:13.882 | Minigame: Alex | Type: HammerHit | Outcome: Failed | Difficulty: Normal | ExpectedTime: 22.4000 | ActualTime: 22.4035 | TimingOffset: 0.0035 | TimingError: 0.0035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14:51:14.633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K72" s="4">
        <v>0.0148</v>
      </c>
      <c r="M72" s="0">
        <v>76</v>
      </c>
      <c r="N72" s="0" t="inlineStr">
        <is>
          <t>2026-10-02 14:51:14.633 | Minigame: Alex | Type: HammerHit | Outcome: Success | Difficulty: Normal | ExpectedTime: 23.1680 | ActualTime: 23.1532 | TimingOffset: -0.0148 | TimingError: 0.0148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14:51:14.701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Success</t>
        </is>
      </c>
      <c r="G73" s="6" t="inlineStr">
        <is>
          <t>Normal</t>
        </is>
      </c>
      <c r="M73" s="6">
        <v>77</v>
      </c>
      <c r="N73" s="6" t="inlineStr">
        <is>
          <t>2026-10-02 14:51:14.701 | Minigame: Alex | Type: HammerTouch | Outcome: Success | Difficulty: Normal | ExpectedTime: 23.1680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14:51:15.423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Failed</t>
        </is>
      </c>
      <c r="G74" s="0" t="inlineStr">
        <is>
          <t>Normal</t>
        </is>
      </c>
      <c r="K74" s="4">
        <v>0.0052</v>
      </c>
      <c r="M74" s="0">
        <v>78</v>
      </c>
      <c r="N74" s="0" t="inlineStr">
        <is>
          <t>2026-10-02 14:51:15.423 | Minigame: Alex | Type: HammerHit | Outcome: Failed | Difficulty: Normal | ExpectedTime: 23.9360 | ActualTime: 23.9308 | TimingOffset: -0.0052 | TimingError: 0.0052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14:51:15.728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Missed</t>
        </is>
      </c>
      <c r="G75" s="6" t="inlineStr">
        <is>
          <t>Normal</t>
        </is>
      </c>
      <c r="M75" s="6">
        <v>79</v>
      </c>
      <c r="N75" s="6" t="inlineStr">
        <is>
          <t>2026-10-02 14:51:15.728 | Minigame: Alex | Type: HammerTouch | Outcome: Missed | Difficulty: Normal | ExpectedTime: 23.9360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14:51:16.160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Normal</t>
        </is>
      </c>
      <c r="K76" s="4">
        <v>0.0232</v>
      </c>
      <c r="M76" s="0">
        <v>80</v>
      </c>
      <c r="N76" s="0" t="inlineStr">
        <is>
          <t>2026-10-02 14:51:16.160 | Minigame: Alex | Type: HammerHit | Outcome: Success | Difficulty: Normal | ExpectedTime: 24.7040 | ActualTime: 24.6808 | TimingOffset: -0.0232 | TimingError: 0.0232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14:51:16.951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Failed</t>
        </is>
      </c>
      <c r="G77" s="6" t="inlineStr">
        <is>
          <t>Normal</t>
        </is>
      </c>
      <c r="K77" s="4">
        <v>0.0136</v>
      </c>
      <c r="M77" s="6">
        <v>81</v>
      </c>
      <c r="N77" s="6" t="inlineStr">
        <is>
          <t>2026-10-02 14:51:16.951 | Minigame: Alex | Type: HammerHit | Outcome: Failed | Difficulty: Normal | ExpectedTime: 25.4720 | ActualTime: 25.4584 | TimingOffset: -0.0136 | TimingError: 0.0136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14:51:16.951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Normal</t>
        </is>
      </c>
      <c r="K78" s="4">
        <v>0.0004</v>
      </c>
      <c r="M78" s="0">
        <v>82</v>
      </c>
      <c r="N78" s="0" t="inlineStr">
        <is>
          <t>2026-10-02 14:51:16.951 | Minigame: Alex | Type: HammerHit | Outcome: Success | Difficulty: Normal | ExpectedTime: 25.4720 | ActualTime: 25.4724 | TimingOffset: 0.0004 | TimingError: 0.0004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14:51:17.729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Normal</t>
        </is>
      </c>
      <c r="K79" s="4">
        <v>0.0098</v>
      </c>
      <c r="M79" s="6">
        <v>83</v>
      </c>
      <c r="N79" s="6" t="inlineStr">
        <is>
          <t>2026-10-02 14:51:17.729 | Minigame: Alex | Type: HammerHit | Outcome: Success | Difficulty: Normal | ExpectedTime: 26.2400 | ActualTime: 26.2498 | TimingOffset: 0.0098 | TimingError: 0.0098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14:51:17.770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Normal</t>
        </is>
      </c>
      <c r="M80" s="0">
        <v>84</v>
      </c>
      <c r="N80" s="0" t="inlineStr">
        <is>
          <t>2026-10-02 14:51:17.770 | Minigame: Alex | Type: HammerTouch | Outcome: Success | Difficulty: Normal | ExpectedTime: 26.2400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14:51:18.493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Failed</t>
        </is>
      </c>
      <c r="G81" s="6" t="inlineStr">
        <is>
          <t>Normal</t>
        </is>
      </c>
      <c r="K81" s="4">
        <v>0.0056</v>
      </c>
      <c r="M81" s="6">
        <v>85</v>
      </c>
      <c r="N81" s="6" t="inlineStr">
        <is>
          <t>2026-10-02 14:51:18.493 | Minigame: Alex | Type: HammerHit | Outcome: Failed | Difficulty: Normal | ExpectedTime: 27.0080 | ActualTime: 27.0136 | TimingOffset: 0.0056 | TimingError: 0.0056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14:51:18.812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Missed</t>
        </is>
      </c>
      <c r="G82" s="0" t="inlineStr">
        <is>
          <t>Normal</t>
        </is>
      </c>
      <c r="M82" s="0">
        <v>86</v>
      </c>
      <c r="N82" s="0" t="inlineStr">
        <is>
          <t>2026-10-02 14:51:18.812 | Minigame: Alex | Type: HammerTouch | Outcome: Missed | Difficulty: Normal | ExpectedTime: 27.0080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14:51:19.241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Failed</t>
        </is>
      </c>
      <c r="G83" s="6" t="inlineStr">
        <is>
          <t>Normal</t>
        </is>
      </c>
      <c r="K83" s="4">
        <v>0.0267</v>
      </c>
      <c r="M83" s="6">
        <v>87</v>
      </c>
      <c r="N83" s="6" t="inlineStr">
        <is>
          <t>2026-10-02 14:51:19.241 | Minigame: Alex | Type: HammerHit | Outcome: Failed | Difficulty: Normal | ExpectedTime: 27.7760 | ActualTime: 27.7493 | TimingOffset: -0.0267 | TimingError: 0.0267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14:51:19.243</t>
        </is>
      </c>
      <c r="C84" s="0" t="inlineStr">
        <is>
          <t>PlayerState</t>
        </is>
      </c>
      <c r="H84" s="0" t="inlineStr">
        <is>
          <t>Overloaded</t>
        </is>
      </c>
      <c r="M84" s="0">
        <v>88</v>
      </c>
      <c r="N84" s="0" t="inlineStr">
        <is>
          <t>2026-10-02 14:51:19.243 | PlayerState: Overloaded</t>
        </is>
      </c>
    </row>
    <row r="85" ht="17" customHeight="1">
      <c r="A85" s="6">
        <v>84</v>
      </c>
      <c r="B85" s="6" t="inlineStr">
        <is>
          <t>2026-10-02 14:51:19.243</t>
        </is>
      </c>
      <c r="C85" s="6" t="inlineStr">
        <is>
          <t>DifficultyChanged</t>
        </is>
      </c>
      <c r="D85" s="6" t="inlineStr">
        <is>
          <t>Alex</t>
        </is>
      </c>
      <c r="I85" s="6" t="inlineStr">
        <is>
          <t>Normal -&gt; Easy</t>
        </is>
      </c>
      <c r="J85" s="6" t="inlineStr">
        <is>
          <t>PlayerState: Overloaded</t>
        </is>
      </c>
      <c r="M85" s="6">
        <v>89</v>
      </c>
      <c r="N85" s="6" t="inlineStr">
        <is>
          <t>2026-10-02 14:51:19.243 | DifficultyChanged: Normal -&gt; Easy | Reason: PlayerState: Overloaded | Minigame: Alex | RecentSuccessRate: 0.50</t>
        </is>
      </c>
    </row>
    <row r="86" ht="17" customHeight="1">
      <c r="A86" s="0">
        <v>85</v>
      </c>
      <c r="B86" s="0" t="inlineStr">
        <is>
          <t>2026-10-02 14:51:19.243</t>
        </is>
      </c>
      <c r="C86" s="0" t="inlineStr">
        <is>
          <t>PlayerState</t>
        </is>
      </c>
      <c r="H86" s="0" t="inlineStr">
        <is>
          <t>Engaged</t>
        </is>
      </c>
      <c r="M86" s="0">
        <v>90</v>
      </c>
      <c r="N86" s="0" t="inlineStr">
        <is>
          <t>2026-10-02 14:51:19.243 | PlayerState: Engaged</t>
        </is>
      </c>
    </row>
    <row r="87" ht="17" customHeight="1">
      <c r="A87" s="6">
        <v>86</v>
      </c>
      <c r="B87" s="6" t="inlineStr">
        <is>
          <t>2026-10-02 14:51:20.034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Easy</t>
        </is>
      </c>
      <c r="K87" s="4">
        <v>0.0109</v>
      </c>
      <c r="M87" s="6">
        <v>91</v>
      </c>
      <c r="N87" s="6" t="inlineStr">
        <is>
          <t>2026-10-02 14:51:20.034 | Minigame: Alex | Type: HammerHit | Outcome: Success | Difficulty: Easy | ExpectedTime: 28.5440 | ActualTime: 28.5549 | TimingOffset: 0.0109 | TimingError: 0.0109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14:51:20.035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Failed</t>
        </is>
      </c>
      <c r="G88" s="0" t="inlineStr">
        <is>
          <t>Easy</t>
        </is>
      </c>
      <c r="K88" s="4">
        <v>0.0109</v>
      </c>
      <c r="M88" s="0">
        <v>92</v>
      </c>
      <c r="N88" s="0" t="inlineStr">
        <is>
          <t>2026-10-02 14:51:20.035 | Minigame: Alex | Type: HammerHit | Outcome: Failed | Difficulty: Easy | ExpectedTime: 28.5440 | ActualTime: 28.5549 | TimingOffset: 0.0109 | TimingError: 0.0109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14:51:21.548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Easy</t>
        </is>
      </c>
      <c r="K89" s="4">
        <v>0.0108</v>
      </c>
      <c r="M89" s="6">
        <v>93</v>
      </c>
      <c r="N89" s="6" t="inlineStr">
        <is>
          <t>2026-10-02 14:51:21.548 | Minigame: Alex | Type: HammerHit | Outcome: Success | Difficulty: Easy | ExpectedTime: 30.0800 | ActualTime: 30.0692 | TimingOffset: -0.0108 | TimingError: 0.0108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14:51:25.630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Easy</t>
        </is>
      </c>
      <c r="K90" s="4">
        <v>0.1666</v>
      </c>
      <c r="M90" s="0">
        <v>94</v>
      </c>
      <c r="N90" s="0" t="inlineStr">
        <is>
          <t>2026-10-02 14:51:25.630 | Minigame: Joaquin | Type: GuitarHit | Outcome: Success | Difficulty: Easy | ExpectedTime: 34.3040 | ActualTime: 34.1374 | TimingOffset: -0.1666 | TimingError: 0.1666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14:51:28.019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Easy</t>
        </is>
      </c>
      <c r="K91" s="4">
        <v>0.0813</v>
      </c>
      <c r="M91" s="6">
        <v>95</v>
      </c>
      <c r="N91" s="6" t="inlineStr">
        <is>
          <t>2026-10-02 14:51:28.019 | Minigame: Joaquin | Type: GuitarHit | Outcome: Success | Difficulty: Easy | ExpectedTime: 36.6080 | ActualTime: 36.5267 | TimingOffset: -0.0813 | TimingError: 0.0813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14:51:30.340</t>
        </is>
      </c>
      <c r="C92" s="0" t="inlineStr">
        <is>
          <t>Interaction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Easy</t>
        </is>
      </c>
      <c r="K92" s="4">
        <v>0.0658</v>
      </c>
      <c r="M92" s="0">
        <v>96</v>
      </c>
      <c r="N92" s="0" t="inlineStr">
        <is>
          <t>2026-10-02 14:51:30.340 | Minigame: Joaquin | Type: GuitarHit | Outcome: Success | Difficulty: Easy | ExpectedTime: 38.9120 | ActualTime: 38.8462 | TimingOffset: -0.0658 | TimingError: 0.0658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14:51:32.548</t>
        </is>
      </c>
      <c r="C93" s="6" t="inlineStr">
        <is>
          <t>Interaction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Easy</t>
        </is>
      </c>
      <c r="K93" s="4">
        <v>0.161</v>
      </c>
      <c r="M93" s="6">
        <v>97</v>
      </c>
      <c r="N93" s="6" t="inlineStr">
        <is>
          <t>2026-10-02 14:51:32.548 | Minigame: Joaquin | Type: GuitarHit | Outcome: Success | Difficulty: Easy | ExpectedTime: 41.2160 | ActualTime: 41.0550 | TimingOffset: -0.1610 | TimingError: 0.1610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14:51:36.533</t>
        </is>
      </c>
      <c r="C94" s="0" t="inlineStr">
        <is>
          <t>Interaction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Easy</t>
        </is>
      </c>
      <c r="K94" s="4">
        <v>0.0162</v>
      </c>
      <c r="M94" s="0">
        <v>98</v>
      </c>
      <c r="N94" s="0" t="inlineStr">
        <is>
          <t>2026-10-02 14:51:36.533 | Minigame: Joaquin | Type: GuitarHit | Outcome: Success | Difficulty: Easy | ExpectedTime: 45.0560 | ActualTime: 45.0398 | TimingOffset: -0.0162 | TimingError: 0.0162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14:51:38.671</t>
        </is>
      </c>
      <c r="C95" s="6" t="inlineStr">
        <is>
          <t>Interaction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Easy</t>
        </is>
      </c>
      <c r="K95" s="4">
        <v>0.1813</v>
      </c>
      <c r="M95" s="6">
        <v>99</v>
      </c>
      <c r="N95" s="6" t="inlineStr">
        <is>
          <t>2026-10-02 14:51:38.671 | Minigame: Joaquin | Type: GuitarHit | Outcome: Success | Difficulty: Easy | ExpectedTime: 47.3600 | ActualTime: 47.1787 | TimingOffset: -0.1813 | TimingError: 0.1813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14:51:41.032</t>
        </is>
      </c>
      <c r="C96" s="0" t="inlineStr">
        <is>
          <t>Interaction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Easy</t>
        </is>
      </c>
      <c r="K96" s="4">
        <v>0.1248</v>
      </c>
      <c r="M96" s="0">
        <v>100</v>
      </c>
      <c r="N96" s="0" t="inlineStr">
        <is>
          <t>2026-10-02 14:51:41.032 | Minigame: Joaquin | Type: GuitarHit | Outcome: Success | Difficulty: Easy | ExpectedTime: 49.6640 | ActualTime: 49.5392 | TimingOffset: -0.1248 | TimingError: 0.1248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14:51:43.628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Easy</t>
        </is>
      </c>
      <c r="K97" s="4">
        <v>0.1683</v>
      </c>
      <c r="M97" s="6">
        <v>101</v>
      </c>
      <c r="N97" s="6" t="inlineStr">
        <is>
          <t>2026-10-02 14:51:43.628 | Minigame: Joaquin | Type: GuitarHit | Outcome: Success | Difficulty: Easy | ExpectedTime: 51.9680 | ActualTime: 52.1363 | TimingOffset: 0.1683 | TimingError: 0.1683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14:51:43.630</t>
        </is>
      </c>
      <c r="C98" s="0" t="inlineStr">
        <is>
          <t>DifficultyChanged</t>
        </is>
      </c>
      <c r="D98" s="0" t="inlineStr">
        <is>
          <t>Joaquin</t>
        </is>
      </c>
      <c r="I98" s="0" t="inlineStr">
        <is>
          <t>Easy -&gt; Normal</t>
        </is>
      </c>
      <c r="J98" s="0" t="inlineStr">
        <is>
          <t>High recent performance</t>
        </is>
      </c>
      <c r="M98" s="0">
        <v>102</v>
      </c>
      <c r="N98" s="0" t="inlineStr">
        <is>
          <t>2026-10-02 14:51:43.630 | DifficultyChanged: Easy -&gt; Normal | Reason: High recent performance | Minigame: Joaquin | SuccessRate: 1.00</t>
        </is>
      </c>
    </row>
    <row r="99" ht="17" customHeight="1">
      <c r="A99" s="6">
        <v>98</v>
      </c>
      <c r="B99" s="6" t="inlineStr">
        <is>
          <t>2026-10-02 14:51:44.003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GuitarHit</t>
        </is>
      </c>
      <c r="F99" s="6" t="inlineStr">
        <is>
          <t>Success</t>
        </is>
      </c>
      <c r="G99" s="6" t="inlineStr">
        <is>
          <t>Normal</t>
        </is>
      </c>
      <c r="K99" s="4">
        <v>0.1584</v>
      </c>
      <c r="M99" s="6">
        <v>103</v>
      </c>
      <c r="N99" s="6" t="inlineStr">
        <is>
          <t>2026-10-02 14:51:44.003 | Minigame: Joaquin | Type: GuitarHit | Outcome: Success | Difficulty: Normal | ExpectedTime: 52.3520 | ActualTime: 52.5104 | TimingOffset: 0.1584 | TimingError: 0.1584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14:51:45.961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K100" s="4">
        <v>0.1875</v>
      </c>
      <c r="M100" s="0">
        <v>104</v>
      </c>
      <c r="N100" s="0" t="inlineStr">
        <is>
          <t>2026-10-02 14:51:45.961 | Minigame: Joaquin | Type: GuitarHit | Outcome: Success | Difficulty: Normal | ExpectedTime: 54.6560 | ActualTime: 54.4685 | TimingOffset: -0.1875 | TimingError: 0.1875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14:51:48.406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Normal</t>
        </is>
      </c>
      <c r="K101" s="4">
        <v>0.0473</v>
      </c>
      <c r="M101" s="6">
        <v>105</v>
      </c>
      <c r="N101" s="6" t="inlineStr">
        <is>
          <t>2026-10-02 14:51:48.406 | Minigame: Joaquin | Type: GuitarHit | Outcome: Success | Difficulty: Normal | ExpectedTime: 56.9600 | ActualTime: 56.9127 | TimingOffset: -0.0473 | TimingError: 0.0473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14:51:50.628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GuitarHit</t>
        </is>
      </c>
      <c r="F102" s="0" t="inlineStr">
        <is>
          <t>Success</t>
        </is>
      </c>
      <c r="G102" s="0" t="inlineStr">
        <is>
          <t>Normal</t>
        </is>
      </c>
      <c r="K102" s="4">
        <v>0.1288</v>
      </c>
      <c r="M102" s="0">
        <v>106</v>
      </c>
      <c r="N102" s="0" t="inlineStr">
        <is>
          <t>2026-10-02 14:51:50.628 | Minigame: Joaquin | Type: GuitarHit | Outcome: Success | Difficulty: Normal | ExpectedTime: 59.2640 | ActualTime: 59.1352 | TimingOffset: -0.1288 | TimingError: 0.1288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14:51:52.893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Normal</t>
        </is>
      </c>
      <c r="K103" s="4">
        <v>0.1683</v>
      </c>
      <c r="M103" s="6">
        <v>107</v>
      </c>
      <c r="N103" s="6" t="inlineStr">
        <is>
          <t>2026-10-02 14:51:52.893 | Minigame: Joaquin | Type: GuitarHit | Outcome: Success | Difficulty: Normal | ExpectedTime: 61.5680 | ActualTime: 61.3997 | TimingOffset: -0.1683 | TimingError: 0.1683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14:51:53.546</t>
        </is>
      </c>
      <c r="C104" s="0" t="inlineStr">
        <is>
          <t>Interaction</t>
        </is>
      </c>
      <c r="D104" s="0" t="inlineStr">
        <is>
          <t>Joaquin</t>
        </is>
      </c>
      <c r="E104" s="0" t="inlineStr">
        <is>
          <t>PlayerHit</t>
        </is>
      </c>
      <c r="F104" s="0" t="inlineStr">
        <is>
          <t>Failed</t>
        </is>
      </c>
      <c r="G104" s="0" t="inlineStr">
        <is>
          <t>Normal</t>
        </is>
      </c>
      <c r="M104" s="0">
        <v>108</v>
      </c>
      <c r="N104" s="0" t="inlineStr">
        <is>
          <t>2026-10-02 14:51:53.546 | Minigame: Joaquin | Type: PlayerHit | Outcome: Failed | Difficulty: Normal | ExpectedTime: 62.0528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14:51:57.728</t>
        </is>
      </c>
      <c r="C105" s="6" t="inlineStr">
        <is>
          <t>Interaction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Normal</t>
        </is>
      </c>
      <c r="K105" s="4">
        <v>0.0179</v>
      </c>
      <c r="L105" s="4">
        <v>0.8269</v>
      </c>
      <c r="M105" s="6">
        <v>109</v>
      </c>
      <c r="N105" s="6" t="inlineStr">
        <is>
          <t>2026-10-02 14:51:57.728 | Minigame: Shipi | Type: FoodCut | Outcome: Failed | Difficulty: Normal | ExpectedTime: 66.2528 | ActualTime: 66.2349 | TimingOffset: -0.0179 | TimingError: 0.0179 | ReactionTime: 0.8269 | SpatialAccuracy: N/A | DirectionAccuracy: 0.0000 | CorrectHand: N/A</t>
        </is>
      </c>
    </row>
    <row r="106" ht="17" customHeight="1">
      <c r="A106" s="0">
        <v>105</v>
      </c>
      <c r="B106" s="0" t="inlineStr">
        <is>
          <t>2026-10-02 14:51:58.993</t>
        </is>
      </c>
      <c r="C106" s="0" t="inlineStr">
        <is>
          <t>Interaction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Failed</t>
        </is>
      </c>
      <c r="G106" s="0" t="inlineStr">
        <is>
          <t>Normal</t>
        </is>
      </c>
      <c r="M106" s="0">
        <v>110</v>
      </c>
      <c r="N106" s="0" t="inlineStr">
        <is>
          <t>2026-10-02 14:51:58.993 | Minigame: Shipi | Type: FoodCut | Outcome: Failed | Difficulty: Normal | ExpectedTime: 67.7888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14:52:01.172</t>
        </is>
      </c>
      <c r="C107" s="6" t="inlineStr">
        <is>
          <t>Interaction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Success</t>
        </is>
      </c>
      <c r="G107" s="6" t="inlineStr">
        <is>
          <t>Normal</t>
        </is>
      </c>
      <c r="K107" s="4">
        <v>0.3551</v>
      </c>
      <c r="L107" s="4">
        <v>1.1999</v>
      </c>
      <c r="M107" s="6">
        <v>111</v>
      </c>
      <c r="N107" s="6" t="inlineStr">
        <is>
          <t>2026-10-02 14:52:01.172 | Minigame: Shipi | Type: FoodCut | Outcome: Success | Difficulty: Normal | ExpectedTime: 69.3248 | ActualTime: 69.6799 | TimingOffset: 0.3551 | TimingError: 0.3551 | ReactionTime: 1.1999 | SpatialAccuracy: N/A | DirectionAccuracy: 1.0000 | CorrectHand: N/A</t>
        </is>
      </c>
    </row>
    <row r="108" ht="17" customHeight="1">
      <c r="A108" s="0">
        <v>107</v>
      </c>
      <c r="B108" s="0" t="inlineStr">
        <is>
          <t>2026-10-02 14:52:01.548</t>
        </is>
      </c>
      <c r="C108" s="0" t="inlineStr">
        <is>
          <t>Interaction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Failed</t>
        </is>
      </c>
      <c r="G108" s="0" t="inlineStr">
        <is>
          <t>Normal</t>
        </is>
      </c>
      <c r="K108" s="4">
        <v>0.8061</v>
      </c>
      <c r="L108" s="4">
        <v>0.0387</v>
      </c>
      <c r="M108" s="0">
        <v>112</v>
      </c>
      <c r="N108" s="0" t="inlineStr">
        <is>
          <t>2026-10-02 14:52:01.548 | Minigame: Shipi | Type: FoodCut | Outcome: Failed | Difficulty: Normal | ExpectedTime: 70.8608 | ActualTime: 70.0547 | TimingOffset: -0.8061 | TimingError: 0.8061 | ReactionTime: 0.0387 | SpatialAccuracy: N/A | DirectionAccuracy: 0.0000 | CorrectHand: N/A</t>
        </is>
      </c>
    </row>
    <row r="109" ht="17" customHeight="1">
      <c r="A109" s="6">
        <v>108</v>
      </c>
      <c r="B109" s="6" t="inlineStr">
        <is>
          <t>2026-10-02 14:52:03.061</t>
        </is>
      </c>
      <c r="C109" s="6" t="inlineStr">
        <is>
          <t>Interaction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Failed</t>
        </is>
      </c>
      <c r="G109" s="6" t="inlineStr">
        <is>
          <t>Normal</t>
        </is>
      </c>
      <c r="K109" s="4">
        <v>0.8282</v>
      </c>
      <c r="L109" s="4">
        <v>0.0166</v>
      </c>
      <c r="M109" s="6">
        <v>113</v>
      </c>
      <c r="N109" s="6" t="inlineStr">
        <is>
          <t>2026-10-02 14:52:03.061 | Minigame: Shipi | Type: FoodCut | Outcome: Failed | Difficulty: Normal | ExpectedTime: 72.3968 | ActualTime: 71.5686 | TimingOffset: -0.8282 | TimingError: 0.8282 | ReactionTime: 0.0166 | SpatialAccuracy: N/A | DirectionAccuracy: 0.0000 | CorrectHand: N/A</t>
        </is>
      </c>
    </row>
    <row r="110" ht="17" customHeight="1">
      <c r="A110" s="0">
        <v>109</v>
      </c>
      <c r="B110" s="0" t="inlineStr">
        <is>
          <t>2026-10-02 14:52:03.061</t>
        </is>
      </c>
      <c r="C110" s="0" t="inlineStr">
        <is>
          <t>PlayerState</t>
        </is>
      </c>
      <c r="H110" s="0" t="inlineStr">
        <is>
          <t>Overloaded</t>
        </is>
      </c>
      <c r="M110" s="0">
        <v>114</v>
      </c>
      <c r="N110" s="0" t="inlineStr">
        <is>
          <t>2026-10-02 14:52:03.061 | PlayerState: Overloaded</t>
        </is>
      </c>
    </row>
    <row r="111" ht="17" customHeight="1">
      <c r="A111" s="6">
        <v>110</v>
      </c>
      <c r="B111" s="6" t="inlineStr">
        <is>
          <t>2026-10-02 14:52:03.062</t>
        </is>
      </c>
      <c r="C111" s="6" t="inlineStr">
        <is>
          <t>DifficultyChanged</t>
        </is>
      </c>
      <c r="D111" s="6" t="inlineStr">
        <is>
          <t>Shipi</t>
        </is>
      </c>
      <c r="I111" s="6" t="inlineStr">
        <is>
          <t>Normal -&gt; Easy</t>
        </is>
      </c>
      <c r="J111" s="6" t="inlineStr">
        <is>
          <t>PlayerState: Overloaded</t>
        </is>
      </c>
      <c r="M111" s="6">
        <v>115</v>
      </c>
      <c r="N111" s="6" t="inlineStr">
        <is>
          <t>2026-10-02 14:52:03.062 | DifficultyChanged: Normal -&gt; Easy | Reason: PlayerState: Overloaded | Minigame: Shipi | RecentSuccessRate: 0.25</t>
        </is>
      </c>
    </row>
    <row r="112" ht="17" customHeight="1">
      <c r="A112" s="0">
        <v>111</v>
      </c>
      <c r="B112" s="0" t="inlineStr">
        <is>
          <t>2026-10-02 14:52:03.063</t>
        </is>
      </c>
      <c r="C112" s="0" t="inlineStr">
        <is>
          <t>PlayerState</t>
        </is>
      </c>
      <c r="H112" s="0" t="inlineStr">
        <is>
          <t>Engaged</t>
        </is>
      </c>
      <c r="M112" s="0">
        <v>116</v>
      </c>
      <c r="N112" s="0" t="inlineStr">
        <is>
          <t>2026-10-02 14:52:03.063 | PlayerState: Engaged</t>
        </is>
      </c>
    </row>
    <row r="113" ht="17" customHeight="1">
      <c r="A113" s="6">
        <v>112</v>
      </c>
      <c r="B113" s="6" t="inlineStr">
        <is>
          <t>2026-10-02 14:52:04.990</t>
        </is>
      </c>
      <c r="C113" s="6" t="inlineStr">
        <is>
          <t>Interaction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Failed</t>
        </is>
      </c>
      <c r="G113" s="6" t="inlineStr">
        <is>
          <t>Normal</t>
        </is>
      </c>
      <c r="K113" s="4">
        <v>1.03</v>
      </c>
      <c r="L113" s="4">
        <v>0.026</v>
      </c>
      <c r="M113" s="6">
        <v>117</v>
      </c>
      <c r="N113" s="6" t="inlineStr">
        <is>
          <t>2026-10-02 14:52:04.990 | Minigame: Shipi | Type: FoodCut | Outcome: Failed | Difficulty: Normal | ExpectedTime: 74.5280 | ActualTime: 73.4980 | TimingOffset: -1.0300 | TimingError: 1.0300 | ReactionTime: 0.0260 | SpatialAccuracy: N/A | DirectionAccuracy: 0.0000 | CorrectHand: N/A</t>
        </is>
      </c>
    </row>
    <row r="114" ht="17" customHeight="1">
      <c r="A114" s="0">
        <v>113</v>
      </c>
      <c r="B114" s="0" t="inlineStr">
        <is>
          <t>2026-10-02 14:52:07.811</t>
        </is>
      </c>
      <c r="C114" s="0" t="inlineStr">
        <is>
          <t>Interaction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Normal</t>
        </is>
      </c>
      <c r="K114" s="4">
        <v>0.1305</v>
      </c>
      <c r="L114" s="4">
        <v>0.9255</v>
      </c>
      <c r="M114" s="0">
        <v>118</v>
      </c>
      <c r="N114" s="0" t="inlineStr">
        <is>
          <t>2026-10-02 14:52:07.811 | Minigame: Shipi | Type: FoodCut | Outcome: Success | Difficulty: Normal | ExpectedTime: 76.4480 | ActualTime: 76.3175 | TimingOffset: -0.1305 | TimingError: 0.1305 | ReactionTime: 0.9255 | SpatialAccuracy: N/A | DirectionAccuracy: 1.0000 | CorrectHand: N/A</t>
        </is>
      </c>
    </row>
    <row r="115" ht="17" customHeight="1">
      <c r="A115" s="6">
        <v>114</v>
      </c>
      <c r="B115" s="6" t="inlineStr">
        <is>
          <t>2026-10-02 14:52:08.060</t>
        </is>
      </c>
      <c r="C115" s="6" t="inlineStr">
        <is>
          <t>PlayerState</t>
        </is>
      </c>
      <c r="H115" s="6" t="inlineStr">
        <is>
          <t>Idle</t>
        </is>
      </c>
      <c r="M115" s="6">
        <v>119</v>
      </c>
      <c r="N115" s="6" t="inlineStr">
        <is>
          <t>2026-10-02 14:52:08.060 | PlayerState: Idle</t>
        </is>
      </c>
    </row>
    <row r="116" ht="17" customHeight="1">
      <c r="A116" s="0">
        <v>115</v>
      </c>
      <c r="B116" s="0" t="inlineStr">
        <is>
          <t>2026-10-02 14:52:09.545</t>
        </is>
      </c>
      <c r="C116" s="0" t="inlineStr">
        <is>
          <t>Interaction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Success</t>
        </is>
      </c>
      <c r="G116" s="0" t="inlineStr">
        <is>
          <t>Easy</t>
        </is>
      </c>
      <c r="K116" s="4">
        <v>0.3155</v>
      </c>
      <c r="L116" s="4">
        <v>0.7405</v>
      </c>
      <c r="M116" s="0">
        <v>120</v>
      </c>
      <c r="N116" s="0" t="inlineStr">
        <is>
          <t>2026-10-02 14:52:09.545 | Minigame: Shipi | Type: FoodCut | Outcome: Success | Difficulty: Easy | ExpectedTime: 78.3680 | ActualTime: 78.0525 | TimingOffset: -0.3155 | TimingError: 0.3155 | ReactionTime: 0.7405 | SpatialAccuracy: N/A | DirectionAccuracy: 1.0000 | CorrectHand: N/A</t>
        </is>
      </c>
    </row>
    <row r="117" ht="17" customHeight="1">
      <c r="A117" s="6">
        <v>116</v>
      </c>
      <c r="B117" s="6" t="inlineStr">
        <is>
          <t>2026-10-02 14:52:09.546</t>
        </is>
      </c>
      <c r="C117" s="6" t="inlineStr">
        <is>
          <t>PlayerState</t>
        </is>
      </c>
      <c r="H117" s="6" t="inlineStr">
        <is>
          <t>Engaged</t>
        </is>
      </c>
      <c r="M117" s="6">
        <v>121</v>
      </c>
      <c r="N117" s="6" t="inlineStr">
        <is>
          <t>2026-10-02 14:52:09.546 | PlayerState: Engaged</t>
        </is>
      </c>
    </row>
    <row r="118" ht="17" customHeight="1">
      <c r="A118" s="0">
        <v>117</v>
      </c>
      <c r="B118" s="0" t="inlineStr">
        <is>
          <t>2026-10-02 14:52:12.087</t>
        </is>
      </c>
      <c r="C118" s="0" t="inlineStr">
        <is>
          <t>Interaction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Failed</t>
        </is>
      </c>
      <c r="G118" s="0" t="inlineStr">
        <is>
          <t>Easy</t>
        </is>
      </c>
      <c r="M118" s="0">
        <v>122</v>
      </c>
      <c r="N118" s="0" t="inlineStr">
        <is>
          <t>2026-10-02 14:52:12.087 | Minigame: Shipi | Type: FoodCut | Outcome: Failed | Difficulty: Easy | ExpectedTime: 80.2880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14:52:12.670</t>
        </is>
      </c>
      <c r="C119" s="6" t="inlineStr">
        <is>
          <t>Interaction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Failed</t>
        </is>
      </c>
      <c r="G119" s="6" t="inlineStr">
        <is>
          <t>Easy</t>
        </is>
      </c>
      <c r="K119" s="4">
        <v>1.0307</v>
      </c>
      <c r="L119" s="4">
        <v>0.0253</v>
      </c>
      <c r="M119" s="6">
        <v>123</v>
      </c>
      <c r="N119" s="6" t="inlineStr">
        <is>
          <t>2026-10-02 14:52:12.670 | Minigame: Shipi | Type: FoodCut | Outcome: Failed | Difficulty: Easy | ExpectedTime: 82.2080 | ActualTime: 81.1773 | TimingOffset: -1.0307 | TimingError: 1.0307 | ReactionTime: 0.0253 | SpatialAccuracy: N/A | DirectionAccuracy: 0.0000 | CorrectHand: N/A</t>
        </is>
      </c>
    </row>
    <row r="120" ht="17" customHeight="1">
      <c r="A120" s="0">
        <v>119</v>
      </c>
      <c r="B120" s="0" t="inlineStr">
        <is>
          <t>2026-10-02 14:52:14.587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Easy</t>
        </is>
      </c>
      <c r="K120" s="4">
        <v>1.0343</v>
      </c>
      <c r="L120" s="4">
        <v>0.0217</v>
      </c>
      <c r="M120" s="0">
        <v>124</v>
      </c>
      <c r="N120" s="0" t="inlineStr">
        <is>
          <t>2026-10-02 14:52:14.587 | Minigame: Shipi | Type: FoodCut | Outcome: Failed | Difficulty: Easy | ExpectedTime: 84.1280 | ActualTime: 83.0937 | TimingOffset: -1.0343 | TimingError: 1.0343 | ReactionTime: 0.0217 | SpatialAccuracy: N/A | DirectionAccuracy: 0.0000 | CorrectHand: N/A</t>
        </is>
      </c>
    </row>
    <row r="121" ht="17" customHeight="1">
      <c r="A121" s="6">
        <v>120</v>
      </c>
      <c r="B121" s="6" t="inlineStr">
        <is>
          <t>2026-10-02 14:52:16.503</t>
        </is>
      </c>
      <c r="C121" s="6" t="inlineStr">
        <is>
          <t>Interaction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Failed</t>
        </is>
      </c>
      <c r="G121" s="6" t="inlineStr">
        <is>
          <t>Easy</t>
        </is>
      </c>
      <c r="K121" s="4">
        <v>1.0369</v>
      </c>
      <c r="L121" s="4">
        <v>0.0191</v>
      </c>
      <c r="M121" s="6">
        <v>125</v>
      </c>
      <c r="N121" s="6" t="inlineStr">
        <is>
          <t>2026-10-02 14:52:16.503 | Minigame: Shipi | Type: FoodCut | Outcome: Failed | Difficulty: Easy | ExpectedTime: 86.0480 | ActualTime: 85.0111 | TimingOffset: -1.0369 | TimingError: 1.0369 | ReactionTime: 0.0191 | SpatialAccuracy: N/A | DirectionAccuracy: 0.0000 | CorrectHand: N/A</t>
        </is>
      </c>
    </row>
    <row r="122" ht="17" customHeight="1">
      <c r="A122" s="0">
        <v>121</v>
      </c>
      <c r="B122" s="0" t="inlineStr">
        <is>
          <t>2026-10-02 14:52:16.503</t>
        </is>
      </c>
      <c r="C122" s="0" t="inlineStr">
        <is>
          <t>PlayerState</t>
        </is>
      </c>
      <c r="H122" s="0" t="inlineStr">
        <is>
          <t>Overloaded</t>
        </is>
      </c>
      <c r="M122" s="0">
        <v>126</v>
      </c>
      <c r="N122" s="0" t="inlineStr">
        <is>
          <t>2026-10-02 14:52:16.503 | PlayerState: Overloaded</t>
        </is>
      </c>
    </row>
    <row r="123" ht="17" customHeight="1">
      <c r="A123" s="6">
        <v>122</v>
      </c>
      <c r="B123" s="6" t="inlineStr">
        <is>
          <t>2026-10-02 14:52:19.088</t>
        </is>
      </c>
      <c r="C123" s="6" t="inlineStr">
        <is>
          <t>Interaction</t>
        </is>
      </c>
      <c r="D123" s="6" t="inlineStr">
        <is>
          <t>Shipi</t>
        </is>
      </c>
      <c r="E123" s="6" t="inlineStr">
        <is>
          <t>FoodCut</t>
        </is>
      </c>
      <c r="F123" s="6" t="inlineStr">
        <is>
          <t>Success</t>
        </is>
      </c>
      <c r="G123" s="6" t="inlineStr">
        <is>
          <t>Easy</t>
        </is>
      </c>
      <c r="K123" s="4">
        <v>0.3734</v>
      </c>
      <c r="L123" s="4">
        <v>0.6826</v>
      </c>
      <c r="M123" s="6">
        <v>127</v>
      </c>
      <c r="N123" s="6" t="inlineStr">
        <is>
          <t>2026-10-02 14:52:19.088 | Minigame: Shipi | Type: FoodCut | Outcome: Success | Difficulty: Easy | ExpectedTime: 87.9680 | ActualTime: 87.5946 | TimingOffset: -0.3734 | TimingError: 0.3734 | ReactionTime: 0.6826 | SpatialAccuracy: N/A | DirectionAccuracy: 1.0000 | CorrectHand: N/A</t>
        </is>
      </c>
    </row>
    <row r="124" ht="17" customHeight="1">
      <c r="A124" s="0">
        <v>123</v>
      </c>
      <c r="B124" s="0" t="inlineStr">
        <is>
          <t>2026-10-02 14:52:21.032</t>
        </is>
      </c>
      <c r="C124" s="0" t="inlineStr">
        <is>
          <t>Interaction</t>
        </is>
      </c>
      <c r="D124" s="0" t="inlineStr">
        <is>
          <t>Shipi</t>
        </is>
      </c>
      <c r="E124" s="0" t="inlineStr">
        <is>
          <t>FoodCut</t>
        </is>
      </c>
      <c r="F124" s="0" t="inlineStr">
        <is>
          <t>Success</t>
        </is>
      </c>
      <c r="G124" s="0" t="inlineStr">
        <is>
          <t>Easy</t>
        </is>
      </c>
      <c r="K124" s="4">
        <v>0.3488</v>
      </c>
      <c r="L124" s="4">
        <v>0.7072</v>
      </c>
      <c r="M124" s="0">
        <v>128</v>
      </c>
      <c r="N124" s="0" t="inlineStr">
        <is>
          <t>2026-10-02 14:52:21.032 | Minigame: Shipi | Type: FoodCut | Outcome: Success | Difficulty: Easy | ExpectedTime: 89.8880 | ActualTime: 89.5392 | TimingOffset: -0.3488 | TimingError: 0.3488 | ReactionTime: 0.7072 | SpatialAccuracy: N/A | DirectionAccuracy: 1.0000 | CorrectHand: N/A</t>
        </is>
      </c>
    </row>
    <row r="125" ht="17" customHeight="1">
      <c r="A125" s="6">
        <v>124</v>
      </c>
      <c r="B125" s="6" t="inlineStr">
        <is>
          <t>2026-10-02 14:52:23.268</t>
        </is>
      </c>
      <c r="C125" s="6" t="inlineStr">
        <is>
          <t>Interaction</t>
        </is>
      </c>
      <c r="D125" s="6" t="inlineStr">
        <is>
          <t>Shipi</t>
        </is>
      </c>
      <c r="E125" s="6" t="inlineStr">
        <is>
          <t>FoodCut</t>
        </is>
      </c>
      <c r="F125" s="6" t="inlineStr">
        <is>
          <t>Failed</t>
        </is>
      </c>
      <c r="G125" s="6" t="inlineStr">
        <is>
          <t>Easy</t>
        </is>
      </c>
      <c r="M125" s="6">
        <v>129</v>
      </c>
      <c r="N125" s="6" t="inlineStr">
        <is>
          <t>2026-10-02 14:52:23.268 | Minigame: Shipi | Type: FoodCut | Outcome: Failed | Difficulty: Easy | ExpectedTime: 91.8080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14:52:24.186</t>
        </is>
      </c>
      <c r="C126" s="0" t="inlineStr">
        <is>
          <t>Interaction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Failed</t>
        </is>
      </c>
      <c r="G126" s="0" t="inlineStr">
        <is>
          <t>Easy</t>
        </is>
      </c>
      <c r="K126" s="4">
        <v>1.035</v>
      </c>
      <c r="L126" s="4">
        <v>0.021</v>
      </c>
      <c r="M126" s="0">
        <v>130</v>
      </c>
      <c r="N126" s="0" t="inlineStr">
        <is>
          <t>2026-10-02 14:52:24.186 | Minigame: Shipi | Type: FoodCut | Outcome: Failed | Difficulty: Easy | ExpectedTime: 93.7280 | ActualTime: 92.6930 | TimingOffset: -1.0350 | TimingError: 1.0350 | ReactionTime: 0.0210 | SpatialAccuracy: N/A | DirectionAccuracy: 0.0000 | CorrectHand: N/A</t>
        </is>
      </c>
    </row>
    <row r="127" ht="17" customHeight="1">
      <c r="A127" s="6">
        <v>126</v>
      </c>
      <c r="B127" s="6" t="inlineStr">
        <is>
          <t>2026-10-02 14:52:28.700</t>
        </is>
      </c>
      <c r="C127" s="6" t="inlineStr">
        <is>
          <t>Interaction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Failed</t>
        </is>
      </c>
      <c r="G127" s="6" t="inlineStr">
        <is>
          <t>Easy</t>
        </is>
      </c>
      <c r="K127" s="4">
        <v>0.8431</v>
      </c>
      <c r="M127" s="6">
        <v>131</v>
      </c>
      <c r="N127" s="6" t="inlineStr">
        <is>
          <t>2026-10-02 14:52:28.700 | Minigame: JuanAndres | Type: GroomStroke | Outcome: Failed | Difficulty: Easy | ExpectedTime: 96.1280 | ActualTime: 96.9711 | TimingOffset: 0.8431 | TimingError: 0.8431 | ReactionTime: N/A | SpatialAccuracy: N/A | DirectionAccuracy: 0.0000 | CorrectHand: False</t>
        </is>
      </c>
    </row>
    <row r="128" ht="17" customHeight="1">
      <c r="A128" s="0">
        <v>127</v>
      </c>
      <c r="B128" s="0" t="inlineStr">
        <is>
          <t>2026-10-02 14:52:28.700</t>
        </is>
      </c>
      <c r="C128" s="0" t="inlineStr">
        <is>
          <t>PlayerState</t>
        </is>
      </c>
      <c r="H128" s="0" t="inlineStr">
        <is>
          <t>Engaged</t>
        </is>
      </c>
      <c r="M128" s="0">
        <v>132</v>
      </c>
      <c r="N128" s="0" t="inlineStr">
        <is>
          <t>2026-10-02 14:52:28.700 | PlayerState: Engaged</t>
        </is>
      </c>
    </row>
    <row r="129" ht="17" customHeight="1">
      <c r="A129" s="6">
        <v>128</v>
      </c>
      <c r="B129" s="6" t="inlineStr">
        <is>
          <t>2026-10-02 14:52:30.228</t>
        </is>
      </c>
      <c r="C129" s="6" t="inlineStr">
        <is>
          <t>Interaction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Success</t>
        </is>
      </c>
      <c r="G129" s="6" t="inlineStr">
        <is>
          <t>Easy</t>
        </is>
      </c>
      <c r="K129" s="4">
        <v>3.6339</v>
      </c>
      <c r="M129" s="6">
        <v>133</v>
      </c>
      <c r="N129" s="6" t="inlineStr">
        <is>
          <t>2026-10-02 14:52:30.228 | Minigame: JuanAndres | Type: GroomStroke | Outcome: Success | Difficulty: Easy | ExpectedTime: 94.9760 | ActualTime: 98.6099 | TimingOffset: 3.6339 | TimingError: 3.6339 | ReactionTime: N/A | SpatialAccuracy: N/A | DirectionAccuracy: 1.0000 | CorrectHand: True</t>
        </is>
      </c>
    </row>
    <row r="130" ht="17" customHeight="1">
      <c r="A130" s="0">
        <v>129</v>
      </c>
      <c r="B130" s="0" t="inlineStr">
        <is>
          <t>2026-10-02 14:52:35.227</t>
        </is>
      </c>
      <c r="C130" s="0" t="inlineStr">
        <is>
          <t>PlayerState</t>
        </is>
      </c>
      <c r="H130" s="0" t="inlineStr">
        <is>
          <t>Idle</t>
        </is>
      </c>
      <c r="M130" s="0">
        <v>134</v>
      </c>
      <c r="N130" s="0" t="inlineStr">
        <is>
          <t>2026-10-02 14:52:35.227 | PlayerState: Idle</t>
        </is>
      </c>
    </row>
    <row r="131" ht="17" customHeight="1">
      <c r="A131" s="6">
        <v>130</v>
      </c>
      <c r="B131" s="6" t="inlineStr">
        <is>
          <t>2026-10-02 14:52:35.935</t>
        </is>
      </c>
      <c r="C131" s="6" t="inlineStr">
        <is>
          <t>Interaction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Missed</t>
        </is>
      </c>
      <c r="G131" s="6" t="inlineStr">
        <is>
          <t>Easy</t>
        </is>
      </c>
      <c r="M131" s="6">
        <v>135</v>
      </c>
      <c r="N131" s="6" t="inlineStr">
        <is>
          <t>2026-10-02 14:52:35.935 | Minigame: JuanAndres | Type: GroomStroke | Outcome: Missed | Difficulty: Easy | ExpectedTime: 98.4320 | ActualTime: N/A | TimingOffset: N/A | TimingError: N/A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14:52:38.463</t>
        </is>
      </c>
      <c r="C132" s="0" t="inlineStr">
        <is>
          <t>Interaction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Failed</t>
        </is>
      </c>
      <c r="G132" s="0" t="inlineStr">
        <is>
          <t>Easy</t>
        </is>
      </c>
      <c r="K132" s="4">
        <v>4.85</v>
      </c>
      <c r="M132" s="0">
        <v>136</v>
      </c>
      <c r="N132" s="0" t="inlineStr">
        <is>
          <t>2026-10-02 14:52:38.463 | Minigame: JuanAndres | Type: GroomStroke | Outcome: Failed | Difficulty: Easy | ExpectedTime: 101.1200 | ActualTime: 105.9700 | TimingOffset: 4.8500 | TimingError: 4.8500 | ReactionTime: N/A | SpatialAccuracy: N/A | DirectionAccuracy: 0.0000 | CorrectHand: False</t>
        </is>
      </c>
    </row>
    <row r="133" ht="17" customHeight="1">
      <c r="A133" s="6">
        <v>132</v>
      </c>
      <c r="B133" s="6" t="inlineStr">
        <is>
          <t>2026-10-02 14:52:38.463</t>
        </is>
      </c>
      <c r="C133" s="6" t="inlineStr">
        <is>
          <t>PlayerState</t>
        </is>
      </c>
      <c r="H133" s="6" t="inlineStr">
        <is>
          <t>Engaged</t>
        </is>
      </c>
      <c r="M133" s="6">
        <v>137</v>
      </c>
      <c r="N133" s="6" t="inlineStr">
        <is>
          <t>2026-10-02 14:52:38.463 | PlayerState: Engaged</t>
        </is>
      </c>
    </row>
    <row r="134" ht="17" customHeight="1">
      <c r="A134" s="0">
        <v>133</v>
      </c>
      <c r="B134" s="0" t="inlineStr">
        <is>
          <t>2026-10-02 14:52:42.462</t>
        </is>
      </c>
      <c r="C134" s="0" t="inlineStr">
        <is>
          <t>Interaction</t>
        </is>
      </c>
      <c r="D134" s="0" t="inlineStr">
        <is>
          <t>JuanAndres</t>
        </is>
      </c>
      <c r="E134" s="0" t="inlineStr">
        <is>
          <t>GroomStroke</t>
        </is>
      </c>
      <c r="F134" s="0" t="inlineStr">
        <is>
          <t>Missed</t>
        </is>
      </c>
      <c r="G134" s="0" t="inlineStr">
        <is>
          <t>Easy</t>
        </is>
      </c>
      <c r="M134" s="0">
        <v>138</v>
      </c>
      <c r="N134" s="0" t="inlineStr">
        <is>
          <t>2026-10-02 14:52:42.462 | Minigame: JuanAndres | Type: GroomStroke | Outcome: Missed | Difficulty: Easy | ExpectedTime: 104.9600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14:52:43.463</t>
        </is>
      </c>
      <c r="C135" s="6" t="inlineStr">
        <is>
          <t>PlayerState</t>
        </is>
      </c>
      <c r="H135" s="6" t="inlineStr">
        <is>
          <t>Idle</t>
        </is>
      </c>
      <c r="M135" s="6">
        <v>139</v>
      </c>
      <c r="N135" s="6" t="inlineStr">
        <is>
          <t>2026-10-02 14:52:43.463 | PlayerState: Idle</t>
        </is>
      </c>
    </row>
    <row r="136" ht="17" customHeight="1">
      <c r="A136" s="0">
        <v>135</v>
      </c>
      <c r="B136" s="0" t="inlineStr">
        <is>
          <t>2026-10-02 14:52:45.253</t>
        </is>
      </c>
      <c r="C136" s="0" t="inlineStr">
        <is>
          <t>Interaction</t>
        </is>
      </c>
      <c r="D136" s="0" t="inlineStr">
        <is>
          <t>JuanAndres</t>
        </is>
      </c>
      <c r="E136" s="0" t="inlineStr">
        <is>
          <t>GroomStroke</t>
        </is>
      </c>
      <c r="F136" s="0" t="inlineStr">
        <is>
          <t>Failed</t>
        </is>
      </c>
      <c r="G136" s="0" t="inlineStr">
        <is>
          <t>Easy</t>
        </is>
      </c>
      <c r="K136" s="4">
        <v>3.1047</v>
      </c>
      <c r="M136" s="0">
        <v>140</v>
      </c>
      <c r="N136" s="0" t="inlineStr">
        <is>
          <t>2026-10-02 14:52:45.253 | Minigame: JuanAndres | Type: GroomStroke | Outcome: Failed | Difficulty: Easy | ExpectedTime: 108.0320 | ActualTime: 111.1367 | TimingOffset: 3.1047 | TimingError: 3.1047 | ReactionTime: N/A | SpatialAccuracy: N/A | DirectionAccuracy: 0.0000 | CorrectHand: False</t>
        </is>
      </c>
    </row>
    <row r="137" ht="17" customHeight="1">
      <c r="A137" s="6">
        <v>136</v>
      </c>
      <c r="B137" s="6" t="inlineStr">
        <is>
          <t>2026-10-02 14:52:45.253</t>
        </is>
      </c>
      <c r="C137" s="6" t="inlineStr">
        <is>
          <t>PlayerState</t>
        </is>
      </c>
      <c r="H137" s="6" t="inlineStr">
        <is>
          <t>Engaged</t>
        </is>
      </c>
      <c r="M137" s="6">
        <v>141</v>
      </c>
      <c r="N137" s="6" t="inlineStr">
        <is>
          <t>2026-10-02 14:52:45.253 | PlayerState: Engaged</t>
        </is>
      </c>
    </row>
    <row r="138" ht="17" customHeight="1">
      <c r="A138" s="0">
        <v>137</v>
      </c>
      <c r="B138" s="0" t="inlineStr">
        <is>
          <t>2026-10-02 14:52:49.671</t>
        </is>
      </c>
      <c r="C138" s="0" t="inlineStr">
        <is>
          <t>Interaction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Success</t>
        </is>
      </c>
      <c r="G138" s="0" t="inlineStr">
        <is>
          <t>Easy</t>
        </is>
      </c>
      <c r="K138" s="4">
        <v>4.5151</v>
      </c>
      <c r="M138" s="0">
        <v>142</v>
      </c>
      <c r="N138" s="0" t="inlineStr">
        <is>
          <t>2026-10-02 14:52:49.671 | Minigame: JuanAndres | Type: GroomStroke | Outcome: Success | Difficulty: Easy | ExpectedTime: 113.0240 | ActualTime: 117.5391 | TimingOffset: 4.5151 | TimingError: 4.5151 | ReactionTime: N/A | SpatialAccuracy: N/A | DirectionAccuracy: 1.0000 | CorrectHand: True</t>
        </is>
      </c>
    </row>
    <row r="139" ht="17" customHeight="1">
      <c r="A139" s="6">
        <v>138</v>
      </c>
      <c r="B139" s="6" t="inlineStr">
        <is>
          <t>2026-10-02 14:52:53.601</t>
        </is>
      </c>
      <c r="C139" s="6" t="inlineStr">
        <is>
          <t>Interaction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Missed</t>
        </is>
      </c>
      <c r="G139" s="6" t="inlineStr">
        <is>
          <t>Easy</t>
        </is>
      </c>
      <c r="M139" s="6">
        <v>143</v>
      </c>
      <c r="N139" s="6" t="inlineStr">
        <is>
          <t>2026-10-02 14:52:53.601 | Minigame: JuanAndres | Type: GroomStroke | Outcome: Missed | Difficulty: Easy | ExpectedTime: 116.0960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14:52:54.671</t>
        </is>
      </c>
      <c r="C140" s="0" t="inlineStr">
        <is>
          <t>PlayerState</t>
        </is>
      </c>
      <c r="H140" s="0" t="inlineStr">
        <is>
          <t>Idle</t>
        </is>
      </c>
      <c r="M140" s="0">
        <v>144</v>
      </c>
      <c r="N140" s="0" t="inlineStr">
        <is>
          <t>2026-10-02 14:52:54.671 | PlayerState: Idle</t>
        </is>
      </c>
    </row>
    <row r="141" ht="17" customHeight="1">
      <c r="A141" s="6">
        <v>140</v>
      </c>
      <c r="B141" s="6" t="inlineStr">
        <is>
          <t>2026-10-02 14:52:55.672</t>
        </is>
      </c>
      <c r="C141" s="6" t="inlineStr">
        <is>
          <t>Interaction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Success</t>
        </is>
      </c>
      <c r="G141" s="6" t="inlineStr">
        <is>
          <t>Easy</t>
        </is>
      </c>
      <c r="K141" s="4">
        <v>4.173</v>
      </c>
      <c r="M141" s="6">
        <v>145</v>
      </c>
      <c r="N141" s="6" t="inlineStr">
        <is>
          <t>2026-10-02 14:52:55.672 | Minigame: JuanAndres | Type: GroomStroke | Outcome: Success | Difficulty: Easy | ExpectedTime: 119.9360 | ActualTime: 124.1090 | TimingOffset: 4.1730 | TimingError: 4.1730 | ReactionTime: N/A | SpatialAccuracy: N/A | DirectionAccuracy: 1.0000 | CorrectHand: True</t>
        </is>
      </c>
    </row>
    <row r="142" ht="17" customHeight="1">
      <c r="A142" s="0">
        <v>141</v>
      </c>
      <c r="B142" s="0" t="inlineStr">
        <is>
          <t>2026-10-02 14:52:55.672</t>
        </is>
      </c>
      <c r="C142" s="0" t="inlineStr">
        <is>
          <t>PlayerState</t>
        </is>
      </c>
      <c r="H142" s="0" t="inlineStr">
        <is>
          <t>Engaged</t>
        </is>
      </c>
      <c r="M142" s="0">
        <v>146</v>
      </c>
      <c r="N142" s="0" t="inlineStr">
        <is>
          <t>2026-10-02 14:52:55.672 | PlayerState: Engaged</t>
        </is>
      </c>
    </row>
    <row r="143" ht="17" customHeight="1">
      <c r="A143" s="6">
        <v>142</v>
      </c>
      <c r="B143" s="6" t="inlineStr">
        <is>
          <t>2026-10-02 14:52:57.821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K143" s="4">
        <v>0.1227</v>
      </c>
      <c r="M143" s="6">
        <v>147</v>
      </c>
      <c r="N143" s="6" t="inlineStr">
        <is>
          <t>2026-10-02 14:52:57.821 | Minigame: Danniel | Type: GunShoot | Outcome: Success | Difficulty: Easy | ExpectedTime: 126.0800 | ActualTime: 126.2027 | TimingOffset: 0.1227 | TimingError: 0.1227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14:52:59.140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K144" s="4">
        <v>0.1769</v>
      </c>
      <c r="M144" s="0">
        <v>148</v>
      </c>
      <c r="N144" s="0" t="inlineStr">
        <is>
          <t>2026-10-02 14:52:59.140 | Minigame: Danniel | Type: GunShoot | Outcome: Success | Difficulty: Easy | ExpectedTime: 127.6160 | ActualTime: 127.4391 | TimingOffset: -0.1769 | TimingError: 0.1769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14:53:01.530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M145" s="6">
        <v>149</v>
      </c>
      <c r="N145" s="6" t="inlineStr">
        <is>
          <t>2026-10-02 14:53:01.530 | Minigame: Danniel | Type: GunShoot | Outcome: Failed | Difficulty: Easy | ExpectedTime: 130.0368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14:53:01.572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Easy</t>
        </is>
      </c>
      <c r="K146" s="4">
        <v>0.18</v>
      </c>
      <c r="M146" s="0">
        <v>150</v>
      </c>
      <c r="N146" s="0" t="inlineStr">
        <is>
          <t>2026-10-02 14:53:01.572 | Minigame: Danniel | Type: GunShoot | Outcome: Success | Difficulty: Easy | ExpectedTime: 129.5360 | ActualTime: 129.3560 | TimingOffset: -0.1800 | TimingError: 0.1800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14:53:03.808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Success</t>
        </is>
      </c>
      <c r="G147" s="6" t="inlineStr">
        <is>
          <t>Easy</t>
        </is>
      </c>
      <c r="K147" s="4">
        <v>0.0673</v>
      </c>
      <c r="M147" s="6">
        <v>151</v>
      </c>
      <c r="N147" s="6" t="inlineStr">
        <is>
          <t>2026-10-02 14:53:03.808 | Minigame: Danniel | Type: GunShoot | Outcome: Success | Difficulty: Easy | ExpectedTime: 131.8400 | ActualTime: 131.7727 | TimingOffset: -0.0673 | TimingError: 0.0673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14:53:04.391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Failed</t>
        </is>
      </c>
      <c r="G148" s="0" t="inlineStr">
        <is>
          <t>Easy</t>
        </is>
      </c>
      <c r="M148" s="0">
        <v>152</v>
      </c>
      <c r="N148" s="0" t="inlineStr">
        <is>
          <t>2026-10-02 14:53:04.391 | Minigame: Danniel | Type: GunShoot | Outcome: Failed | Difficulty: Easy | ExpectedTime: 132.8980 | ActualTime: N/A | TimingOffset: N/A | TimingError: N/A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14:53:06.002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K149" s="4">
        <v>0.0842</v>
      </c>
      <c r="M149" s="6">
        <v>153</v>
      </c>
      <c r="N149" s="6" t="inlineStr">
        <is>
          <t>2026-10-02 14:53:06.002 | Minigame: Danniel | Type: GunShoot | Outcome: Success | Difficulty: Easy | ExpectedTime: 133.7600 | ActualTime: 133.6758 | TimingOffset: -0.0842 | TimingError: 0.0842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14:53:06.725</t>
        </is>
      </c>
      <c r="C150" s="0" t="inlineStr">
        <is>
          <t>Interaction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Failed</t>
        </is>
      </c>
      <c r="G150" s="0" t="inlineStr">
        <is>
          <t>Easy</t>
        </is>
      </c>
      <c r="M150" s="0">
        <v>154</v>
      </c>
      <c r="N150" s="0" t="inlineStr">
        <is>
          <t>2026-10-02 14:53:06.725 | Minigame: Danniel | Type: GunShoot | Outcome: Failed | Difficulty: Easy | ExpectedTime: 135.2316 | ActualTime: N/A | TimingOffset: N/A | TimingError: N/A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14:53:08.044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Failed</t>
        </is>
      </c>
      <c r="G151" s="6" t="inlineStr">
        <is>
          <t>Easy</t>
        </is>
      </c>
      <c r="M151" s="6">
        <v>155</v>
      </c>
      <c r="N151" s="6" t="inlineStr">
        <is>
          <t>2026-10-02 14:53:08.044 | Minigame: Danniel | Type: GunShoot | Outcome: Failed | Difficulty: Easy | ExpectedTime: 136.5515 | ActualTime: N/A | TimingOffset: N/A | TimingError: N/A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14:53:10.210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Success</t>
        </is>
      </c>
      <c r="G152" s="0" t="inlineStr">
        <is>
          <t>Easy</t>
        </is>
      </c>
      <c r="K152" s="4">
        <v>0.1371</v>
      </c>
      <c r="M152" s="0">
        <v>156</v>
      </c>
      <c r="N152" s="0" t="inlineStr">
        <is>
          <t>2026-10-02 14:53:10.210 | Minigame: Danniel | Type: GunShoot | Outcome: Success | Difficulty: Easy | ExpectedTime: 137.9840 | ActualTime: 138.1211 | TimingOffset: 0.1371 | TimingError: 0.1371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14:53:11.420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Failed</t>
        </is>
      </c>
      <c r="G153" s="6" t="inlineStr">
        <is>
          <t>Easy</t>
        </is>
      </c>
      <c r="M153" s="6">
        <v>157</v>
      </c>
      <c r="N153" s="6" t="inlineStr">
        <is>
          <t>2026-10-02 14:53:11.420 | Minigame: Danniel | Type: GunShoot | Outcome: Failed | Difficulty: Easy | ExpectedTime: 139.9263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14:53:11.599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Success</t>
        </is>
      </c>
      <c r="G154" s="0" t="inlineStr">
        <is>
          <t>Easy</t>
        </is>
      </c>
      <c r="K154" s="4">
        <v>0.0243</v>
      </c>
      <c r="M154" s="0">
        <v>158</v>
      </c>
      <c r="N154" s="0" t="inlineStr">
        <is>
          <t>2026-10-02 14:53:11.599 | Minigame: Danniel | Type: GunShoot | Outcome: Success | Difficulty: Easy | ExpectedTime: 139.5200 | ActualTime: 139.4957 | TimingOffset: -0.0243 | TimingError: 0.0243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14:53:13.711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K155" s="4">
        <v>0.0419</v>
      </c>
      <c r="M155" s="6">
        <v>159</v>
      </c>
      <c r="N155" s="6" t="inlineStr">
        <is>
          <t>2026-10-02 14:53:13.711 | Minigame: Danniel | Type: GunShoot | Outcome: Success | Difficulty: Easy | ExpectedTime: 141.4400 | ActualTime: 141.4819 | TimingOffset: 0.0419 | TimingError: 0.0419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14:53:14.668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14:53:14.668 | Minigame: Danniel | Type: GunShoot | Outcome: Failed | Difficulty: Easy | ExpectedTime: 143.1756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14:53:17.071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Failed</t>
        </is>
      </c>
      <c r="G157" s="6" t="inlineStr">
        <is>
          <t>Easy</t>
        </is>
      </c>
      <c r="M157" s="6">
        <v>161</v>
      </c>
      <c r="N157" s="6" t="inlineStr">
        <is>
          <t>2026-10-02 14:53:17.071 | Minigame: Danniel | Type: GunShoot | Outcome: Failed | Difficulty: Easy | ExpectedTime: 145.5785 | ActualTime: N/A | TimingOffset: N/A | TimingError: N/A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14:53:17.071</t>
        </is>
      </c>
      <c r="C158" s="0" t="inlineStr">
        <is>
          <t>PlayerState</t>
        </is>
      </c>
      <c r="H158" s="0" t="inlineStr">
        <is>
          <t>Overloaded</t>
        </is>
      </c>
      <c r="M158" s="0">
        <v>162</v>
      </c>
      <c r="N158" s="0" t="inlineStr">
        <is>
          <t>2026-10-02 14:53:17.071 | PlayerState: Overloaded</t>
        </is>
      </c>
    </row>
    <row r="159" ht="17" customHeight="1">
      <c r="A159" s="6">
        <v>158</v>
      </c>
      <c r="B159" s="6" t="inlineStr">
        <is>
          <t>2026-10-02 14:53:17.350</t>
        </is>
      </c>
      <c r="C159" s="6" t="inlineStr">
        <is>
          <t>Interaction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Success</t>
        </is>
      </c>
      <c r="G159" s="6" t="inlineStr">
        <is>
          <t>Easy</t>
        </is>
      </c>
      <c r="K159" s="4">
        <v>0.1684</v>
      </c>
      <c r="M159" s="6">
        <v>163</v>
      </c>
      <c r="N159" s="6" t="inlineStr">
        <is>
          <t>2026-10-02 14:53:17.350 | Minigame: Danniel | Type: GunShoot | Outcome: Success | Difficulty: Easy | ExpectedTime: 144.8960 | ActualTime: 145.0644 | TimingOffset: 0.1684 | TimingError: 0.1684 | ReactionTime: N/A | SpatialAccuracy: N/A | DirectionAccuracy: N/A | CorrectHand: N/A</t>
        </is>
      </c>
    </row>
    <row r="160" ht="17" customHeight="1">
      <c r="A160" s="0">
        <v>159</v>
      </c>
      <c r="B160" s="0" t="inlineStr">
        <is>
          <t>2026-10-02 14:53:21.264</t>
        </is>
      </c>
      <c r="C160" s="0" t="inlineStr">
        <is>
          <t>Interaction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Success</t>
        </is>
      </c>
      <c r="G160" s="0" t="inlineStr">
        <is>
          <t>Easy</t>
        </is>
      </c>
      <c r="K160" s="4">
        <v>0.0571</v>
      </c>
      <c r="M160" s="0">
        <v>164</v>
      </c>
      <c r="N160" s="0" t="inlineStr">
        <is>
          <t>2026-10-02 14:53:21.264 | Minigame: Danniel | Type: GunShoot | Outcome: Success | Difficulty: Easy | ExpectedTime: 149.1200 | ActualTime: 149.0629 | TimingOffset: -0.0571 | TimingError: 0.0571 | ReactionTime: N/A | SpatialAccuracy: N/A | DirectionAccuracy: N/A | CorrectHand: N/A</t>
        </is>
      </c>
    </row>
    <row r="161" ht="17" customHeight="1">
      <c r="A161" s="6">
        <v>160</v>
      </c>
      <c r="B161" s="6" t="inlineStr">
        <is>
          <t>2026-10-02 14:53:23.279</t>
        </is>
      </c>
      <c r="C161" s="6" t="inlineStr">
        <is>
          <t>Interaction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Failed</t>
        </is>
      </c>
      <c r="G161" s="6" t="inlineStr">
        <is>
          <t>Easy</t>
        </is>
      </c>
      <c r="M161" s="6">
        <v>165</v>
      </c>
      <c r="N161" s="6" t="inlineStr">
        <is>
          <t>2026-10-02 14:53:23.279 | Minigame: Danniel | Type: GunShoot | Outcome: Failed | Difficulty: Easy | ExpectedTime: 151.7863 | ActualTime: N/A | TimingOffset: N/A | TimingError: N/A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14:53:23.933</t>
        </is>
      </c>
      <c r="C162" s="0" t="inlineStr">
        <is>
          <t>Interaction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K162" s="4">
        <v>0.1311</v>
      </c>
      <c r="M162" s="0">
        <v>166</v>
      </c>
      <c r="N162" s="0" t="inlineStr">
        <is>
          <t>2026-10-02 14:53:23.933 | Minigame: Danniel | Type: GunShoot | Outcome: Success | Difficulty: Easy | ExpectedTime: 151.8080 | ActualTime: 151.9391 | TimingOffset: 0.1311 | TimingError: 0.1311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14:53:26.252</t>
        </is>
      </c>
      <c r="C163" s="6" t="inlineStr">
        <is>
          <t>Interaction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Success</t>
        </is>
      </c>
      <c r="G163" s="6" t="inlineStr">
        <is>
          <t>Easy</t>
        </is>
      </c>
      <c r="K163" s="4">
        <v>0.0914</v>
      </c>
      <c r="M163" s="6">
        <v>167</v>
      </c>
      <c r="N163" s="6" t="inlineStr">
        <is>
          <t>2026-10-02 14:53:26.252 | Minigame: Danniel | Type: GunShoot | Outcome: Success | Difficulty: Easy | ExpectedTime: 154.1120 | ActualTime: 154.2034 | TimingOffset: 0.0914 | TimingError: 0.0914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14:53:31.240</t>
        </is>
      </c>
      <c r="C164" s="0" t="inlineStr">
        <is>
          <t>PlayerState</t>
        </is>
      </c>
      <c r="H164" s="0" t="inlineStr">
        <is>
          <t>Idle</t>
        </is>
      </c>
      <c r="M164" s="0">
        <v>168</v>
      </c>
      <c r="N164" s="0" t="inlineStr">
        <is>
          <t>2026-10-02 14:53:31.240 | PlayerState: Idle</t>
        </is>
      </c>
    </row>
    <row r="165" ht="17" customHeight="1">
      <c r="A165" s="6">
        <v>164</v>
      </c>
      <c r="B165" s="6" t="inlineStr">
        <is>
          <t>2026-10-02 14:53:39.407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Failed</t>
        </is>
      </c>
      <c r="G165" s="6" t="inlineStr">
        <is>
          <t>Easy</t>
        </is>
      </c>
      <c r="K165" s="4">
        <v>0.2079</v>
      </c>
      <c r="M165" s="6">
        <v>169</v>
      </c>
      <c r="N165" s="6" t="inlineStr">
        <is>
          <t>2026-10-02 14:53:39.407 | Minigame: Jeremy | Type: SwordCut | Outcome: Failed | Difficulty: Easy | ExpectedTime: 167.7061 | ActualTime: 167.9140 | TimingOffset: 0.2079 | TimingError: 0.2079 | ReactionTime: N/A | SpatialAccuracy: N/A | DirectionAccuracy: 0.0000 | CorrectHand: True</t>
        </is>
      </c>
    </row>
    <row r="166" ht="17" customHeight="1">
      <c r="A166" s="0">
        <v>165</v>
      </c>
      <c r="B166" s="0" t="inlineStr">
        <is>
          <t>2026-10-02 14:53:39.407</t>
        </is>
      </c>
      <c r="C166" s="0" t="inlineStr">
        <is>
          <t>PlayerState</t>
        </is>
      </c>
      <c r="H166" s="0" t="inlineStr">
        <is>
          <t>Engaged</t>
        </is>
      </c>
      <c r="M166" s="0">
        <v>170</v>
      </c>
      <c r="N166" s="0" t="inlineStr">
        <is>
          <t>2026-10-02 14:53:39.407 | PlayerState: Engaged</t>
        </is>
      </c>
    </row>
    <row r="167" ht="17" customHeight="1">
      <c r="A167" s="6">
        <v>166</v>
      </c>
      <c r="B167" s="6" t="inlineStr">
        <is>
          <t>2026-10-02 14:53:41.643</t>
        </is>
      </c>
      <c r="C167" s="6" t="inlineStr">
        <is>
          <t>Interaction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Failed</t>
        </is>
      </c>
      <c r="G167" s="6" t="inlineStr">
        <is>
          <t>Easy</t>
        </is>
      </c>
      <c r="K167" s="4">
        <v>0.146</v>
      </c>
      <c r="M167" s="6">
        <v>171</v>
      </c>
      <c r="N167" s="6" t="inlineStr">
        <is>
          <t>2026-10-02 14:53:41.643 | Minigame: Jeremy | Type: SwordCut | Outcome: Failed | Difficulty: Easy | ExpectedTime: 170.0049 | ActualTime: 170.1509 | TimingOffset: 0.1460 | TimingError: 0.1460 | ReactionTime: N/A | SpatialAccuracy: N/A | DirectionAccuracy: 0.0000 | CorrectHand: True</t>
        </is>
      </c>
    </row>
    <row r="168" ht="17" customHeight="1">
      <c r="A168" s="0">
        <v>167</v>
      </c>
      <c r="B168" s="0" t="inlineStr">
        <is>
          <t>2026-10-02 14:53:43.810</t>
        </is>
      </c>
      <c r="C168" s="0" t="inlineStr">
        <is>
          <t>Interaction</t>
        </is>
      </c>
      <c r="D168" s="0" t="inlineStr">
        <is>
          <t>Jeremy</t>
        </is>
      </c>
      <c r="E168" s="0" t="inlineStr">
        <is>
          <t>SwordCut</t>
        </is>
      </c>
      <c r="F168" s="0" t="inlineStr">
        <is>
          <t>Success</t>
        </is>
      </c>
      <c r="G168" s="0" t="inlineStr">
        <is>
          <t>Easy</t>
        </is>
      </c>
      <c r="K168" s="4">
        <v>0.0138</v>
      </c>
      <c r="M168" s="0">
        <v>172</v>
      </c>
      <c r="N168" s="0" t="inlineStr">
        <is>
          <t>2026-10-02 14:53:43.810 | Minigame: Jeremy | Type: SwordCut | Outcome: Success | Difficulty: Easy | ExpectedTime: 172.3037 | ActualTime: 172.3174 | TimingOffset: 0.0138 | TimingError: 0.0138 | ReactionTime: N/A | SpatialAccuracy: N/A | DirectionAccuracy: 1.0000 | CorrectHand: True</t>
        </is>
      </c>
    </row>
    <row r="169" ht="17" customHeight="1">
      <c r="A169" s="6">
        <v>168</v>
      </c>
      <c r="B169" s="6" t="inlineStr">
        <is>
          <t>2026-10-02 14:53:46.268</t>
        </is>
      </c>
      <c r="C169" s="6" t="inlineStr">
        <is>
          <t>Interaction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Failed</t>
        </is>
      </c>
      <c r="G169" s="6" t="inlineStr">
        <is>
          <t>Easy</t>
        </is>
      </c>
      <c r="K169" s="4">
        <v>0.1729</v>
      </c>
      <c r="M169" s="6">
        <v>173</v>
      </c>
      <c r="N169" s="6" t="inlineStr">
        <is>
          <t>2026-10-02 14:53:46.268 | Minigame: Jeremy | Type: SwordCut | Outcome: Failed | Difficulty: Easy | ExpectedTime: 174.6024 | ActualTime: 174.7753 | TimingOffset: 0.1729 | TimingError: 0.1729 | ReactionTime: N/A | SpatialAccuracy: N/A | DirectionAccuracy: 0.0000 | CorrectHand: True</t>
        </is>
      </c>
    </row>
    <row r="170" ht="17" customHeight="1">
      <c r="A170" s="0">
        <v>169</v>
      </c>
      <c r="B170" s="0" t="inlineStr">
        <is>
          <t>2026-10-02 14:53:49.032</t>
        </is>
      </c>
      <c r="C170" s="0" t="inlineStr">
        <is>
          <t>Interaction</t>
        </is>
      </c>
      <c r="D170" s="0" t="inlineStr">
        <is>
          <t>Jeremy</t>
        </is>
      </c>
      <c r="E170" s="0" t="inlineStr">
        <is>
          <t>SwordCut</t>
        </is>
      </c>
      <c r="F170" s="0" t="inlineStr">
        <is>
          <t>Missed</t>
        </is>
      </c>
      <c r="G170" s="0" t="inlineStr">
        <is>
          <t>Easy</t>
        </is>
      </c>
      <c r="M170" s="0">
        <v>174</v>
      </c>
      <c r="N170" s="0" t="inlineStr">
        <is>
          <t>2026-10-02 14:53:49.032 | Minigame: Jeremy | Type: SwordCut | Outcome: Missed | Difficulty: Easy | ExpectedTime: 176.9012 | ActualTime: N/A | TimingOffset: N/A | TimingError: N/A | ReactionTime: N/A | SpatialAccuracy: N/A | DirectionAccuracy: N/A | CorrectHand: N/A</t>
        </is>
      </c>
    </row>
    <row r="171" ht="17" customHeight="1">
      <c r="A171" s="6">
        <v>170</v>
      </c>
      <c r="B171" s="6" t="inlineStr">
        <is>
          <t>2026-10-02 14:53:49.032</t>
        </is>
      </c>
      <c r="C171" s="6" t="inlineStr">
        <is>
          <t>PlayerState</t>
        </is>
      </c>
      <c r="H171" s="6" t="inlineStr">
        <is>
          <t>Overloaded</t>
        </is>
      </c>
      <c r="M171" s="6">
        <v>175</v>
      </c>
      <c r="N171" s="6" t="inlineStr">
        <is>
          <t>2026-10-02 14:53:49.032 | PlayerState: Overloaded</t>
        </is>
      </c>
    </row>
    <row r="172" ht="17" customHeight="1">
      <c r="A172" s="0">
        <v>171</v>
      </c>
      <c r="B172" s="0" t="inlineStr">
        <is>
          <t>2026-10-02 14:53:50.711</t>
        </is>
      </c>
      <c r="C172" s="0" t="inlineStr">
        <is>
          <t>Interaction</t>
        </is>
      </c>
      <c r="D172" s="0" t="inlineStr">
        <is>
          <t>Jeremy</t>
        </is>
      </c>
      <c r="E172" s="0" t="inlineStr">
        <is>
          <t>SwordCut</t>
        </is>
      </c>
      <c r="F172" s="0" t="inlineStr">
        <is>
          <t>Success</t>
        </is>
      </c>
      <c r="G172" s="0" t="inlineStr">
        <is>
          <t>Easy</t>
        </is>
      </c>
      <c r="K172" s="4">
        <v>0.0182</v>
      </c>
      <c r="M172" s="0">
        <v>176</v>
      </c>
      <c r="N172" s="0" t="inlineStr">
        <is>
          <t>2026-10-02 14:53:50.711 | Minigame: Jeremy | Type: SwordCut | Outcome: Success | Difficulty: Easy | ExpectedTime: 179.2000 | ActualTime: 179.2182 | TimingOffset: 0.0182 | TimingError: 0.0182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14:53:52.821</t>
        </is>
      </c>
      <c r="C173" s="6" t="inlineStr">
        <is>
          <t>Interaction</t>
        </is>
      </c>
      <c r="D173" s="6" t="inlineStr">
        <is>
          <t>Jeremy</t>
        </is>
      </c>
      <c r="E173" s="6" t="inlineStr">
        <is>
          <t>SwordCut</t>
        </is>
      </c>
      <c r="F173" s="6" t="inlineStr">
        <is>
          <t>Success</t>
        </is>
      </c>
      <c r="G173" s="6" t="inlineStr">
        <is>
          <t>Easy</t>
        </is>
      </c>
      <c r="K173" s="4">
        <v>0.1698</v>
      </c>
      <c r="M173" s="6">
        <v>177</v>
      </c>
      <c r="N173" s="6" t="inlineStr">
        <is>
          <t>2026-10-02 14:53:52.821 | Minigame: Jeremy | Type: SwordCut | Outcome: Success | Difficulty: Easy | ExpectedTime: 181.4988 | ActualTime: 181.3289 | TimingOffset: -0.1698 | TimingError: 0.1698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14:53:57.823</t>
        </is>
      </c>
      <c r="C174" s="0" t="inlineStr">
        <is>
          <t>PlayerState</t>
        </is>
      </c>
      <c r="H174" s="0" t="inlineStr">
        <is>
          <t>Idle</t>
        </is>
      </c>
      <c r="M174" s="0">
        <v>178</v>
      </c>
      <c r="N174" s="0" t="inlineStr">
        <is>
          <t>2026-10-02 14:53:57.823 | PlayerState: Idle</t>
        </is>
      </c>
    </row>
  </sheetData>
  <autoFilter ref="A1:N174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