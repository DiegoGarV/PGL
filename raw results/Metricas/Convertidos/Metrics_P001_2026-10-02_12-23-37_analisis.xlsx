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P001</t>
        </is>
      </c>
    </row>
    <row r="2" ht="17" customHeight="1"/>
    <row r="3" ht="17" customHeight="1">
      <c r="A3" s="6" t="inlineStr">
        <is>
          <t>Inicio: 2026-10-02 12:23:37     |     Fuente: Metrics_P001_2026-10-02_12-23-37.txt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132.0</v>
      </c>
      <c r="C6" s="0">
        <f>COUNTA('Interacciones'!$A$2:$A$133)</f>
        <v>132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62.0</v>
      </c>
      <c r="C7" s="6">
        <f>COUNTIF('Interacciones'!$F$2:$F$133,"Success")</f>
        <v>62</v>
      </c>
      <c r="E7" s="6" t="inlineStr">
        <is>
          <t>Estados del jugador</t>
        </is>
      </c>
      <c r="F7" s="6">
        <v>27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60.0</v>
      </c>
      <c r="C8" s="0">
        <f>COUNTIF('Interacciones'!$F$2:$F$133,"Failed")</f>
        <v>60</v>
      </c>
      <c r="E8" s="0" t="inlineStr">
        <is>
          <t>Eventos totales</t>
        </is>
      </c>
      <c r="F8" s="0">
        <v>166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10.0</v>
      </c>
      <c r="C9" s="6">
        <f>COUNTIF('Interacciones'!$F$2:$F$133,"Missed")</f>
        <v>10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0.4697</v>
      </c>
      <c r="C10" s="0">
        <f>IFERROR(C7/C6,0)</f>
        <v>0.4696969696969697</v>
      </c>
    </row>
    <row r="11" ht="17" customHeight="1">
      <c r="A11" s="6" t="inlineStr">
        <is>
          <t>Error timing medio (s)</t>
        </is>
      </c>
      <c r="B11" s="6">
        <v>0.5599</v>
      </c>
      <c r="C11" s="6">
        <f>IFERROR(AVERAGE('Interacciones'!$K$2:$K$133),"")</f>
        <v>0.5598826666666666</v>
      </c>
    </row>
    <row r="12" ht="17" customHeight="1">
      <c r="A12" s="0" t="inlineStr">
        <is>
          <t>Reacción media (s)</t>
        </is>
      </c>
      <c r="B12" s="0">
        <v>0.2474</v>
      </c>
      <c r="C12" s="0">
        <f>IFERROR(AVERAGE('Interacciones'!$L$2:$L$133),"")</f>
        <v>0.2474090909090909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IFERROR(AVERAGE('Interacciones'!$M$2:$M$133),"")</f>
        <v/>
      </c>
    </row>
    <row r="14" ht="17" customHeight="1">
      <c r="A14" s="0" t="inlineStr">
        <is>
          <t>Precisión dirección media</t>
        </is>
      </c>
      <c r="B14" s="0">
        <v>0.4242</v>
      </c>
      <c r="C14" s="0">
        <f>IFERROR(AVERAGE('Interacciones'!$N$2:$N$133),"")</f>
        <v>0.42424242424242425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COUNTIF('Interacciones'!$D$2:$D$133,$A5)</f>
        <v>44</v>
      </c>
      <c r="C5" s="6">
        <f>COUNTIFS('Interacciones'!$D$2:$D$133,$A5,'Interacciones'!$F$2:$F$133,"Success")</f>
        <v>30</v>
      </c>
      <c r="D5" s="6">
        <f>COUNTIFS('Interacciones'!$D$2:$D$133,$A5,'Interacciones'!$F$2:$F$133,"Failed")</f>
        <v>9</v>
      </c>
      <c r="E5" s="6">
        <f>COUNTIFS('Interacciones'!$D$2:$D$133,$A5,'Interacciones'!$F$2:$F$133,"Missed")</f>
        <v>5</v>
      </c>
      <c r="F5" s="3">
        <f>IFERROR(C5/B5,0)</f>
        <v>0.6818181818181818</v>
      </c>
      <c r="G5" s="4">
        <f>IFERROR(AVERAGEIF('Interacciones'!$D$2:$D$133,$A5,'Interacciones'!$K$2:$K$133),"")</f>
        <v>0.018313636363636365</v>
      </c>
      <c r="H5" s="4" t="str">
        <f>IFERROR(AVERAGEIF('Interacciones'!$D$2:$D$133,$A5,'Interacciones'!$L$2:$L$133),"")</f>
        <v/>
      </c>
      <c r="I5" s="6">
        <f>COUNTIF('Adaptaciones'!$C$2:$C$8,$A5)</f>
        <v>4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COUNTIF('Interacciones'!$D$2:$D$133,$A6)</f>
        <v>28</v>
      </c>
      <c r="C6" s="0">
        <f>COUNTIFS('Interacciones'!$D$2:$D$133,$A6,'Interacciones'!$F$2:$F$133,"Success")</f>
        <v>6</v>
      </c>
      <c r="D6" s="0">
        <f>COUNTIFS('Interacciones'!$D$2:$D$133,$A6,'Interacciones'!$F$2:$F$133,"Failed")</f>
        <v>19</v>
      </c>
      <c r="E6" s="0">
        <f>COUNTIFS('Interacciones'!$D$2:$D$133,$A6,'Interacciones'!$F$2:$F$133,"Missed")</f>
        <v>3</v>
      </c>
      <c r="F6" s="3">
        <f>IFERROR(C6/B6,0)</f>
        <v>0.21428571428571427</v>
      </c>
      <c r="G6" s="4">
        <f>IFERROR(AVERAGEIF('Interacciones'!$D$2:$D$133,$A6,'Interacciones'!$K$2:$K$133),"")</f>
        <v>0.13833333333333334</v>
      </c>
      <c r="H6" s="4" t="str">
        <f>IFERROR(AVERAGEIF('Interacciones'!$D$2:$D$133,$A6,'Interacciones'!$L$2:$L$133),"")</f>
        <v/>
      </c>
      <c r="I6" s="0">
        <f>COUNTIF('Adaptaciones'!$C$2:$C$8,$A6)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COUNTIF('Interacciones'!$D$2:$D$133,$A7)</f>
        <v>8</v>
      </c>
      <c r="C7" s="6">
        <f>COUNTIFS('Interacciones'!$D$2:$D$133,$A7,'Interacciones'!$F$2:$F$133,"Success")</f>
        <v>6</v>
      </c>
      <c r="D7" s="6">
        <f>COUNTIFS('Interacciones'!$D$2:$D$133,$A7,'Interacciones'!$F$2:$F$133,"Failed")</f>
        <v>2</v>
      </c>
      <c r="E7" s="6">
        <f>COUNTIFS('Interacciones'!$D$2:$D$133,$A7,'Interacciones'!$F$2:$F$133,"Missed")</f>
        <v>0</v>
      </c>
      <c r="F7" s="3">
        <f>IFERROR(C7/B7,0)</f>
        <v>0.75</v>
      </c>
      <c r="G7" s="4">
        <f>IFERROR(AVERAGEIF('Interacciones'!$D$2:$D$133,$A7,'Interacciones'!$K$2:$K$133),"")</f>
        <v>0.1863</v>
      </c>
      <c r="H7" s="4" t="str">
        <f>IFERROR(AVERAGEIF('Interacciones'!$D$2:$D$133,$A7,'Interacciones'!$L$2:$L$133),"")</f>
        <v/>
      </c>
      <c r="I7" s="6">
        <f>COUNTIF('Adaptaciones'!$C$2:$C$8,$A7)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COUNTIF('Interacciones'!$D$2:$D$133,$A8)</f>
        <v>22</v>
      </c>
      <c r="C8" s="0">
        <f>COUNTIFS('Interacciones'!$D$2:$D$133,$A8,'Interacciones'!$F$2:$F$133,"Success")</f>
        <v>14</v>
      </c>
      <c r="D8" s="0">
        <f>COUNTIFS('Interacciones'!$D$2:$D$133,$A8,'Interacciones'!$F$2:$F$133,"Failed")</f>
        <v>8</v>
      </c>
      <c r="E8" s="0">
        <f>COUNTIFS('Interacciones'!$D$2:$D$133,$A8,'Interacciones'!$F$2:$F$133,"Missed")</f>
        <v>0</v>
      </c>
      <c r="F8" s="3">
        <f>IFERROR(C8/B8,0)</f>
        <v>0.6363636363636364</v>
      </c>
      <c r="G8" s="4">
        <f>IFERROR(AVERAGEIF('Interacciones'!$D$2:$D$133,$A8,'Interacciones'!$K$2:$K$133),"")</f>
        <v>0.07087142857142857</v>
      </c>
      <c r="H8" s="4" t="str">
        <f>IFERROR(AVERAGEIF('Interacciones'!$D$2:$D$133,$A8,'Interacciones'!$L$2:$L$133),"")</f>
        <v/>
      </c>
      <c r="I8" s="0">
        <f>COUNTIF('Adaptaciones'!$C$2:$C$8,$A8)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COUNTIF('Interacciones'!$D$2:$D$133,$A9)</f>
        <v>14</v>
      </c>
      <c r="C9" s="6">
        <f>COUNTIFS('Interacciones'!$D$2:$D$133,$A9,'Interacciones'!$F$2:$F$133,"Success")</f>
        <v>4</v>
      </c>
      <c r="D9" s="6">
        <f>COUNTIFS('Interacciones'!$D$2:$D$133,$A9,'Interacciones'!$F$2:$F$133,"Failed")</f>
        <v>10</v>
      </c>
      <c r="E9" s="6">
        <f>COUNTIFS('Interacciones'!$D$2:$D$133,$A9,'Interacciones'!$F$2:$F$133,"Missed")</f>
        <v>0</v>
      </c>
      <c r="F9" s="3">
        <f>IFERROR(C9/B9,0)</f>
        <v>0.2857142857142857</v>
      </c>
      <c r="G9" s="4">
        <f>IFERROR(AVERAGEIF('Interacciones'!$D$2:$D$133,$A9,'Interacciones'!$K$2:$K$133),"")</f>
        <v>2.0931285714285717</v>
      </c>
      <c r="H9" s="4" t="str">
        <f>IFERROR(AVERAGEIF('Interacciones'!$D$2:$D$133,$A9,'Interacciones'!$L$2:$L$133),"")</f>
        <v/>
      </c>
      <c r="I9" s="6">
        <f>COUNTIF('Adaptaciones'!$C$2:$C$8,$A9)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COUNTIF('Interacciones'!$D$2:$D$133,$A10)</f>
        <v>16</v>
      </c>
      <c r="C10" s="0">
        <f>COUNTIFS('Interacciones'!$D$2:$D$133,$A10,'Interacciones'!$F$2:$F$133,"Success")</f>
        <v>2</v>
      </c>
      <c r="D10" s="0">
        <f>COUNTIFS('Interacciones'!$D$2:$D$133,$A10,'Interacciones'!$F$2:$F$133,"Failed")</f>
        <v>12</v>
      </c>
      <c r="E10" s="0">
        <f>COUNTIFS('Interacciones'!$D$2:$D$133,$A10,'Interacciones'!$F$2:$F$133,"Missed")</f>
        <v>2</v>
      </c>
      <c r="F10" s="3">
        <f>IFERROR(C10/B10,0)</f>
        <v>0.125</v>
      </c>
      <c r="G10" s="4">
        <f>IFERROR(AVERAGEIF('Interacciones'!$D$2:$D$133,$A10,'Interacciones'!$K$2:$K$133),"")</f>
        <v>0.8156272727272728</v>
      </c>
      <c r="H10" s="4">
        <f>IFERROR(AVERAGEIF('Interacciones'!$D$2:$D$133,$A10,'Interacciones'!$L$2:$L$133),"")</f>
        <v>0.2474090909090909</v>
      </c>
      <c r="I10" s="0">
        <f>COUNTIF('Adaptaciones'!$C$2:$C$8,$A10)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COUNTIFS('Interacciones'!$D$2:$D$133,$A5,'Interacciones'!$E$2:$E$133,$B5)</f>
        <v>23</v>
      </c>
      <c r="D5" s="6">
        <f>COUNTIFS('Interacciones'!$D$2:$D$133,$A5,'Interacciones'!$E$2:$E$133,$B5,'Interacciones'!$F$2:$F$133,"Success")</f>
        <v>18</v>
      </c>
      <c r="E5" s="6">
        <f>COUNTIFS('Interacciones'!$D$2:$D$133,$A5,'Interacciones'!$E$2:$E$133,$B5,'Interacciones'!$F$2:$F$133,"Failed")</f>
        <v>5</v>
      </c>
      <c r="F5" s="6">
        <f>COUNTIFS('Interacciones'!$D$2:$D$133,$A5,'Interacciones'!$E$2:$E$133,$B5,'Interacciones'!$F$2:$F$133,"Missed")</f>
        <v>0</v>
      </c>
      <c r="G5" s="3">
        <f>IFERROR(D5/C5,0)</f>
        <v>0.782608695652174</v>
      </c>
      <c r="H5" s="4">
        <f>IFERROR(AVERAGEIFS('Interacciones'!$K$2:$K$133,'Interacciones'!$D$2:$D$133,$A5,'Interacciones'!$E$2:$E$133,$B5),"")</f>
        <v>0.018313636363636365</v>
      </c>
      <c r="I5" s="4" t="str">
        <f>IFERROR(AVERAGEIFS('Interacciones'!$L$2:$L$133,'Interacciones'!$D$2:$D$133,$A5,'Interacciones'!$E$2:$E$133,$B5),"")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COUNTIFS('Interacciones'!$D$2:$D$133,$A6,'Interacciones'!$E$2:$E$133,$B6)</f>
        <v>21</v>
      </c>
      <c r="D6" s="0">
        <f>COUNTIFS('Interacciones'!$D$2:$D$133,$A6,'Interacciones'!$E$2:$E$133,$B6,'Interacciones'!$F$2:$F$133,"Success")</f>
        <v>12</v>
      </c>
      <c r="E6" s="0">
        <f>COUNTIFS('Interacciones'!$D$2:$D$133,$A6,'Interacciones'!$E$2:$E$133,$B6,'Interacciones'!$F$2:$F$133,"Failed")</f>
        <v>4</v>
      </c>
      <c r="F6" s="0">
        <f>COUNTIFS('Interacciones'!$D$2:$D$133,$A6,'Interacciones'!$E$2:$E$133,$B6,'Interacciones'!$F$2:$F$133,"Missed")</f>
        <v>5</v>
      </c>
      <c r="G6" s="3">
        <f>IFERROR(D6/C6,0)</f>
        <v>0.5714285714285714</v>
      </c>
      <c r="H6" s="4" t="str">
        <f>IFERROR(AVERAGEIFS('Interacciones'!$K$2:$K$133,'Interacciones'!$D$2:$D$133,$A6,'Interacciones'!$E$2:$E$133,$B6),"")</f>
        <v/>
      </c>
      <c r="I6" s="4" t="str">
        <f>IFERROR(AVERAGEIFS('Interacciones'!$L$2:$L$133,'Interacciones'!$D$2:$D$133,$A6,'Interacciones'!$E$2:$E$133,$B6),"")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COUNTIFS('Interacciones'!$D$2:$D$133,$A7,'Interacciones'!$E$2:$E$133,$B7)</f>
        <v>23</v>
      </c>
      <c r="D7" s="6">
        <f>COUNTIFS('Interacciones'!$D$2:$D$133,$A7,'Interacciones'!$E$2:$E$133,$B7,'Interacciones'!$F$2:$F$133,"Success")</f>
        <v>6</v>
      </c>
      <c r="E7" s="6">
        <f>COUNTIFS('Interacciones'!$D$2:$D$133,$A7,'Interacciones'!$E$2:$E$133,$B7,'Interacciones'!$F$2:$F$133,"Failed")</f>
        <v>14</v>
      </c>
      <c r="F7" s="6">
        <f>COUNTIFS('Interacciones'!$D$2:$D$133,$A7,'Interacciones'!$E$2:$E$133,$B7,'Interacciones'!$F$2:$F$133,"Missed")</f>
        <v>3</v>
      </c>
      <c r="G7" s="3">
        <f>IFERROR(D7/C7,0)</f>
        <v>0.2608695652173913</v>
      </c>
      <c r="H7" s="4">
        <f>IFERROR(AVERAGEIFS('Interacciones'!$K$2:$K$133,'Interacciones'!$D$2:$D$133,$A7,'Interacciones'!$E$2:$E$133,$B7),"")</f>
        <v>0.13833333333333334</v>
      </c>
      <c r="I7" s="4" t="str">
        <f>IFERROR(AVERAGEIFS('Interacciones'!$L$2:$L$133,'Interacciones'!$D$2:$D$133,$A7,'Interacciones'!$E$2:$E$133,$B7),"")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COUNTIFS('Interacciones'!$D$2:$D$133,$A8,'Interacciones'!$E$2:$E$133,$B8)</f>
        <v>5</v>
      </c>
      <c r="D8" s="0">
        <f>COUNTIFS('Interacciones'!$D$2:$D$133,$A8,'Interacciones'!$E$2:$E$133,$B8,'Interacciones'!$F$2:$F$133,"Success")</f>
        <v>0</v>
      </c>
      <c r="E8" s="0">
        <f>COUNTIFS('Interacciones'!$D$2:$D$133,$A8,'Interacciones'!$E$2:$E$133,$B8,'Interacciones'!$F$2:$F$133,"Failed")</f>
        <v>5</v>
      </c>
      <c r="F8" s="0">
        <f>COUNTIFS('Interacciones'!$D$2:$D$133,$A8,'Interacciones'!$E$2:$E$133,$B8,'Interacciones'!$F$2:$F$133,"Missed")</f>
        <v>0</v>
      </c>
      <c r="G8" s="3">
        <f>IFERROR(D8/C8,0)</f>
        <v>0.0</v>
      </c>
      <c r="H8" s="4" t="str">
        <f>IFERROR(AVERAGEIFS('Interacciones'!$K$2:$K$133,'Interacciones'!$D$2:$D$133,$A8,'Interacciones'!$E$2:$E$133,$B8),"")</f>
        <v/>
      </c>
      <c r="I8" s="4" t="str">
        <f>IFERROR(AVERAGEIFS('Interacciones'!$L$2:$L$133,'Interacciones'!$D$2:$D$133,$A8,'Interacciones'!$E$2:$E$133,$B8),"")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COUNTIFS('Interacciones'!$D$2:$D$133,$A9,'Interacciones'!$E$2:$E$133,$B9)</f>
        <v>8</v>
      </c>
      <c r="D9" s="6">
        <f>COUNTIFS('Interacciones'!$D$2:$D$133,$A9,'Interacciones'!$E$2:$E$133,$B9,'Interacciones'!$F$2:$F$133,"Success")</f>
        <v>6</v>
      </c>
      <c r="E9" s="6">
        <f>COUNTIFS('Interacciones'!$D$2:$D$133,$A9,'Interacciones'!$E$2:$E$133,$B9,'Interacciones'!$F$2:$F$133,"Failed")</f>
        <v>2</v>
      </c>
      <c r="F9" s="6">
        <f>COUNTIFS('Interacciones'!$D$2:$D$133,$A9,'Interacciones'!$E$2:$E$133,$B9,'Interacciones'!$F$2:$F$133,"Missed")</f>
        <v>0</v>
      </c>
      <c r="G9" s="3">
        <f>IFERROR(D9/C9,0)</f>
        <v>0.75</v>
      </c>
      <c r="H9" s="4">
        <f>IFERROR(AVERAGEIFS('Interacciones'!$K$2:$K$133,'Interacciones'!$D$2:$D$133,$A9,'Interacciones'!$E$2:$E$133,$B9),"")</f>
        <v>0.1863</v>
      </c>
      <c r="I9" s="4" t="str">
        <f>IFERROR(AVERAGEIFS('Interacciones'!$L$2:$L$133,'Interacciones'!$D$2:$D$133,$A9,'Interacciones'!$E$2:$E$133,$B9),"")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COUNTIFS('Interacciones'!$D$2:$D$133,$A10,'Interacciones'!$E$2:$E$133,$B10)</f>
        <v>14</v>
      </c>
      <c r="D10" s="0">
        <f>COUNTIFS('Interacciones'!$D$2:$D$133,$A10,'Interacciones'!$E$2:$E$133,$B10,'Interacciones'!$F$2:$F$133,"Success")</f>
        <v>14</v>
      </c>
      <c r="E10" s="0">
        <f>COUNTIFS('Interacciones'!$D$2:$D$133,$A10,'Interacciones'!$E$2:$E$133,$B10,'Interacciones'!$F$2:$F$133,"Failed")</f>
        <v>0</v>
      </c>
      <c r="F10" s="0">
        <f>COUNTIFS('Interacciones'!$D$2:$D$133,$A10,'Interacciones'!$E$2:$E$133,$B10,'Interacciones'!$F$2:$F$133,"Missed")</f>
        <v>0</v>
      </c>
      <c r="G10" s="3">
        <f>IFERROR(D10/C10,0)</f>
        <v>1.0</v>
      </c>
      <c r="H10" s="4">
        <f>IFERROR(AVERAGEIFS('Interacciones'!$K$2:$K$133,'Interacciones'!$D$2:$D$133,$A10,'Interacciones'!$E$2:$E$133,$B10),"")</f>
        <v>0.07087142857142857</v>
      </c>
      <c r="I10" s="4" t="str">
        <f>IFERROR(AVERAGEIFS('Interacciones'!$L$2:$L$133,'Interacciones'!$D$2:$D$133,$A10,'Interacciones'!$E$2:$E$133,$B10),"")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COUNTIFS('Interacciones'!$D$2:$D$133,$A11,'Interacciones'!$E$2:$E$133,$B11)</f>
        <v>8</v>
      </c>
      <c r="D11" s="6">
        <f>COUNTIFS('Interacciones'!$D$2:$D$133,$A11,'Interacciones'!$E$2:$E$133,$B11,'Interacciones'!$F$2:$F$133,"Success")</f>
        <v>0</v>
      </c>
      <c r="E11" s="6">
        <f>COUNTIFS('Interacciones'!$D$2:$D$133,$A11,'Interacciones'!$E$2:$E$133,$B11,'Interacciones'!$F$2:$F$133,"Failed")</f>
        <v>8</v>
      </c>
      <c r="F11" s="6">
        <f>COUNTIFS('Interacciones'!$D$2:$D$133,$A11,'Interacciones'!$E$2:$E$133,$B11,'Interacciones'!$F$2:$F$133,"Missed")</f>
        <v>0</v>
      </c>
      <c r="G11" s="3">
        <f>IFERROR(D11/C11,0)</f>
        <v>0.0</v>
      </c>
      <c r="H11" s="4" t="str">
        <f>IFERROR(AVERAGEIFS('Interacciones'!$K$2:$K$133,'Interacciones'!$D$2:$D$133,$A11,'Interacciones'!$E$2:$E$133,$B11),"")</f>
        <v/>
      </c>
      <c r="I11" s="4" t="str">
        <f>IFERROR(AVERAGEIFS('Interacciones'!$L$2:$L$133,'Interacciones'!$D$2:$D$133,$A11,'Interacciones'!$E$2:$E$133,$B11),"")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COUNTIFS('Interacciones'!$D$2:$D$133,$A12,'Interacciones'!$E$2:$E$133,$B12)</f>
        <v>14</v>
      </c>
      <c r="D12" s="0">
        <f>COUNTIFS('Interacciones'!$D$2:$D$133,$A12,'Interacciones'!$E$2:$E$133,$B12,'Interacciones'!$F$2:$F$133,"Success")</f>
        <v>4</v>
      </c>
      <c r="E12" s="0">
        <f>COUNTIFS('Interacciones'!$D$2:$D$133,$A12,'Interacciones'!$E$2:$E$133,$B12,'Interacciones'!$F$2:$F$133,"Failed")</f>
        <v>10</v>
      </c>
      <c r="F12" s="0">
        <f>COUNTIFS('Interacciones'!$D$2:$D$133,$A12,'Interacciones'!$E$2:$E$133,$B12,'Interacciones'!$F$2:$F$133,"Missed")</f>
        <v>0</v>
      </c>
      <c r="G12" s="3">
        <f>IFERROR(D12/C12,0)</f>
        <v>0.2857142857142857</v>
      </c>
      <c r="H12" s="4">
        <f>IFERROR(AVERAGEIFS('Interacciones'!$K$2:$K$133,'Interacciones'!$D$2:$D$133,$A12,'Interacciones'!$E$2:$E$133,$B12),"")</f>
        <v>2.0931285714285717</v>
      </c>
      <c r="I12" s="4" t="str">
        <f>IFERROR(AVERAGEIFS('Interacciones'!$L$2:$L$133,'Interacciones'!$D$2:$D$133,$A12,'Interacciones'!$E$2:$E$133,$B12),"")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COUNTIFS('Interacciones'!$D$2:$D$133,$A13,'Interacciones'!$E$2:$E$133,$B13)</f>
        <v>16</v>
      </c>
      <c r="D13" s="6">
        <f>COUNTIFS('Interacciones'!$D$2:$D$133,$A13,'Interacciones'!$E$2:$E$133,$B13,'Interacciones'!$F$2:$F$133,"Success")</f>
        <v>2</v>
      </c>
      <c r="E13" s="6">
        <f>COUNTIFS('Interacciones'!$D$2:$D$133,$A13,'Interacciones'!$E$2:$E$133,$B13,'Interacciones'!$F$2:$F$133,"Failed")</f>
        <v>12</v>
      </c>
      <c r="F13" s="6">
        <f>COUNTIFS('Interacciones'!$D$2:$D$133,$A13,'Interacciones'!$E$2:$E$133,$B13,'Interacciones'!$F$2:$F$133,"Missed")</f>
        <v>2</v>
      </c>
      <c r="G13" s="3">
        <f>IFERROR(D13/C13,0)</f>
        <v>0.125</v>
      </c>
      <c r="H13" s="4">
        <f>IFERROR(AVERAGEIFS('Interacciones'!$K$2:$K$133,'Interacciones'!$D$2:$D$133,$A13,'Interacciones'!$E$2:$E$133,$B13),"")</f>
        <v>0.8156272727272728</v>
      </c>
      <c r="I13" s="4">
        <f>IFERROR(AVERAGEIFS('Interacciones'!$L$2:$L$133,'Interacciones'!$D$2:$D$133,$A13,'Interacciones'!$E$2:$E$133,$B13),"")</f>
        <v>0.2474090909090909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P001</t>
        </is>
      </c>
      <c r="C2" s="0" t="inlineStr">
        <is>
          <t>2026-10-02 12:23:40.586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P2" s="0">
        <v>7</v>
      </c>
    </row>
    <row r="3" ht="17" customHeight="1">
      <c r="A3" s="6">
        <v>4</v>
      </c>
      <c r="B3" s="6" t="inlineStr">
        <is>
          <t>P001</t>
        </is>
      </c>
      <c r="C3" s="6" t="inlineStr">
        <is>
          <t>2026-10-02 12:23:41.308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P3" s="6">
        <v>9</v>
      </c>
    </row>
    <row r="4" ht="17" customHeight="1">
      <c r="A4" s="0">
        <v>5</v>
      </c>
      <c r="B4" s="0" t="inlineStr">
        <is>
          <t>P001</t>
        </is>
      </c>
      <c r="C4" s="0" t="inlineStr">
        <is>
          <t>2026-10-02 12:23:41.350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Failed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P001</t>
        </is>
      </c>
      <c r="C5" s="6" t="inlineStr">
        <is>
          <t>2026-10-02 12:23:42.129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P5" s="6">
        <v>11</v>
      </c>
    </row>
    <row r="6" ht="17" customHeight="1">
      <c r="A6" s="0">
        <v>7</v>
      </c>
      <c r="B6" s="0" t="inlineStr">
        <is>
          <t>P001</t>
        </is>
      </c>
      <c r="C6" s="0" t="inlineStr">
        <is>
          <t>2026-10-02 12:23:42.392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P001</t>
        </is>
      </c>
      <c r="C7" s="6" t="inlineStr">
        <is>
          <t>2026-10-02 12:23:43.157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3.968</v>
      </c>
      <c r="P7" s="6">
        <v>13</v>
      </c>
    </row>
    <row r="8" ht="17" customHeight="1">
      <c r="A8" s="0">
        <v>9</v>
      </c>
      <c r="B8" s="0" t="inlineStr">
        <is>
          <t>P001</t>
        </is>
      </c>
      <c r="C8" s="0" t="inlineStr">
        <is>
          <t>2026-10-02 12:23:43.157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13</v>
      </c>
      <c r="B9" s="6" t="inlineStr">
        <is>
          <t>P001</t>
        </is>
      </c>
      <c r="C9" s="6" t="inlineStr">
        <is>
          <t>2026-10-02 12:23:43.615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Easy</t>
        </is>
      </c>
      <c r="H9" s="4">
        <v>4.736</v>
      </c>
      <c r="I9" s="4">
        <v>4.7427</v>
      </c>
      <c r="J9" s="4">
        <v>0.0067</v>
      </c>
      <c r="K9" s="4">
        <v>0.0067</v>
      </c>
      <c r="P9" s="6">
        <v>18</v>
      </c>
    </row>
    <row r="10" ht="17" customHeight="1">
      <c r="A10" s="0">
        <v>14</v>
      </c>
      <c r="B10" s="0" t="inlineStr">
        <is>
          <t>P001</t>
        </is>
      </c>
      <c r="C10" s="0" t="inlineStr">
        <is>
          <t>2026-10-02 12:23:44.393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Easy</t>
        </is>
      </c>
      <c r="H10" s="4">
        <v>5.504</v>
      </c>
      <c r="P10" s="0">
        <v>19</v>
      </c>
    </row>
    <row r="11" ht="17" customHeight="1">
      <c r="A11" s="6">
        <v>15</v>
      </c>
      <c r="B11" s="6" t="inlineStr">
        <is>
          <t>P001</t>
        </is>
      </c>
      <c r="C11" s="6" t="inlineStr">
        <is>
          <t>2026-10-02 12:23:44.407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Easy</t>
        </is>
      </c>
      <c r="H11" s="4">
        <v>5.504</v>
      </c>
      <c r="I11" s="4">
        <v>5.5204</v>
      </c>
      <c r="J11" s="4">
        <v>0.0164</v>
      </c>
      <c r="K11" s="4">
        <v>0.0164</v>
      </c>
      <c r="P11" s="6">
        <v>20</v>
      </c>
    </row>
    <row r="12" ht="17" customHeight="1">
      <c r="A12" s="0">
        <v>16</v>
      </c>
      <c r="B12" s="0" t="inlineStr">
        <is>
          <t>P001</t>
        </is>
      </c>
      <c r="C12" s="0" t="inlineStr">
        <is>
          <t>2026-10-02 12:23:45.921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Easy</t>
        </is>
      </c>
      <c r="H12" s="4">
        <v>7.04</v>
      </c>
      <c r="I12" s="4">
        <v>7.0488</v>
      </c>
      <c r="J12" s="4">
        <v>0.0088</v>
      </c>
      <c r="K12" s="4">
        <v>0.0088</v>
      </c>
      <c r="P12" s="0">
        <v>21</v>
      </c>
    </row>
    <row r="13" ht="17" customHeight="1">
      <c r="A13" s="6">
        <v>17</v>
      </c>
      <c r="B13" s="6" t="inlineStr">
        <is>
          <t>P001</t>
        </is>
      </c>
      <c r="C13" s="6" t="inlineStr">
        <is>
          <t>2026-10-02 12:23:46.075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P13" s="6">
        <v>22</v>
      </c>
    </row>
    <row r="14" ht="17" customHeight="1">
      <c r="A14" s="0">
        <v>18</v>
      </c>
      <c r="B14" s="0" t="inlineStr">
        <is>
          <t>P001</t>
        </is>
      </c>
      <c r="C14" s="0" t="inlineStr">
        <is>
          <t>2026-10-02 12:23:47.450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8.5768</v>
      </c>
      <c r="J14" s="4">
        <v>0.0008</v>
      </c>
      <c r="K14" s="4">
        <v>0.0008</v>
      </c>
      <c r="P14" s="0">
        <v>23</v>
      </c>
    </row>
    <row r="15" ht="17" customHeight="1">
      <c r="A15" s="6">
        <v>19</v>
      </c>
      <c r="B15" s="6" t="inlineStr">
        <is>
          <t>P001</t>
        </is>
      </c>
      <c r="C15" s="6" t="inlineStr">
        <is>
          <t>2026-10-02 12:23:47.478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8.576</v>
      </c>
      <c r="I15" s="4">
        <v>8.6045</v>
      </c>
      <c r="J15" s="4">
        <v>0.0285</v>
      </c>
      <c r="K15" s="4">
        <v>0.0285</v>
      </c>
      <c r="P15" s="6">
        <v>24</v>
      </c>
    </row>
    <row r="16" ht="17" customHeight="1">
      <c r="A16" s="0">
        <v>20</v>
      </c>
      <c r="B16" s="0" t="inlineStr">
        <is>
          <t>P001</t>
        </is>
      </c>
      <c r="C16" s="0" t="inlineStr">
        <is>
          <t>2026-10-02 12:23:49.060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Easy</t>
        </is>
      </c>
      <c r="H16" s="4">
        <v>10.112</v>
      </c>
      <c r="P16" s="0">
        <v>25</v>
      </c>
    </row>
    <row r="17" ht="17" customHeight="1">
      <c r="A17" s="6">
        <v>22</v>
      </c>
      <c r="B17" s="6" t="inlineStr">
        <is>
          <t>P001</t>
        </is>
      </c>
      <c r="C17" s="6" t="inlineStr">
        <is>
          <t>2026-10-02 12:23:49.158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Failed</t>
        </is>
      </c>
      <c r="G17" s="6" t="inlineStr">
        <is>
          <t>Normal</t>
        </is>
      </c>
      <c r="H17" s="4">
        <v>10.112</v>
      </c>
      <c r="P17" s="6">
        <v>27</v>
      </c>
    </row>
    <row r="18" ht="17" customHeight="1">
      <c r="A18" s="0">
        <v>23</v>
      </c>
      <c r="B18" s="0" t="inlineStr">
        <is>
          <t>P001</t>
        </is>
      </c>
      <c r="C18" s="0" t="inlineStr">
        <is>
          <t>2026-10-02 12:23:50.574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H18" s="4">
        <v>11.648</v>
      </c>
      <c r="P18" s="0">
        <v>28</v>
      </c>
    </row>
    <row r="19" ht="17" customHeight="1">
      <c r="A19" s="6">
        <v>24</v>
      </c>
      <c r="B19" s="6" t="inlineStr">
        <is>
          <t>P001</t>
        </is>
      </c>
      <c r="C19" s="6" t="inlineStr">
        <is>
          <t>2026-10-02 12:23:50.588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Failed</t>
        </is>
      </c>
      <c r="G19" s="6" t="inlineStr">
        <is>
          <t>Normal</t>
        </is>
      </c>
      <c r="H19" s="4">
        <v>11.648</v>
      </c>
      <c r="P19" s="6">
        <v>29</v>
      </c>
    </row>
    <row r="20" ht="17" customHeight="1">
      <c r="A20" s="0">
        <v>25</v>
      </c>
      <c r="B20" s="0" t="inlineStr">
        <is>
          <t>P001</t>
        </is>
      </c>
      <c r="C20" s="0" t="inlineStr">
        <is>
          <t>2026-10-02 12:23:51.393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Normal</t>
        </is>
      </c>
      <c r="H20" s="4">
        <v>12.416</v>
      </c>
      <c r="P20" s="0">
        <v>30</v>
      </c>
    </row>
    <row r="21" ht="17" customHeight="1">
      <c r="A21" s="6">
        <v>26</v>
      </c>
      <c r="B21" s="6" t="inlineStr">
        <is>
          <t>P001</t>
        </is>
      </c>
      <c r="C21" s="6" t="inlineStr">
        <is>
          <t>2026-10-02 12:23:51.615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Normal</t>
        </is>
      </c>
      <c r="H21" s="4">
        <v>12.416</v>
      </c>
      <c r="P21" s="6">
        <v>31</v>
      </c>
    </row>
    <row r="22" ht="17" customHeight="1">
      <c r="A22" s="0">
        <v>30</v>
      </c>
      <c r="B22" s="0" t="inlineStr">
        <is>
          <t>P001</t>
        </is>
      </c>
      <c r="C22" s="0" t="inlineStr">
        <is>
          <t>2026-10-02 12:23:52.115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Failed</t>
        </is>
      </c>
      <c r="G22" s="0" t="inlineStr">
        <is>
          <t>Easy</t>
        </is>
      </c>
      <c r="H22" s="4">
        <v>13.184</v>
      </c>
      <c r="P22" s="0">
        <v>35</v>
      </c>
    </row>
    <row r="23" ht="17" customHeight="1">
      <c r="A23" s="6">
        <v>31</v>
      </c>
      <c r="B23" s="6" t="inlineStr">
        <is>
          <t>P001</t>
        </is>
      </c>
      <c r="C23" s="6" t="inlineStr">
        <is>
          <t>2026-10-02 12:23:52.393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Easy</t>
        </is>
      </c>
      <c r="H23" s="4">
        <v>13.184</v>
      </c>
      <c r="P23" s="6">
        <v>36</v>
      </c>
    </row>
    <row r="24" ht="17" customHeight="1">
      <c r="A24" s="0">
        <v>32</v>
      </c>
      <c r="B24" s="0" t="inlineStr">
        <is>
          <t>P001</t>
        </is>
      </c>
      <c r="C24" s="0" t="inlineStr">
        <is>
          <t>2026-10-02 12:23:53.671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Easy</t>
        </is>
      </c>
      <c r="H24" s="4">
        <v>14.72</v>
      </c>
      <c r="P24" s="0">
        <v>37</v>
      </c>
    </row>
    <row r="25" ht="17" customHeight="1">
      <c r="A25" s="6">
        <v>33</v>
      </c>
      <c r="B25" s="6" t="inlineStr">
        <is>
          <t>P001</t>
        </is>
      </c>
      <c r="C25" s="6" t="inlineStr">
        <is>
          <t>2026-10-02 12:23:53.671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Easy</t>
        </is>
      </c>
      <c r="H25" s="4">
        <v>14.72</v>
      </c>
      <c r="P25" s="6">
        <v>38</v>
      </c>
    </row>
    <row r="26" ht="17" customHeight="1">
      <c r="A26" s="0">
        <v>34</v>
      </c>
      <c r="B26" s="0" t="inlineStr">
        <is>
          <t>P001</t>
        </is>
      </c>
      <c r="C26" s="0" t="inlineStr">
        <is>
          <t>2026-10-02 12:23:55.129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16.256</v>
      </c>
      <c r="I26" s="4">
        <v>16.242</v>
      </c>
      <c r="J26" s="4">
        <v>-0.014</v>
      </c>
      <c r="K26" s="4">
        <v>0.014</v>
      </c>
      <c r="P26" s="0">
        <v>39</v>
      </c>
    </row>
    <row r="27" ht="17" customHeight="1">
      <c r="A27" s="6">
        <v>35</v>
      </c>
      <c r="B27" s="6" t="inlineStr">
        <is>
          <t>P001</t>
        </is>
      </c>
      <c r="C27" s="6" t="inlineStr">
        <is>
          <t>2026-10-02 12:23:55.129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16.256</v>
      </c>
      <c r="I27" s="4">
        <v>16.242</v>
      </c>
      <c r="J27" s="4">
        <v>-0.014</v>
      </c>
      <c r="K27" s="4">
        <v>0.014</v>
      </c>
      <c r="P27" s="6">
        <v>40</v>
      </c>
    </row>
    <row r="28" ht="17" customHeight="1">
      <c r="A28" s="0">
        <v>36</v>
      </c>
      <c r="B28" s="0" t="inlineStr">
        <is>
          <t>P001</t>
        </is>
      </c>
      <c r="C28" s="0" t="inlineStr">
        <is>
          <t>2026-10-02 12:23:56.628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H28" s="4">
        <v>17.792</v>
      </c>
      <c r="I28" s="4">
        <v>17.7557</v>
      </c>
      <c r="J28" s="4">
        <v>-0.0363</v>
      </c>
      <c r="K28" s="4">
        <v>0.0363</v>
      </c>
      <c r="P28" s="0">
        <v>41</v>
      </c>
    </row>
    <row r="29" ht="17" customHeight="1">
      <c r="A29" s="6">
        <v>37</v>
      </c>
      <c r="B29" s="6" t="inlineStr">
        <is>
          <t>P001</t>
        </is>
      </c>
      <c r="C29" s="6" t="inlineStr">
        <is>
          <t>2026-10-02 12:23:58.170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H29" s="4">
        <v>19.328</v>
      </c>
      <c r="I29" s="4">
        <v>19.2972</v>
      </c>
      <c r="J29" s="4">
        <v>-0.0308</v>
      </c>
      <c r="K29" s="4">
        <v>0.0308</v>
      </c>
      <c r="P29" s="6">
        <v>42</v>
      </c>
    </row>
    <row r="30" ht="17" customHeight="1">
      <c r="A30" s="0">
        <v>38</v>
      </c>
      <c r="B30" s="0" t="inlineStr">
        <is>
          <t>P001</t>
        </is>
      </c>
      <c r="C30" s="0" t="inlineStr">
        <is>
          <t>2026-10-02 12:23:58.171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19.328</v>
      </c>
      <c r="I30" s="4">
        <v>19.2972</v>
      </c>
      <c r="J30" s="4">
        <v>-0.0308</v>
      </c>
      <c r="K30" s="4">
        <v>0.0308</v>
      </c>
      <c r="P30" s="0">
        <v>43</v>
      </c>
    </row>
    <row r="31" ht="17" customHeight="1">
      <c r="A31" s="6">
        <v>39</v>
      </c>
      <c r="B31" s="6" t="inlineStr">
        <is>
          <t>P001</t>
        </is>
      </c>
      <c r="C31" s="6" t="inlineStr">
        <is>
          <t>2026-10-02 12:23:59.712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20.864</v>
      </c>
      <c r="I31" s="4">
        <v>20.8388</v>
      </c>
      <c r="J31" s="4">
        <v>-0.0252</v>
      </c>
      <c r="K31" s="4">
        <v>0.0252</v>
      </c>
      <c r="P31" s="6">
        <v>44</v>
      </c>
    </row>
    <row r="32" ht="17" customHeight="1">
      <c r="A32" s="0">
        <v>40</v>
      </c>
      <c r="B32" s="0" t="inlineStr">
        <is>
          <t>P001</t>
        </is>
      </c>
      <c r="C32" s="0" t="inlineStr">
        <is>
          <t>2026-10-02 12:24:01.253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22.4</v>
      </c>
      <c r="I32" s="4">
        <v>22.381</v>
      </c>
      <c r="J32" s="4">
        <v>-0.019</v>
      </c>
      <c r="K32" s="4">
        <v>0.019</v>
      </c>
      <c r="P32" s="0">
        <v>45</v>
      </c>
    </row>
    <row r="33" ht="17" customHeight="1">
      <c r="A33" s="6">
        <v>41</v>
      </c>
      <c r="B33" s="6" t="inlineStr">
        <is>
          <t>P001</t>
        </is>
      </c>
      <c r="C33" s="6" t="inlineStr">
        <is>
          <t>2026-10-02 12:24:01.267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22.4</v>
      </c>
      <c r="I33" s="4">
        <v>22.381</v>
      </c>
      <c r="J33" s="4">
        <v>-0.019</v>
      </c>
      <c r="K33" s="4">
        <v>0.019</v>
      </c>
      <c r="P33" s="6">
        <v>46</v>
      </c>
    </row>
    <row r="34" ht="17" customHeight="1">
      <c r="A34" s="0">
        <v>42</v>
      </c>
      <c r="B34" s="0" t="inlineStr">
        <is>
          <t>P001</t>
        </is>
      </c>
      <c r="C34" s="0" t="inlineStr">
        <is>
          <t>2026-10-02 12:24:02.769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23.936</v>
      </c>
      <c r="I34" s="4">
        <v>23.8955</v>
      </c>
      <c r="J34" s="4">
        <v>-0.0405</v>
      </c>
      <c r="K34" s="4">
        <v>0.0405</v>
      </c>
      <c r="P34" s="0">
        <v>47</v>
      </c>
    </row>
    <row r="35" ht="17" customHeight="1">
      <c r="A35" s="6">
        <v>43</v>
      </c>
      <c r="B35" s="6" t="inlineStr">
        <is>
          <t>P001</t>
        </is>
      </c>
      <c r="C35" s="6" t="inlineStr">
        <is>
          <t>2026-10-02 12:24:04.351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25.472</v>
      </c>
      <c r="I35" s="4">
        <v>25.4655</v>
      </c>
      <c r="J35" s="4">
        <v>-0.0065</v>
      </c>
      <c r="K35" s="4">
        <v>0.0065</v>
      </c>
      <c r="P35" s="6">
        <v>48</v>
      </c>
    </row>
    <row r="36" ht="17" customHeight="1">
      <c r="A36" s="0">
        <v>44</v>
      </c>
      <c r="B36" s="0" t="inlineStr">
        <is>
          <t>P001</t>
        </is>
      </c>
      <c r="C36" s="0" t="inlineStr">
        <is>
          <t>2026-10-02 12:24:04.353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25.472</v>
      </c>
      <c r="I36" s="4">
        <v>25.4655</v>
      </c>
      <c r="J36" s="4">
        <v>-0.0065</v>
      </c>
      <c r="K36" s="4">
        <v>0.0065</v>
      </c>
      <c r="P36" s="0">
        <v>49</v>
      </c>
    </row>
    <row r="37" ht="17" customHeight="1">
      <c r="A37" s="6">
        <v>45</v>
      </c>
      <c r="B37" s="6" t="inlineStr">
        <is>
          <t>P001</t>
        </is>
      </c>
      <c r="C37" s="6" t="inlineStr">
        <is>
          <t>2026-10-02 12:24:05.867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27.008</v>
      </c>
      <c r="I37" s="4">
        <v>26.9938</v>
      </c>
      <c r="J37" s="4">
        <v>-0.0142</v>
      </c>
      <c r="K37" s="4">
        <v>0.0142</v>
      </c>
      <c r="P37" s="6">
        <v>50</v>
      </c>
    </row>
    <row r="38" ht="17" customHeight="1">
      <c r="A38" s="0">
        <v>46</v>
      </c>
      <c r="B38" s="0" t="inlineStr">
        <is>
          <t>P001</t>
        </is>
      </c>
      <c r="C38" s="0" t="inlineStr">
        <is>
          <t>2026-10-02 12:24:06.004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Easy</t>
        </is>
      </c>
      <c r="H38" s="4">
        <v>27.008</v>
      </c>
      <c r="P38" s="0">
        <v>51</v>
      </c>
    </row>
    <row r="39" ht="17" customHeight="1">
      <c r="A39" s="6">
        <v>47</v>
      </c>
      <c r="B39" s="6" t="inlineStr">
        <is>
          <t>P001</t>
        </is>
      </c>
      <c r="C39" s="6" t="inlineStr">
        <is>
          <t>2026-10-02 12:24:07.409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28.544</v>
      </c>
      <c r="I39" s="4">
        <v>28.5354</v>
      </c>
      <c r="J39" s="4">
        <v>-0.0086</v>
      </c>
      <c r="K39" s="4">
        <v>0.0086</v>
      </c>
      <c r="P39" s="6">
        <v>52</v>
      </c>
    </row>
    <row r="40" ht="17" customHeight="1">
      <c r="A40" s="0">
        <v>48</v>
      </c>
      <c r="B40" s="0" t="inlineStr">
        <is>
          <t>P001</t>
        </is>
      </c>
      <c r="C40" s="0" t="inlineStr">
        <is>
          <t>2026-10-02 12:24:07.409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H40" s="4">
        <v>28.544</v>
      </c>
      <c r="I40" s="4">
        <v>28.5354</v>
      </c>
      <c r="J40" s="4">
        <v>-0.0086</v>
      </c>
      <c r="K40" s="4">
        <v>0.0086</v>
      </c>
      <c r="P40" s="0">
        <v>53</v>
      </c>
    </row>
    <row r="41" ht="17" customHeight="1">
      <c r="A41" s="6">
        <v>50</v>
      </c>
      <c r="B41" s="6" t="inlineStr">
        <is>
          <t>P001</t>
        </is>
      </c>
      <c r="C41" s="6" t="inlineStr">
        <is>
          <t>2026-10-02 12:24:08.241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29.312</v>
      </c>
      <c r="I41" s="4">
        <v>29.3682</v>
      </c>
      <c r="J41" s="4">
        <v>0.0562</v>
      </c>
      <c r="K41" s="4">
        <v>0.0562</v>
      </c>
      <c r="P41" s="6">
        <v>55</v>
      </c>
    </row>
    <row r="42" ht="17" customHeight="1">
      <c r="A42" s="0">
        <v>51</v>
      </c>
      <c r="B42" s="0" t="inlineStr">
        <is>
          <t>P001</t>
        </is>
      </c>
      <c r="C42" s="0" t="inlineStr">
        <is>
          <t>2026-10-02 12:24:08.255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Normal</t>
        </is>
      </c>
      <c r="H42" s="4">
        <v>29.312</v>
      </c>
      <c r="P42" s="0">
        <v>56</v>
      </c>
    </row>
    <row r="43" ht="17" customHeight="1">
      <c r="A43" s="6">
        <v>52</v>
      </c>
      <c r="B43" s="6" t="inlineStr">
        <is>
          <t>P001</t>
        </is>
      </c>
      <c r="C43" s="6" t="inlineStr">
        <is>
          <t>2026-10-02 12:24:08.948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Normal</t>
        </is>
      </c>
      <c r="H43" s="4">
        <v>30.08</v>
      </c>
      <c r="I43" s="4">
        <v>30.0763</v>
      </c>
      <c r="J43" s="4">
        <v>-0.0037</v>
      </c>
      <c r="K43" s="4">
        <v>0.0037</v>
      </c>
      <c r="P43" s="6">
        <v>57</v>
      </c>
    </row>
    <row r="44" ht="17" customHeight="1">
      <c r="A44" s="0">
        <v>53</v>
      </c>
      <c r="B44" s="0" t="inlineStr">
        <is>
          <t>P001</t>
        </is>
      </c>
      <c r="C44" s="0" t="inlineStr">
        <is>
          <t>2026-10-02 12:24:09.033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Normal</t>
        </is>
      </c>
      <c r="H44" s="4">
        <v>30.08</v>
      </c>
      <c r="P44" s="0">
        <v>58</v>
      </c>
    </row>
    <row r="45" ht="17" customHeight="1">
      <c r="A45" s="6">
        <v>54</v>
      </c>
      <c r="B45" s="6" t="inlineStr">
        <is>
          <t>P001</t>
        </is>
      </c>
      <c r="C45" s="6" t="inlineStr">
        <is>
          <t>2026-10-02 12:24:09.713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30.848</v>
      </c>
      <c r="I45" s="4">
        <v>30.8402</v>
      </c>
      <c r="J45" s="4">
        <v>-0.0078</v>
      </c>
      <c r="K45" s="4">
        <v>0.0078</v>
      </c>
      <c r="P45" s="6">
        <v>59</v>
      </c>
    </row>
    <row r="46" ht="17" customHeight="1">
      <c r="A46" s="0">
        <v>55</v>
      </c>
      <c r="B46" s="0" t="inlineStr">
        <is>
          <t>P001</t>
        </is>
      </c>
      <c r="C46" s="0" t="inlineStr">
        <is>
          <t>2026-10-02 12:24:12.753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Normal</t>
        </is>
      </c>
      <c r="H46" s="4">
        <v>33.92</v>
      </c>
      <c r="I46" s="4">
        <v>33.8661</v>
      </c>
      <c r="J46" s="4">
        <v>-0.0539</v>
      </c>
      <c r="K46" s="4">
        <v>0.0539</v>
      </c>
      <c r="P46" s="0">
        <v>60</v>
      </c>
    </row>
    <row r="47" ht="17" customHeight="1">
      <c r="A47" s="6">
        <v>56</v>
      </c>
      <c r="B47" s="6" t="inlineStr">
        <is>
          <t>P001</t>
        </is>
      </c>
      <c r="C47" s="6" t="inlineStr">
        <is>
          <t>2026-10-02 12:24:14.975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Normal</t>
        </is>
      </c>
      <c r="H47" s="4">
        <v>36.224</v>
      </c>
      <c r="I47" s="4">
        <v>36.0886</v>
      </c>
      <c r="J47" s="4">
        <v>-0.1354</v>
      </c>
      <c r="K47" s="4">
        <v>0.1354</v>
      </c>
      <c r="P47" s="6">
        <v>61</v>
      </c>
    </row>
    <row r="48" ht="17" customHeight="1">
      <c r="A48" s="0">
        <v>57</v>
      </c>
      <c r="B48" s="0" t="inlineStr">
        <is>
          <t>P001</t>
        </is>
      </c>
      <c r="C48" s="0" t="inlineStr">
        <is>
          <t>2026-10-02 12:24:17.476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38.528</v>
      </c>
      <c r="I48" s="4">
        <v>38.5892</v>
      </c>
      <c r="J48" s="4">
        <v>0.0612</v>
      </c>
      <c r="K48" s="4">
        <v>0.0612</v>
      </c>
      <c r="P48" s="0">
        <v>62</v>
      </c>
    </row>
    <row r="49" ht="17" customHeight="1">
      <c r="A49" s="6">
        <v>58</v>
      </c>
      <c r="B49" s="6" t="inlineStr">
        <is>
          <t>P001</t>
        </is>
      </c>
      <c r="C49" s="6" t="inlineStr">
        <is>
          <t>2026-10-02 12:24:19.615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40.832</v>
      </c>
      <c r="I49" s="4">
        <v>40.7278</v>
      </c>
      <c r="J49" s="4">
        <v>-0.1042</v>
      </c>
      <c r="K49" s="4">
        <v>0.1042</v>
      </c>
      <c r="P49" s="6">
        <v>63</v>
      </c>
    </row>
    <row r="50" ht="17" customHeight="1">
      <c r="A50" s="0">
        <v>59</v>
      </c>
      <c r="B50" s="0" t="inlineStr">
        <is>
          <t>P001</t>
        </is>
      </c>
      <c r="C50" s="0" t="inlineStr">
        <is>
          <t>2026-10-02 12:24:21.059</t>
        </is>
      </c>
      <c r="D50" s="0" t="inlineStr">
        <is>
          <t>Joaquin</t>
        </is>
      </c>
      <c r="E50" s="0" t="inlineStr">
        <is>
          <t>PlayerHit</t>
        </is>
      </c>
      <c r="F50" s="0" t="inlineStr">
        <is>
          <t>Failed</t>
        </is>
      </c>
      <c r="G50" s="0" t="inlineStr">
        <is>
          <t>Normal</t>
        </is>
      </c>
      <c r="H50" s="4">
        <v>42.1721</v>
      </c>
      <c r="P50" s="0">
        <v>64</v>
      </c>
    </row>
    <row r="51" ht="17" customHeight="1">
      <c r="A51" s="6">
        <v>60</v>
      </c>
      <c r="B51" s="6" t="inlineStr">
        <is>
          <t>P001</t>
        </is>
      </c>
      <c r="C51" s="6" t="inlineStr">
        <is>
          <t>2026-10-02 12:24:22.087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Normal</t>
        </is>
      </c>
      <c r="H51" s="4">
        <v>43.136</v>
      </c>
      <c r="I51" s="4">
        <v>43.1997</v>
      </c>
      <c r="J51" s="4">
        <v>0.0637</v>
      </c>
      <c r="K51" s="4">
        <v>0.0637</v>
      </c>
      <c r="P51" s="6">
        <v>65</v>
      </c>
    </row>
    <row r="52" ht="17" customHeight="1">
      <c r="A52" s="0">
        <v>61</v>
      </c>
      <c r="B52" s="0" t="inlineStr">
        <is>
          <t>P001</t>
        </is>
      </c>
      <c r="C52" s="0" t="inlineStr">
        <is>
          <t>2026-10-02 12:24:24.350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Normal</t>
        </is>
      </c>
      <c r="H52" s="4">
        <v>45.44</v>
      </c>
      <c r="I52" s="4">
        <v>45.4637</v>
      </c>
      <c r="J52" s="4">
        <v>0.0237</v>
      </c>
      <c r="K52" s="4">
        <v>0.0237</v>
      </c>
      <c r="P52" s="0">
        <v>66</v>
      </c>
    </row>
    <row r="53" ht="17" customHeight="1">
      <c r="A53" s="6">
        <v>62</v>
      </c>
      <c r="B53" s="6" t="inlineStr">
        <is>
          <t>P001</t>
        </is>
      </c>
      <c r="C53" s="6" t="inlineStr">
        <is>
          <t>2026-10-02 12:24:26.629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Normal</t>
        </is>
      </c>
      <c r="H53" s="4">
        <v>47.744</v>
      </c>
      <c r="I53" s="4">
        <v>47.7413</v>
      </c>
      <c r="J53" s="4">
        <v>-0.0027</v>
      </c>
      <c r="K53" s="4">
        <v>0.0027</v>
      </c>
      <c r="P53" s="6">
        <v>67</v>
      </c>
    </row>
    <row r="54" ht="17" customHeight="1">
      <c r="A54" s="0">
        <v>64</v>
      </c>
      <c r="B54" s="0" t="inlineStr">
        <is>
          <t>P001</t>
        </is>
      </c>
      <c r="C54" s="0" t="inlineStr">
        <is>
          <t>2026-10-02 12:24:26.849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Hard</t>
        </is>
      </c>
      <c r="H54" s="4">
        <v>48.128</v>
      </c>
      <c r="I54" s="4">
        <v>47.9636</v>
      </c>
      <c r="J54" s="4">
        <v>-0.1644</v>
      </c>
      <c r="K54" s="4">
        <v>0.1644</v>
      </c>
      <c r="P54" s="0">
        <v>69</v>
      </c>
    </row>
    <row r="55" ht="17" customHeight="1">
      <c r="A55" s="6">
        <v>65</v>
      </c>
      <c r="B55" s="6" t="inlineStr">
        <is>
          <t>P001</t>
        </is>
      </c>
      <c r="C55" s="6" t="inlineStr">
        <is>
          <t>2026-10-02 12:24:28.878</t>
        </is>
      </c>
      <c r="D55" s="6" t="inlineStr">
        <is>
          <t>Joaquin</t>
        </is>
      </c>
      <c r="E55" s="6" t="inlineStr">
        <is>
          <t>PlayerHit</t>
        </is>
      </c>
      <c r="F55" s="6" t="inlineStr">
        <is>
          <t>Failed</t>
        </is>
      </c>
      <c r="G55" s="6" t="inlineStr">
        <is>
          <t>Hard</t>
        </is>
      </c>
      <c r="H55" s="4">
        <v>49.9915</v>
      </c>
      <c r="P55" s="6">
        <v>70</v>
      </c>
    </row>
    <row r="56" ht="17" customHeight="1">
      <c r="A56" s="0">
        <v>66</v>
      </c>
      <c r="B56" s="0" t="inlineStr">
        <is>
          <t>P001</t>
        </is>
      </c>
      <c r="C56" s="0" t="inlineStr">
        <is>
          <t>2026-10-02 12:24:29.225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Hard</t>
        </is>
      </c>
      <c r="H56" s="4">
        <v>50.432</v>
      </c>
      <c r="I56" s="4">
        <v>50.3389</v>
      </c>
      <c r="J56" s="4">
        <v>-0.0931</v>
      </c>
      <c r="K56" s="4">
        <v>0.0931</v>
      </c>
      <c r="P56" s="0">
        <v>71</v>
      </c>
    </row>
    <row r="57" ht="17" customHeight="1">
      <c r="A57" s="6">
        <v>67</v>
      </c>
      <c r="B57" s="6" t="inlineStr">
        <is>
          <t>P001</t>
        </is>
      </c>
      <c r="C57" s="6" t="inlineStr">
        <is>
          <t>2026-10-02 12:24:31.573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Hard</t>
        </is>
      </c>
      <c r="H57" s="4">
        <v>52.736</v>
      </c>
      <c r="I57" s="4">
        <v>52.6854</v>
      </c>
      <c r="J57" s="4">
        <v>-0.0506</v>
      </c>
      <c r="K57" s="4">
        <v>0.0506</v>
      </c>
      <c r="P57" s="6">
        <v>72</v>
      </c>
    </row>
    <row r="58" ht="17" customHeight="1">
      <c r="A58" s="0">
        <v>68</v>
      </c>
      <c r="B58" s="0" t="inlineStr">
        <is>
          <t>P001</t>
        </is>
      </c>
      <c r="C58" s="0" t="inlineStr">
        <is>
          <t>2026-10-02 12:24:31.836</t>
        </is>
      </c>
      <c r="D58" s="0" t="inlineStr">
        <is>
          <t>Joaquin</t>
        </is>
      </c>
      <c r="E58" s="0" t="inlineStr">
        <is>
          <t>PlayerHit</t>
        </is>
      </c>
      <c r="F58" s="0" t="inlineStr">
        <is>
          <t>Failed</t>
        </is>
      </c>
      <c r="G58" s="0" t="inlineStr">
        <is>
          <t>Hard</t>
        </is>
      </c>
      <c r="H58" s="4">
        <v>52.9495</v>
      </c>
      <c r="P58" s="0">
        <v>73</v>
      </c>
    </row>
    <row r="59" ht="17" customHeight="1">
      <c r="A59" s="6">
        <v>69</v>
      </c>
      <c r="B59" s="6" t="inlineStr">
        <is>
          <t>P001</t>
        </is>
      </c>
      <c r="C59" s="6" t="inlineStr">
        <is>
          <t>2026-10-02 12:24:31.904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Hard</t>
        </is>
      </c>
      <c r="H59" s="4">
        <v>53.0187</v>
      </c>
      <c r="P59" s="6">
        <v>74</v>
      </c>
    </row>
    <row r="60" ht="17" customHeight="1">
      <c r="A60" s="0">
        <v>70</v>
      </c>
      <c r="B60" s="0" t="inlineStr">
        <is>
          <t>P001</t>
        </is>
      </c>
      <c r="C60" s="0" t="inlineStr">
        <is>
          <t>2026-10-02 12:24:32.225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Hard</t>
        </is>
      </c>
      <c r="H60" s="4">
        <v>53.3383</v>
      </c>
      <c r="P60" s="0">
        <v>75</v>
      </c>
    </row>
    <row r="61" ht="17" customHeight="1">
      <c r="A61" s="6">
        <v>74</v>
      </c>
      <c r="B61" s="6" t="inlineStr">
        <is>
          <t>P001</t>
        </is>
      </c>
      <c r="C61" s="6" t="inlineStr">
        <is>
          <t>2026-10-02 12:24:32.531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Normal</t>
        </is>
      </c>
      <c r="H61" s="4">
        <v>53.504</v>
      </c>
      <c r="I61" s="4">
        <v>53.6441</v>
      </c>
      <c r="J61" s="4">
        <v>0.1401</v>
      </c>
      <c r="K61" s="4">
        <v>0.1401</v>
      </c>
      <c r="P61" s="6">
        <v>79</v>
      </c>
    </row>
    <row r="62" ht="17" customHeight="1">
      <c r="A62" s="0">
        <v>75</v>
      </c>
      <c r="B62" s="0" t="inlineStr">
        <is>
          <t>P001</t>
        </is>
      </c>
      <c r="C62" s="0" t="inlineStr">
        <is>
          <t>2026-10-02 12:24:34.726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Normal</t>
        </is>
      </c>
      <c r="H62" s="4">
        <v>55.808</v>
      </c>
      <c r="I62" s="4">
        <v>55.8391</v>
      </c>
      <c r="J62" s="4">
        <v>0.0311</v>
      </c>
      <c r="K62" s="4">
        <v>0.0311</v>
      </c>
      <c r="P62" s="0">
        <v>80</v>
      </c>
    </row>
    <row r="63" ht="17" customHeight="1">
      <c r="A63" s="6">
        <v>76</v>
      </c>
      <c r="B63" s="6" t="inlineStr">
        <is>
          <t>P001</t>
        </is>
      </c>
      <c r="C63" s="6" t="inlineStr">
        <is>
          <t>2026-10-02 12:24:36.406</t>
        </is>
      </c>
      <c r="D63" s="6" t="inlineStr">
        <is>
          <t>Joaquin</t>
        </is>
      </c>
      <c r="E63" s="6" t="inlineStr">
        <is>
          <t>PlayerHit</t>
        </is>
      </c>
      <c r="F63" s="6" t="inlineStr">
        <is>
          <t>Failed</t>
        </is>
      </c>
      <c r="G63" s="6" t="inlineStr">
        <is>
          <t>Normal</t>
        </is>
      </c>
      <c r="H63" s="4">
        <v>57.5197</v>
      </c>
      <c r="P63" s="6">
        <v>81</v>
      </c>
    </row>
    <row r="64" ht="17" customHeight="1">
      <c r="A64" s="0">
        <v>77</v>
      </c>
      <c r="B64" s="0" t="inlineStr">
        <is>
          <t>P001</t>
        </is>
      </c>
      <c r="C64" s="0" t="inlineStr">
        <is>
          <t>2026-10-02 12:24:36.879</t>
        </is>
      </c>
      <c r="D64" s="0" t="inlineStr">
        <is>
          <t>Joaquin</t>
        </is>
      </c>
      <c r="E64" s="0" t="inlineStr">
        <is>
          <t>PlayerHit</t>
        </is>
      </c>
      <c r="F64" s="0" t="inlineStr">
        <is>
          <t>Failed</t>
        </is>
      </c>
      <c r="G64" s="0" t="inlineStr">
        <is>
          <t>Normal</t>
        </is>
      </c>
      <c r="H64" s="4">
        <v>57.9917</v>
      </c>
      <c r="P64" s="0">
        <v>82</v>
      </c>
    </row>
    <row r="65" ht="17" customHeight="1">
      <c r="A65" s="6">
        <v>78</v>
      </c>
      <c r="B65" s="6" t="inlineStr">
        <is>
          <t>P001</t>
        </is>
      </c>
      <c r="C65" s="6" t="inlineStr">
        <is>
          <t>2026-10-02 12:24:37.016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H65" s="4">
        <v>58.112</v>
      </c>
      <c r="I65" s="4">
        <v>58.1306</v>
      </c>
      <c r="J65" s="4">
        <v>0.0186</v>
      </c>
      <c r="K65" s="4">
        <v>0.0186</v>
      </c>
      <c r="P65" s="6">
        <v>83</v>
      </c>
    </row>
    <row r="66" ht="17" customHeight="1">
      <c r="A66" s="0">
        <v>79</v>
      </c>
      <c r="B66" s="0" t="inlineStr">
        <is>
          <t>P001</t>
        </is>
      </c>
      <c r="C66" s="0" t="inlineStr">
        <is>
          <t>2026-10-02 12:24:39.253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H66" s="4">
        <v>60.416</v>
      </c>
      <c r="I66" s="4">
        <v>60.3665</v>
      </c>
      <c r="J66" s="4">
        <v>-0.0495</v>
      </c>
      <c r="K66" s="4">
        <v>0.0495</v>
      </c>
      <c r="P66" s="0">
        <v>84</v>
      </c>
    </row>
    <row r="67" ht="17" customHeight="1">
      <c r="A67" s="6">
        <v>80</v>
      </c>
      <c r="B67" s="6" t="inlineStr">
        <is>
          <t>P001</t>
        </is>
      </c>
      <c r="C67" s="6" t="inlineStr">
        <is>
          <t>2026-10-02 12:24:40.948</t>
        </is>
      </c>
      <c r="D67" s="6" t="inlineStr">
        <is>
          <t>Joaquin</t>
        </is>
      </c>
      <c r="E67" s="6" t="inlineStr">
        <is>
          <t>PlayerHit</t>
        </is>
      </c>
      <c r="F67" s="6" t="inlineStr">
        <is>
          <t>Failed</t>
        </is>
      </c>
      <c r="G67" s="6" t="inlineStr">
        <is>
          <t>Normal</t>
        </is>
      </c>
      <c r="H67" s="4">
        <v>62.0607</v>
      </c>
      <c r="P67" s="6">
        <v>85</v>
      </c>
    </row>
    <row r="68" ht="17" customHeight="1">
      <c r="A68" s="0">
        <v>82</v>
      </c>
      <c r="B68" s="0" t="inlineStr">
        <is>
          <t>P001</t>
        </is>
      </c>
      <c r="C68" s="0" t="inlineStr">
        <is>
          <t>2026-10-02 12:24:46.224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Missed</t>
        </is>
      </c>
      <c r="G68" s="0" t="inlineStr">
        <is>
          <t>Normal</t>
        </is>
      </c>
      <c r="H68" s="4">
        <v>66.6368</v>
      </c>
      <c r="P68" s="0">
        <v>87</v>
      </c>
    </row>
    <row r="69" ht="17" customHeight="1">
      <c r="A69" s="6">
        <v>83</v>
      </c>
      <c r="B69" s="6" t="inlineStr">
        <is>
          <t>P001</t>
        </is>
      </c>
      <c r="C69" s="6" t="inlineStr">
        <is>
          <t>2026-10-02 12:24:46.295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Normal</t>
        </is>
      </c>
      <c r="H69" s="4">
        <v>68.1728</v>
      </c>
      <c r="I69" s="4">
        <v>67.4075</v>
      </c>
      <c r="J69" s="4">
        <v>-0.7653</v>
      </c>
      <c r="K69" s="4">
        <v>0.7653</v>
      </c>
      <c r="L69" s="4">
        <v>0.0795</v>
      </c>
      <c r="N69" s="4">
        <v>1.0</v>
      </c>
      <c r="P69" s="6">
        <v>88</v>
      </c>
    </row>
    <row r="70" ht="17" customHeight="1">
      <c r="A70" s="0">
        <v>85</v>
      </c>
      <c r="B70" s="0" t="inlineStr">
        <is>
          <t>P001</t>
        </is>
      </c>
      <c r="C70" s="0" t="inlineStr">
        <is>
          <t>2026-10-02 12:24:47.767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Normal</t>
        </is>
      </c>
      <c r="H70" s="4">
        <v>69.7088</v>
      </c>
      <c r="P70" s="0">
        <v>90</v>
      </c>
    </row>
    <row r="71" ht="17" customHeight="1">
      <c r="A71" s="6">
        <v>86</v>
      </c>
      <c r="B71" s="6" t="inlineStr">
        <is>
          <t>P001</t>
        </is>
      </c>
      <c r="C71" s="6" t="inlineStr">
        <is>
          <t>2026-10-02 12:24:49.309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Normal</t>
        </is>
      </c>
      <c r="H71" s="4">
        <v>71.2448</v>
      </c>
      <c r="I71" s="4">
        <v>70.4221</v>
      </c>
      <c r="J71" s="4">
        <v>-0.8227</v>
      </c>
      <c r="K71" s="4">
        <v>0.8227</v>
      </c>
      <c r="L71" s="4">
        <v>0.0221</v>
      </c>
      <c r="N71" s="4">
        <v>0.0</v>
      </c>
      <c r="P71" s="6">
        <v>91</v>
      </c>
    </row>
    <row r="72" ht="17" customHeight="1">
      <c r="A72" s="0">
        <v>87</v>
      </c>
      <c r="B72" s="0" t="inlineStr">
        <is>
          <t>P001</t>
        </is>
      </c>
      <c r="C72" s="0" t="inlineStr">
        <is>
          <t>2026-10-02 12:24:50.893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Normal</t>
        </is>
      </c>
      <c r="H72" s="4">
        <v>72.7808</v>
      </c>
      <c r="I72" s="4">
        <v>72.0054</v>
      </c>
      <c r="J72" s="4">
        <v>-0.7754</v>
      </c>
      <c r="K72" s="4">
        <v>0.7754</v>
      </c>
      <c r="L72" s="4">
        <v>0.0694</v>
      </c>
      <c r="N72" s="4">
        <v>0.0</v>
      </c>
      <c r="P72" s="0">
        <v>92</v>
      </c>
    </row>
    <row r="73" ht="17" customHeight="1">
      <c r="A73" s="6">
        <v>88</v>
      </c>
      <c r="B73" s="6" t="inlineStr">
        <is>
          <t>P001</t>
        </is>
      </c>
      <c r="C73" s="6" t="inlineStr">
        <is>
          <t>2026-10-02 12:24:52.391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Normal</t>
        </is>
      </c>
      <c r="H73" s="4">
        <v>74.3168</v>
      </c>
      <c r="I73" s="4">
        <v>73.5056</v>
      </c>
      <c r="J73" s="4">
        <v>-0.8112</v>
      </c>
      <c r="K73" s="4">
        <v>0.8112</v>
      </c>
      <c r="L73" s="4">
        <v>0.0336</v>
      </c>
      <c r="N73" s="4">
        <v>0.0</v>
      </c>
      <c r="P73" s="6">
        <v>93</v>
      </c>
    </row>
    <row r="74" ht="17" customHeight="1">
      <c r="A74" s="0">
        <v>92</v>
      </c>
      <c r="B74" s="0" t="inlineStr">
        <is>
          <t>P001</t>
        </is>
      </c>
      <c r="C74" s="0" t="inlineStr">
        <is>
          <t>2026-10-02 12:24:54.295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Normal</t>
        </is>
      </c>
      <c r="H74" s="4">
        <v>76.448</v>
      </c>
      <c r="P74" s="0">
        <v>97</v>
      </c>
    </row>
    <row r="75" ht="17" customHeight="1">
      <c r="A75" s="6">
        <v>93</v>
      </c>
      <c r="B75" s="6" t="inlineStr">
        <is>
          <t>P001</t>
        </is>
      </c>
      <c r="C75" s="6" t="inlineStr">
        <is>
          <t>2026-10-02 12:24:56.392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Normal</t>
        </is>
      </c>
      <c r="H75" s="4">
        <v>78.368</v>
      </c>
      <c r="I75" s="4">
        <v>77.5051</v>
      </c>
      <c r="J75" s="4">
        <v>-0.8629</v>
      </c>
      <c r="K75" s="4">
        <v>0.8629</v>
      </c>
      <c r="L75" s="4">
        <v>0.1931</v>
      </c>
      <c r="N75" s="4">
        <v>0.0</v>
      </c>
      <c r="P75" s="6">
        <v>98</v>
      </c>
    </row>
    <row r="76" ht="17" customHeight="1">
      <c r="A76" s="0">
        <v>95</v>
      </c>
      <c r="B76" s="0" t="inlineStr">
        <is>
          <t>P001</t>
        </is>
      </c>
      <c r="C76" s="0" t="inlineStr">
        <is>
          <t>2026-10-02 12:24:58.155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Easy</t>
        </is>
      </c>
      <c r="H76" s="4">
        <v>80.288</v>
      </c>
      <c r="I76" s="4">
        <v>79.2683</v>
      </c>
      <c r="J76" s="4">
        <v>-1.0197</v>
      </c>
      <c r="K76" s="4">
        <v>1.0197</v>
      </c>
      <c r="L76" s="4">
        <v>0.0363</v>
      </c>
      <c r="N76" s="4">
        <v>0.0</v>
      </c>
      <c r="P76" s="0">
        <v>100</v>
      </c>
    </row>
    <row r="77" ht="17" customHeight="1">
      <c r="A77" s="6">
        <v>97</v>
      </c>
      <c r="B77" s="6" t="inlineStr">
        <is>
          <t>P001</t>
        </is>
      </c>
      <c r="C77" s="6" t="inlineStr">
        <is>
          <t>2026-10-02 12:25:00.071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Failed</t>
        </is>
      </c>
      <c r="G77" s="6" t="inlineStr">
        <is>
          <t>Easy</t>
        </is>
      </c>
      <c r="H77" s="4">
        <v>82.208</v>
      </c>
      <c r="I77" s="4">
        <v>81.1851</v>
      </c>
      <c r="J77" s="4">
        <v>-1.0229</v>
      </c>
      <c r="K77" s="4">
        <v>1.0229</v>
      </c>
      <c r="L77" s="4">
        <v>0.0331</v>
      </c>
      <c r="N77" s="4">
        <v>0.0</v>
      </c>
      <c r="P77" s="6">
        <v>102</v>
      </c>
    </row>
    <row r="78" ht="17" customHeight="1">
      <c r="A78" s="0">
        <v>98</v>
      </c>
      <c r="B78" s="0" t="inlineStr">
        <is>
          <t>P001</t>
        </is>
      </c>
      <c r="C78" s="0" t="inlineStr">
        <is>
          <t>2026-10-02 12:25:01.975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Easy</t>
        </is>
      </c>
      <c r="H78" s="4">
        <v>84.128</v>
      </c>
      <c r="I78" s="4">
        <v>83.0878</v>
      </c>
      <c r="J78" s="4">
        <v>-1.0402</v>
      </c>
      <c r="K78" s="4">
        <v>1.0402</v>
      </c>
      <c r="L78" s="4">
        <v>0.0158</v>
      </c>
      <c r="N78" s="4">
        <v>0.0</v>
      </c>
      <c r="P78" s="0">
        <v>103</v>
      </c>
    </row>
    <row r="79" ht="17" customHeight="1">
      <c r="A79" s="6">
        <v>99</v>
      </c>
      <c r="B79" s="6" t="inlineStr">
        <is>
          <t>P001</t>
        </is>
      </c>
      <c r="C79" s="6" t="inlineStr">
        <is>
          <t>2026-10-02 12:25:04.571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H79" s="4">
        <v>86.048</v>
      </c>
      <c r="I79" s="4">
        <v>85.6856</v>
      </c>
      <c r="J79" s="4">
        <v>-0.3624</v>
      </c>
      <c r="K79" s="4">
        <v>0.3624</v>
      </c>
      <c r="L79" s="4">
        <v>0.6936</v>
      </c>
      <c r="N79" s="4">
        <v>0.0</v>
      </c>
      <c r="P79" s="6">
        <v>104</v>
      </c>
    </row>
    <row r="80" ht="17" customHeight="1">
      <c r="A80" s="0">
        <v>100</v>
      </c>
      <c r="B80" s="0" t="inlineStr">
        <is>
          <t>P001</t>
        </is>
      </c>
      <c r="C80" s="0" t="inlineStr">
        <is>
          <t>2026-10-02 12:25:06.807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Easy</t>
        </is>
      </c>
      <c r="H80" s="4">
        <v>87.968</v>
      </c>
      <c r="P80" s="0">
        <v>105</v>
      </c>
    </row>
    <row r="81" ht="17" customHeight="1">
      <c r="A81" s="6">
        <v>102</v>
      </c>
      <c r="B81" s="6" t="inlineStr">
        <is>
          <t>P001</t>
        </is>
      </c>
      <c r="C81" s="6" t="inlineStr">
        <is>
          <t>2026-10-02 12:25:09.642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Missed</t>
        </is>
      </c>
      <c r="G81" s="6" t="inlineStr">
        <is>
          <t>Easy</t>
        </is>
      </c>
      <c r="H81" s="4">
        <v>89.888</v>
      </c>
      <c r="P81" s="6">
        <v>107</v>
      </c>
    </row>
    <row r="82" ht="17" customHeight="1">
      <c r="A82" s="0">
        <v>103</v>
      </c>
      <c r="B82" s="0" t="inlineStr">
        <is>
          <t>P001</t>
        </is>
      </c>
      <c r="C82" s="0" t="inlineStr">
        <is>
          <t>2026-10-02 12:25:11.156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Easy</t>
        </is>
      </c>
      <c r="H82" s="4">
        <v>91.808</v>
      </c>
      <c r="I82" s="4">
        <v>92.2691</v>
      </c>
      <c r="J82" s="4">
        <v>0.4611</v>
      </c>
      <c r="K82" s="4">
        <v>0.4611</v>
      </c>
      <c r="L82" s="4">
        <v>1.5171</v>
      </c>
      <c r="N82" s="4">
        <v>1.0</v>
      </c>
      <c r="P82" s="0">
        <v>108</v>
      </c>
    </row>
    <row r="83" ht="17" customHeight="1">
      <c r="A83" s="6">
        <v>104</v>
      </c>
      <c r="B83" s="6" t="inlineStr">
        <is>
          <t>P001</t>
        </is>
      </c>
      <c r="C83" s="6" t="inlineStr">
        <is>
          <t>2026-10-02 12:25:11.587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Easy</t>
        </is>
      </c>
      <c r="H83" s="4">
        <v>93.728</v>
      </c>
      <c r="I83" s="4">
        <v>92.6999</v>
      </c>
      <c r="J83" s="4">
        <v>-1.0281</v>
      </c>
      <c r="K83" s="4">
        <v>1.0281</v>
      </c>
      <c r="L83" s="4">
        <v>0.0279</v>
      </c>
      <c r="N83" s="4">
        <v>0.0</v>
      </c>
      <c r="P83" s="6">
        <v>109</v>
      </c>
    </row>
    <row r="84" ht="17" customHeight="1">
      <c r="A84" s="0">
        <v>105</v>
      </c>
      <c r="B84" s="0" t="inlineStr">
        <is>
          <t>P001</t>
        </is>
      </c>
      <c r="C84" s="0" t="inlineStr">
        <is>
          <t>2026-10-02 12:25:15.475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96.128</v>
      </c>
      <c r="I84" s="4">
        <v>96.3791</v>
      </c>
      <c r="J84" s="4">
        <v>0.2511</v>
      </c>
      <c r="K84" s="4">
        <v>0.2511</v>
      </c>
      <c r="N84" s="4">
        <v>0.0</v>
      </c>
      <c r="O84" s="0" t="b">
        <v>1</v>
      </c>
      <c r="P84" s="0">
        <v>110</v>
      </c>
    </row>
    <row r="85" ht="17" customHeight="1">
      <c r="A85" s="6">
        <v>107</v>
      </c>
      <c r="B85" s="6" t="inlineStr">
        <is>
          <t>P001</t>
        </is>
      </c>
      <c r="C85" s="6" t="inlineStr">
        <is>
          <t>2026-10-02 12:25:16.613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H85" s="4">
        <v>97.664</v>
      </c>
      <c r="I85" s="4">
        <v>97.5593</v>
      </c>
      <c r="J85" s="4">
        <v>-0.1047</v>
      </c>
      <c r="K85" s="4">
        <v>0.1047</v>
      </c>
      <c r="N85" s="4">
        <v>1.0</v>
      </c>
      <c r="O85" s="6" t="b">
        <v>1</v>
      </c>
      <c r="P85" s="6">
        <v>112</v>
      </c>
    </row>
    <row r="86" ht="17" customHeight="1">
      <c r="A86" s="0">
        <v>108</v>
      </c>
      <c r="B86" s="0" t="inlineStr">
        <is>
          <t>P001</t>
        </is>
      </c>
      <c r="C86" s="0" t="inlineStr">
        <is>
          <t>2026-10-02 12:25:17.431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H86" s="4">
        <v>94.976</v>
      </c>
      <c r="I86" s="4">
        <v>98.24</v>
      </c>
      <c r="J86" s="4">
        <v>3.264</v>
      </c>
      <c r="K86" s="4">
        <v>3.264</v>
      </c>
      <c r="N86" s="4">
        <v>1.0</v>
      </c>
      <c r="O86" s="0" t="b">
        <v>0</v>
      </c>
      <c r="P86" s="0">
        <v>113</v>
      </c>
    </row>
    <row r="87" ht="17" customHeight="1">
      <c r="A87" s="6">
        <v>109</v>
      </c>
      <c r="B87" s="6" t="inlineStr">
        <is>
          <t>P001</t>
        </is>
      </c>
      <c r="C87" s="6" t="inlineStr">
        <is>
          <t>2026-10-02 12:25:17.904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Success</t>
        </is>
      </c>
      <c r="G87" s="6" t="inlineStr">
        <is>
          <t>Easy</t>
        </is>
      </c>
      <c r="H87" s="4">
        <v>98.432</v>
      </c>
      <c r="I87" s="4">
        <v>98.4484</v>
      </c>
      <c r="J87" s="4">
        <v>0.0164</v>
      </c>
      <c r="K87" s="4">
        <v>0.0164</v>
      </c>
      <c r="N87" s="4">
        <v>1.0</v>
      </c>
      <c r="O87" s="6" t="b">
        <v>1</v>
      </c>
      <c r="P87" s="6">
        <v>114</v>
      </c>
    </row>
    <row r="88" ht="17" customHeight="1">
      <c r="A88" s="0">
        <v>110</v>
      </c>
      <c r="B88" s="0" t="inlineStr">
        <is>
          <t>P001</t>
        </is>
      </c>
      <c r="C88" s="0" t="inlineStr">
        <is>
          <t>2026-10-02 12:25:21.113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H88" s="4">
        <v>101.12</v>
      </c>
      <c r="I88" s="4">
        <v>101.4902</v>
      </c>
      <c r="J88" s="4">
        <v>0.3702</v>
      </c>
      <c r="K88" s="4">
        <v>0.3702</v>
      </c>
      <c r="N88" s="4">
        <v>0.0</v>
      </c>
      <c r="O88" s="0" t="b">
        <v>0</v>
      </c>
      <c r="P88" s="0">
        <v>115</v>
      </c>
    </row>
    <row r="89" ht="17" customHeight="1">
      <c r="A89" s="6">
        <v>112</v>
      </c>
      <c r="B89" s="6" t="inlineStr">
        <is>
          <t>P001</t>
        </is>
      </c>
      <c r="C89" s="6" t="inlineStr">
        <is>
          <t>2026-10-02 12:25:24.266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Easy</t>
        </is>
      </c>
      <c r="H89" s="4">
        <v>104.192</v>
      </c>
      <c r="I89" s="4">
        <v>105.3374</v>
      </c>
      <c r="J89" s="4">
        <v>1.1454</v>
      </c>
      <c r="K89" s="4">
        <v>1.1454</v>
      </c>
      <c r="N89" s="4">
        <v>1.0</v>
      </c>
      <c r="O89" s="6" t="b">
        <v>1</v>
      </c>
      <c r="P89" s="6">
        <v>117</v>
      </c>
    </row>
    <row r="90" ht="17" customHeight="1">
      <c r="A90" s="0">
        <v>113</v>
      </c>
      <c r="B90" s="0" t="inlineStr">
        <is>
          <t>P001</t>
        </is>
      </c>
      <c r="C90" s="0" t="inlineStr">
        <is>
          <t>2026-10-02 12:25:25.433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Easy</t>
        </is>
      </c>
      <c r="H90" s="4">
        <v>102.656</v>
      </c>
      <c r="I90" s="4">
        <v>106.3652</v>
      </c>
      <c r="J90" s="4">
        <v>3.7092</v>
      </c>
      <c r="K90" s="4">
        <v>3.7092</v>
      </c>
      <c r="N90" s="4">
        <v>0.0</v>
      </c>
      <c r="O90" s="0" t="b">
        <v>1</v>
      </c>
      <c r="P90" s="0">
        <v>118</v>
      </c>
    </row>
    <row r="91" ht="17" customHeight="1">
      <c r="A91" s="6">
        <v>114</v>
      </c>
      <c r="B91" s="6" t="inlineStr">
        <is>
          <t>P001</t>
        </is>
      </c>
      <c r="C91" s="6" t="inlineStr">
        <is>
          <t>2026-10-02 12:25:28.306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H91" s="4">
        <v>108.032</v>
      </c>
      <c r="I91" s="4">
        <v>109.3648</v>
      </c>
      <c r="J91" s="4">
        <v>1.3328</v>
      </c>
      <c r="K91" s="4">
        <v>1.3328</v>
      </c>
      <c r="N91" s="4">
        <v>0.0</v>
      </c>
      <c r="O91" s="6" t="b">
        <v>0</v>
      </c>
      <c r="P91" s="6">
        <v>119</v>
      </c>
    </row>
    <row r="92" ht="17" customHeight="1">
      <c r="A92" s="0">
        <v>115</v>
      </c>
      <c r="B92" s="0" t="inlineStr">
        <is>
          <t>P001</t>
        </is>
      </c>
      <c r="C92" s="0" t="inlineStr">
        <is>
          <t>2026-10-02 12:25:28.626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H92" s="4">
        <v>106.88</v>
      </c>
      <c r="I92" s="4">
        <v>109.6843</v>
      </c>
      <c r="J92" s="4">
        <v>2.8043</v>
      </c>
      <c r="K92" s="4">
        <v>2.8043</v>
      </c>
      <c r="N92" s="4">
        <v>0.0</v>
      </c>
      <c r="O92" s="0" t="b">
        <v>0</v>
      </c>
      <c r="P92" s="0">
        <v>120</v>
      </c>
    </row>
    <row r="93" ht="17" customHeight="1">
      <c r="A93" s="6">
        <v>116</v>
      </c>
      <c r="B93" s="6" t="inlineStr">
        <is>
          <t>P001</t>
        </is>
      </c>
      <c r="C93" s="6" t="inlineStr">
        <is>
          <t>2026-10-02 12:25:30.709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H93" s="4">
        <v>111.104</v>
      </c>
      <c r="I93" s="4">
        <v>111.7674</v>
      </c>
      <c r="J93" s="4">
        <v>0.6634</v>
      </c>
      <c r="K93" s="4">
        <v>0.6634</v>
      </c>
      <c r="N93" s="4">
        <v>0.0</v>
      </c>
      <c r="O93" s="6" t="b">
        <v>0</v>
      </c>
      <c r="P93" s="6">
        <v>121</v>
      </c>
    </row>
    <row r="94" ht="17" customHeight="1">
      <c r="A94" s="0">
        <v>118</v>
      </c>
      <c r="B94" s="0" t="inlineStr">
        <is>
          <t>P001</t>
        </is>
      </c>
      <c r="C94" s="0" t="inlineStr">
        <is>
          <t>2026-10-02 12:25:36.850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H94" s="4">
        <v>113.792</v>
      </c>
      <c r="I94" s="4">
        <v>117.9073</v>
      </c>
      <c r="J94" s="4">
        <v>4.1153</v>
      </c>
      <c r="K94" s="4">
        <v>4.1153</v>
      </c>
      <c r="N94" s="4">
        <v>0.0</v>
      </c>
      <c r="O94" s="0" t="b">
        <v>0</v>
      </c>
      <c r="P94" s="0">
        <v>123</v>
      </c>
    </row>
    <row r="95" ht="17" customHeight="1">
      <c r="A95" s="6">
        <v>120</v>
      </c>
      <c r="B95" s="6" t="inlineStr">
        <is>
          <t>P001</t>
        </is>
      </c>
      <c r="C95" s="6" t="inlineStr">
        <is>
          <t>2026-10-02 12:25:37.655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Success</t>
        </is>
      </c>
      <c r="G95" s="6" t="inlineStr">
        <is>
          <t>Easy</t>
        </is>
      </c>
      <c r="H95" s="4">
        <v>113.024</v>
      </c>
      <c r="I95" s="4">
        <v>118.7272</v>
      </c>
      <c r="J95" s="4">
        <v>5.7032</v>
      </c>
      <c r="K95" s="4">
        <v>5.7032</v>
      </c>
      <c r="N95" s="4">
        <v>1.0</v>
      </c>
      <c r="O95" s="6" t="b">
        <v>1</v>
      </c>
      <c r="P95" s="6">
        <v>125</v>
      </c>
    </row>
    <row r="96" ht="17" customHeight="1">
      <c r="A96" s="0">
        <v>121</v>
      </c>
      <c r="B96" s="0" t="inlineStr">
        <is>
          <t>P001</t>
        </is>
      </c>
      <c r="C96" s="0" t="inlineStr">
        <is>
          <t>2026-10-02 12:25:41.975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H96" s="4">
        <v>119.936</v>
      </c>
      <c r="I96" s="4">
        <v>123.0051</v>
      </c>
      <c r="J96" s="4">
        <v>3.0691</v>
      </c>
      <c r="K96" s="4">
        <v>3.0691</v>
      </c>
      <c r="N96" s="4">
        <v>1.0</v>
      </c>
      <c r="O96" s="0" t="b">
        <v>0</v>
      </c>
      <c r="P96" s="0">
        <v>126</v>
      </c>
    </row>
    <row r="97" ht="17" customHeight="1">
      <c r="A97" s="6">
        <v>122</v>
      </c>
      <c r="B97" s="6" t="inlineStr">
        <is>
          <t>P001</t>
        </is>
      </c>
      <c r="C97" s="6" t="inlineStr">
        <is>
          <t>2026-10-02 12:25:43.197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H97" s="4">
        <v>121.472</v>
      </c>
      <c r="I97" s="4">
        <v>124.2267</v>
      </c>
      <c r="J97" s="4">
        <v>2.7547</v>
      </c>
      <c r="K97" s="4">
        <v>2.7547</v>
      </c>
      <c r="N97" s="4">
        <v>0.0</v>
      </c>
      <c r="O97" s="6" t="b">
        <v>1</v>
      </c>
      <c r="P97" s="6">
        <v>127</v>
      </c>
    </row>
    <row r="98" ht="17" customHeight="1">
      <c r="A98" s="0">
        <v>123</v>
      </c>
      <c r="B98" s="0" t="inlineStr">
        <is>
          <t>P001</t>
        </is>
      </c>
      <c r="C98" s="0" t="inlineStr">
        <is>
          <t>2026-10-02 12:25:46.624</t>
        </is>
      </c>
      <c r="D98" s="0" t="inlineStr">
        <is>
          <t>Danniel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Easy</t>
        </is>
      </c>
      <c r="H98" s="4">
        <v>127.7381</v>
      </c>
      <c r="P98" s="0">
        <v>128</v>
      </c>
    </row>
    <row r="99" ht="17" customHeight="1">
      <c r="A99" s="6">
        <v>125</v>
      </c>
      <c r="B99" s="6" t="inlineStr">
        <is>
          <t>P001</t>
        </is>
      </c>
      <c r="C99" s="6" t="inlineStr">
        <is>
          <t>2026-10-02 12:25:49.710</t>
        </is>
      </c>
      <c r="D99" s="6" t="inlineStr">
        <is>
          <t>Danniel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Easy</t>
        </is>
      </c>
      <c r="H99" s="4">
        <v>130.8235</v>
      </c>
      <c r="P99" s="6">
        <v>130</v>
      </c>
    </row>
    <row r="100" ht="17" customHeight="1">
      <c r="A100" s="0">
        <v>126</v>
      </c>
      <c r="B100" s="0" t="inlineStr">
        <is>
          <t>P001</t>
        </is>
      </c>
      <c r="C100" s="0" t="inlineStr">
        <is>
          <t>2026-10-02 12:25:51.058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Failed</t>
        </is>
      </c>
      <c r="G100" s="0" t="inlineStr">
        <is>
          <t>Easy</t>
        </is>
      </c>
      <c r="H100" s="4">
        <v>132.1709</v>
      </c>
      <c r="P100" s="0">
        <v>131</v>
      </c>
    </row>
    <row r="101" ht="17" customHeight="1">
      <c r="A101" s="6">
        <v>128</v>
      </c>
      <c r="B101" s="6" t="inlineStr">
        <is>
          <t>P001</t>
        </is>
      </c>
      <c r="C101" s="6" t="inlineStr">
        <is>
          <t>2026-10-02 12:25:51.336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H101" s="4">
        <v>131.84</v>
      </c>
      <c r="I101" s="4">
        <v>132.0181</v>
      </c>
      <c r="J101" s="4">
        <v>0.1781</v>
      </c>
      <c r="K101" s="4">
        <v>0.1781</v>
      </c>
      <c r="P101" s="6">
        <v>133</v>
      </c>
    </row>
    <row r="102" ht="17" customHeight="1">
      <c r="A102" s="0">
        <v>129</v>
      </c>
      <c r="B102" s="0" t="inlineStr">
        <is>
          <t>P001</t>
        </is>
      </c>
      <c r="C102" s="0" t="inlineStr">
        <is>
          <t>2026-10-02 12:25:51.475</t>
        </is>
      </c>
      <c r="D102" s="0" t="inlineStr">
        <is>
          <t>Danniel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Easy</t>
        </is>
      </c>
      <c r="H102" s="4">
        <v>132.5879</v>
      </c>
      <c r="P102" s="0">
        <v>134</v>
      </c>
    </row>
    <row r="103" ht="17" customHeight="1">
      <c r="A103" s="6">
        <v>130</v>
      </c>
      <c r="B103" s="6" t="inlineStr">
        <is>
          <t>P001</t>
        </is>
      </c>
      <c r="C103" s="6" t="inlineStr">
        <is>
          <t>2026-10-02 12:25:51.753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Failed</t>
        </is>
      </c>
      <c r="G103" s="6" t="inlineStr">
        <is>
          <t>Easy</t>
        </is>
      </c>
      <c r="H103" s="4">
        <v>132.8655</v>
      </c>
      <c r="P103" s="6">
        <v>135</v>
      </c>
    </row>
    <row r="104" ht="17" customHeight="1">
      <c r="A104" s="0">
        <v>131</v>
      </c>
      <c r="B104" s="0" t="inlineStr">
        <is>
          <t>P001</t>
        </is>
      </c>
      <c r="C104" s="0" t="inlineStr">
        <is>
          <t>2026-10-02 12:25:52.808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Failed</t>
        </is>
      </c>
      <c r="G104" s="0" t="inlineStr">
        <is>
          <t>Easy</t>
        </is>
      </c>
      <c r="H104" s="4">
        <v>133.9214</v>
      </c>
      <c r="P104" s="0">
        <v>136</v>
      </c>
    </row>
    <row r="105" ht="17" customHeight="1">
      <c r="A105" s="6">
        <v>133</v>
      </c>
      <c r="B105" s="6" t="inlineStr">
        <is>
          <t>P001</t>
        </is>
      </c>
      <c r="C105" s="6" t="inlineStr">
        <is>
          <t>2026-10-02 12:25:54.086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Failed</t>
        </is>
      </c>
      <c r="G105" s="6" t="inlineStr">
        <is>
          <t>Easy</t>
        </is>
      </c>
      <c r="H105" s="4">
        <v>135.1991</v>
      </c>
      <c r="P105" s="6">
        <v>138</v>
      </c>
    </row>
    <row r="106" ht="17" customHeight="1">
      <c r="A106" s="0">
        <v>134</v>
      </c>
      <c r="B106" s="0" t="inlineStr">
        <is>
          <t>P001</t>
        </is>
      </c>
      <c r="C106" s="0" t="inlineStr">
        <is>
          <t>2026-10-02 12:25:54.223</t>
        </is>
      </c>
      <c r="D106" s="0" t="inlineStr">
        <is>
          <t>Danniel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Easy</t>
        </is>
      </c>
      <c r="H106" s="4">
        <v>135.3376</v>
      </c>
      <c r="P106" s="0">
        <v>139</v>
      </c>
    </row>
    <row r="107" ht="17" customHeight="1">
      <c r="A107" s="6">
        <v>135</v>
      </c>
      <c r="B107" s="6" t="inlineStr">
        <is>
          <t>P001</t>
        </is>
      </c>
      <c r="C107" s="6" t="inlineStr">
        <is>
          <t>2026-10-02 12:25:54.530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H107" s="4">
        <v>134.528</v>
      </c>
      <c r="I107" s="4">
        <v>134.6711</v>
      </c>
      <c r="J107" s="4">
        <v>0.1431</v>
      </c>
      <c r="K107" s="4">
        <v>0.1431</v>
      </c>
      <c r="P107" s="6">
        <v>140</v>
      </c>
    </row>
    <row r="108" ht="17" customHeight="1">
      <c r="A108" s="0">
        <v>136</v>
      </c>
      <c r="B108" s="0" t="inlineStr">
        <is>
          <t>P001</t>
        </is>
      </c>
      <c r="C108" s="0" t="inlineStr">
        <is>
          <t>2026-10-02 12:25:55.073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Failed</t>
        </is>
      </c>
      <c r="G108" s="0" t="inlineStr">
        <is>
          <t>Easy</t>
        </is>
      </c>
      <c r="H108" s="4">
        <v>136.1853</v>
      </c>
      <c r="P108" s="0">
        <v>141</v>
      </c>
    </row>
    <row r="109" ht="17" customHeight="1">
      <c r="A109" s="6">
        <v>137</v>
      </c>
      <c r="B109" s="6" t="inlineStr">
        <is>
          <t>P001</t>
        </is>
      </c>
      <c r="C109" s="6" t="inlineStr">
        <is>
          <t>2026-10-02 12:25:55.905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H109" s="4">
        <v>137.0184</v>
      </c>
      <c r="P109" s="6">
        <v>142</v>
      </c>
    </row>
    <row r="110" ht="17" customHeight="1">
      <c r="A110" s="0">
        <v>138</v>
      </c>
      <c r="B110" s="0" t="inlineStr">
        <is>
          <t>P001</t>
        </is>
      </c>
      <c r="C110" s="0" t="inlineStr">
        <is>
          <t>2026-10-02 12:25:57.030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Failed</t>
        </is>
      </c>
      <c r="G110" s="0" t="inlineStr">
        <is>
          <t>Easy</t>
        </is>
      </c>
      <c r="H110" s="4">
        <v>138.1435</v>
      </c>
      <c r="P110" s="0">
        <v>143</v>
      </c>
    </row>
    <row r="111" ht="17" customHeight="1">
      <c r="A111" s="6">
        <v>139</v>
      </c>
      <c r="B111" s="6" t="inlineStr">
        <is>
          <t>P001</t>
        </is>
      </c>
      <c r="C111" s="6" t="inlineStr">
        <is>
          <t>2026-10-02 12:25:57.197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H111" s="4">
        <v>137.6</v>
      </c>
      <c r="I111" s="4">
        <v>137.4627</v>
      </c>
      <c r="J111" s="4">
        <v>-0.1373</v>
      </c>
      <c r="K111" s="4">
        <v>0.1373</v>
      </c>
      <c r="P111" s="6">
        <v>144</v>
      </c>
    </row>
    <row r="112" ht="17" customHeight="1">
      <c r="A112" s="0">
        <v>140</v>
      </c>
      <c r="B112" s="0" t="inlineStr">
        <is>
          <t>P001</t>
        </is>
      </c>
      <c r="C112" s="0" t="inlineStr">
        <is>
          <t>2026-10-02 12:25:57.405</t>
        </is>
      </c>
      <c r="D112" s="0" t="inlineStr">
        <is>
          <t>Danniel</t>
        </is>
      </c>
      <c r="E112" s="0" t="inlineStr">
        <is>
          <t>PlayerHit</t>
        </is>
      </c>
      <c r="F112" s="0" t="inlineStr">
        <is>
          <t>Failed</t>
        </is>
      </c>
      <c r="G112" s="0" t="inlineStr">
        <is>
          <t>Easy</t>
        </is>
      </c>
      <c r="H112" s="4">
        <v>138.5186</v>
      </c>
      <c r="P112" s="0">
        <v>145</v>
      </c>
    </row>
    <row r="113" ht="17" customHeight="1">
      <c r="A113" s="6">
        <v>141</v>
      </c>
      <c r="B113" s="6" t="inlineStr">
        <is>
          <t>P001</t>
        </is>
      </c>
      <c r="C113" s="6" t="inlineStr">
        <is>
          <t>2026-10-02 12:25:58.072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Failed</t>
        </is>
      </c>
      <c r="G113" s="6" t="inlineStr">
        <is>
          <t>Easy</t>
        </is>
      </c>
      <c r="H113" s="4">
        <v>139.185</v>
      </c>
      <c r="P113" s="6">
        <v>146</v>
      </c>
    </row>
    <row r="114" ht="17" customHeight="1">
      <c r="A114" s="0">
        <v>142</v>
      </c>
      <c r="B114" s="0" t="inlineStr">
        <is>
          <t>P001</t>
        </is>
      </c>
      <c r="C114" s="0" t="inlineStr">
        <is>
          <t>2026-10-02 12:25:59.266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H114" s="4">
        <v>139.52</v>
      </c>
      <c r="I114" s="4">
        <v>139.4072</v>
      </c>
      <c r="J114" s="4">
        <v>-0.1128</v>
      </c>
      <c r="K114" s="4">
        <v>0.1128</v>
      </c>
      <c r="P114" s="0">
        <v>147</v>
      </c>
    </row>
    <row r="115" ht="17" customHeight="1">
      <c r="A115" s="6">
        <v>143</v>
      </c>
      <c r="B115" s="6" t="inlineStr">
        <is>
          <t>P001</t>
        </is>
      </c>
      <c r="C115" s="6" t="inlineStr">
        <is>
          <t>2026-10-02 12:25:59.349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H115" s="4">
        <v>140.463</v>
      </c>
      <c r="P115" s="6">
        <v>148</v>
      </c>
    </row>
    <row r="116" ht="17" customHeight="1">
      <c r="A116" s="0">
        <v>144</v>
      </c>
      <c r="B116" s="0" t="inlineStr">
        <is>
          <t>P001</t>
        </is>
      </c>
      <c r="C116" s="0" t="inlineStr">
        <is>
          <t>2026-10-02 12:26:00.447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Failed</t>
        </is>
      </c>
      <c r="G116" s="0" t="inlineStr">
        <is>
          <t>Easy</t>
        </is>
      </c>
      <c r="H116" s="4">
        <v>141.5604</v>
      </c>
      <c r="P116" s="0">
        <v>149</v>
      </c>
    </row>
    <row r="117" ht="17" customHeight="1">
      <c r="A117" s="6">
        <v>145</v>
      </c>
      <c r="B117" s="6" t="inlineStr">
        <is>
          <t>P001</t>
        </is>
      </c>
      <c r="C117" s="6" t="inlineStr">
        <is>
          <t>2026-10-02 12:26:01.447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H117" s="4">
        <v>142.5602</v>
      </c>
      <c r="P117" s="6">
        <v>150</v>
      </c>
    </row>
    <row r="118" ht="17" customHeight="1">
      <c r="A118" s="0">
        <v>146</v>
      </c>
      <c r="B118" s="0" t="inlineStr">
        <is>
          <t>P001</t>
        </is>
      </c>
      <c r="C118" s="0" t="inlineStr">
        <is>
          <t>2026-10-02 12:26:02.669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H118" s="4">
        <v>143.7829</v>
      </c>
      <c r="P118" s="0">
        <v>151</v>
      </c>
    </row>
    <row r="119" ht="17" customHeight="1">
      <c r="A119" s="6">
        <v>147</v>
      </c>
      <c r="B119" s="6" t="inlineStr">
        <is>
          <t>P001</t>
        </is>
      </c>
      <c r="C119" s="6" t="inlineStr">
        <is>
          <t>2026-10-02 12:26:02.988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142.976</v>
      </c>
      <c r="I119" s="4">
        <v>143.1012</v>
      </c>
      <c r="J119" s="4">
        <v>0.1252</v>
      </c>
      <c r="K119" s="4">
        <v>0.1252</v>
      </c>
      <c r="P119" s="6">
        <v>152</v>
      </c>
    </row>
    <row r="120" ht="17" customHeight="1">
      <c r="A120" s="0">
        <v>148</v>
      </c>
      <c r="B120" s="0" t="inlineStr">
        <is>
          <t>P001</t>
        </is>
      </c>
      <c r="C120" s="0" t="inlineStr">
        <is>
          <t>2026-10-02 12:26:03.987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H120" s="4">
        <v>145.1012</v>
      </c>
      <c r="P120" s="0">
        <v>153</v>
      </c>
    </row>
    <row r="121" ht="17" customHeight="1">
      <c r="A121" s="6">
        <v>150</v>
      </c>
      <c r="B121" s="6" t="inlineStr">
        <is>
          <t>P001</t>
        </is>
      </c>
      <c r="C121" s="6" t="inlineStr">
        <is>
          <t>2026-10-02 12:26:11.806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Missed</t>
        </is>
      </c>
      <c r="G121" s="6" t="inlineStr">
        <is>
          <t>Easy</t>
        </is>
      </c>
      <c r="H121" s="4">
        <v>152.9193</v>
      </c>
      <c r="P121" s="6">
        <v>155</v>
      </c>
    </row>
    <row r="122" ht="17" customHeight="1">
      <c r="A122" s="0">
        <v>151</v>
      </c>
      <c r="B122" s="0" t="inlineStr">
        <is>
          <t>P001</t>
        </is>
      </c>
      <c r="C122" s="0" t="inlineStr">
        <is>
          <t>2026-10-02 12:26:11.806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Missed</t>
        </is>
      </c>
      <c r="G122" s="0" t="inlineStr">
        <is>
          <t>Easy</t>
        </is>
      </c>
      <c r="H122" s="4">
        <v>152.9193</v>
      </c>
      <c r="P122" s="0">
        <v>156</v>
      </c>
    </row>
    <row r="123" ht="17" customHeight="1">
      <c r="A123" s="6">
        <v>152</v>
      </c>
      <c r="B123" s="6" t="inlineStr">
        <is>
          <t>P001</t>
        </is>
      </c>
      <c r="C123" s="6" t="inlineStr">
        <is>
          <t>2026-10-02 12:26:11.806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Missed</t>
        </is>
      </c>
      <c r="G123" s="6" t="inlineStr">
        <is>
          <t>Easy</t>
        </is>
      </c>
      <c r="H123" s="4">
        <v>152.9193</v>
      </c>
      <c r="P123" s="6">
        <v>157</v>
      </c>
    </row>
    <row r="124" ht="17" customHeight="1">
      <c r="A124" s="0">
        <v>153</v>
      </c>
      <c r="B124" s="0" t="inlineStr">
        <is>
          <t>P001</t>
        </is>
      </c>
      <c r="C124" s="0" t="inlineStr">
        <is>
          <t>2026-10-02 12:26:12.445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153.344</v>
      </c>
      <c r="I124" s="4">
        <v>153.2105</v>
      </c>
      <c r="J124" s="4">
        <v>-0.1335</v>
      </c>
      <c r="K124" s="4">
        <v>0.1335</v>
      </c>
      <c r="P124" s="0">
        <v>158</v>
      </c>
    </row>
    <row r="125" ht="17" customHeight="1">
      <c r="A125" s="6">
        <v>155</v>
      </c>
      <c r="B125" s="6" t="inlineStr">
        <is>
          <t>P001</t>
        </is>
      </c>
      <c r="C125" s="6" t="inlineStr">
        <is>
          <t>2026-10-02 12:26:12.596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H125" s="4">
        <v>153.7106</v>
      </c>
      <c r="P125" s="6">
        <v>160</v>
      </c>
    </row>
    <row r="126" ht="17" customHeight="1">
      <c r="A126" s="0">
        <v>157</v>
      </c>
      <c r="B126" s="0" t="inlineStr">
        <is>
          <t>P001</t>
        </is>
      </c>
      <c r="C126" s="0" t="inlineStr">
        <is>
          <t>2026-10-02 12:26:24.433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Success</t>
        </is>
      </c>
      <c r="G126" s="0" t="inlineStr">
        <is>
          <t>Easy</t>
        </is>
      </c>
      <c r="H126" s="4">
        <v>165.4073</v>
      </c>
      <c r="I126" s="4">
        <v>165.5466</v>
      </c>
      <c r="J126" s="4">
        <v>0.1392</v>
      </c>
      <c r="K126" s="4">
        <v>0.1392</v>
      </c>
      <c r="N126" s="4">
        <v>1.0</v>
      </c>
      <c r="O126" s="0" t="b">
        <v>1</v>
      </c>
      <c r="P126" s="0">
        <v>162</v>
      </c>
    </row>
    <row r="127" ht="17" customHeight="1">
      <c r="A127" s="6">
        <v>159</v>
      </c>
      <c r="B127" s="6" t="inlineStr">
        <is>
          <t>P001</t>
        </is>
      </c>
      <c r="C127" s="6" t="inlineStr">
        <is>
          <t>2026-10-02 12:26:27.016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Success</t>
        </is>
      </c>
      <c r="G127" s="6" t="inlineStr">
        <is>
          <t>Easy</t>
        </is>
      </c>
      <c r="H127" s="4">
        <v>167.7061</v>
      </c>
      <c r="I127" s="4">
        <v>168.1304</v>
      </c>
      <c r="J127" s="4">
        <v>0.4243</v>
      </c>
      <c r="K127" s="4">
        <v>0.4243</v>
      </c>
      <c r="N127" s="4">
        <v>1.0</v>
      </c>
      <c r="O127" s="6" t="b">
        <v>1</v>
      </c>
      <c r="P127" s="6">
        <v>164</v>
      </c>
    </row>
    <row r="128" ht="17" customHeight="1">
      <c r="A128" s="0">
        <v>160</v>
      </c>
      <c r="B128" s="0" t="inlineStr">
        <is>
          <t>P001</t>
        </is>
      </c>
      <c r="C128" s="0" t="inlineStr">
        <is>
          <t>2026-10-02 12:26:29.170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H128" s="4">
        <v>170.0049</v>
      </c>
      <c r="I128" s="4">
        <v>170.2831</v>
      </c>
      <c r="J128" s="4">
        <v>0.2782</v>
      </c>
      <c r="K128" s="4">
        <v>0.2782</v>
      </c>
      <c r="N128" s="4">
        <v>0.0</v>
      </c>
      <c r="O128" s="0" t="b">
        <v>1</v>
      </c>
      <c r="P128" s="0">
        <v>165</v>
      </c>
    </row>
    <row r="129" ht="17" customHeight="1">
      <c r="A129" s="6">
        <v>161</v>
      </c>
      <c r="B129" s="6" t="inlineStr">
        <is>
          <t>P001</t>
        </is>
      </c>
      <c r="C129" s="6" t="inlineStr">
        <is>
          <t>2026-10-02 12:26:30.892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H129" s="4">
        <v>172.3037</v>
      </c>
      <c r="I129" s="4">
        <v>172.0053</v>
      </c>
      <c r="J129" s="4">
        <v>-0.2984</v>
      </c>
      <c r="K129" s="4">
        <v>0.2984</v>
      </c>
      <c r="N129" s="4">
        <v>1.0</v>
      </c>
      <c r="O129" s="6" t="b">
        <v>1</v>
      </c>
      <c r="P129" s="6">
        <v>166</v>
      </c>
    </row>
    <row r="130" ht="17" customHeight="1">
      <c r="A130" s="0">
        <v>162</v>
      </c>
      <c r="B130" s="0" t="inlineStr">
        <is>
          <t>P001</t>
        </is>
      </c>
      <c r="C130" s="0" t="inlineStr">
        <is>
          <t>2026-10-02 12:26:33.474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Success</t>
        </is>
      </c>
      <c r="G130" s="0" t="inlineStr">
        <is>
          <t>Easy</t>
        </is>
      </c>
      <c r="H130" s="4">
        <v>174.6024</v>
      </c>
      <c r="I130" s="4">
        <v>174.5874</v>
      </c>
      <c r="J130" s="4">
        <v>-0.015</v>
      </c>
      <c r="K130" s="4">
        <v>0.015</v>
      </c>
      <c r="N130" s="4">
        <v>1.0</v>
      </c>
      <c r="O130" s="0" t="b">
        <v>1</v>
      </c>
      <c r="P130" s="0">
        <v>167</v>
      </c>
    </row>
    <row r="131" ht="17" customHeight="1">
      <c r="A131" s="6">
        <v>163</v>
      </c>
      <c r="B131" s="6" t="inlineStr">
        <is>
          <t>P001</t>
        </is>
      </c>
      <c r="C131" s="6" t="inlineStr">
        <is>
          <t>2026-10-02 12:26:35.558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Success</t>
        </is>
      </c>
      <c r="G131" s="6" t="inlineStr">
        <is>
          <t>Easy</t>
        </is>
      </c>
      <c r="H131" s="4">
        <v>176.9012</v>
      </c>
      <c r="I131" s="4">
        <v>176.6712</v>
      </c>
      <c r="J131" s="4">
        <v>-0.23</v>
      </c>
      <c r="K131" s="4">
        <v>0.23</v>
      </c>
      <c r="N131" s="4">
        <v>1.0</v>
      </c>
      <c r="O131" s="6" t="b">
        <v>1</v>
      </c>
      <c r="P131" s="6">
        <v>168</v>
      </c>
    </row>
    <row r="132" ht="17" customHeight="1">
      <c r="A132" s="0">
        <v>164</v>
      </c>
      <c r="B132" s="0" t="inlineStr">
        <is>
          <t>P001</t>
        </is>
      </c>
      <c r="C132" s="0" t="inlineStr">
        <is>
          <t>2026-10-02 12:26:38.113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Success</t>
        </is>
      </c>
      <c r="G132" s="0" t="inlineStr">
        <is>
          <t>Easy</t>
        </is>
      </c>
      <c r="H132" s="4">
        <v>179.2</v>
      </c>
      <c r="I132" s="4">
        <v>179.2263</v>
      </c>
      <c r="J132" s="4">
        <v>0.0263</v>
      </c>
      <c r="K132" s="4">
        <v>0.0263</v>
      </c>
      <c r="N132" s="4">
        <v>1.0</v>
      </c>
      <c r="O132" s="0" t="b">
        <v>1</v>
      </c>
      <c r="P132" s="0">
        <v>169</v>
      </c>
    </row>
    <row r="133" ht="17" customHeight="1">
      <c r="A133" s="6">
        <v>165</v>
      </c>
      <c r="B133" s="6" t="inlineStr">
        <is>
          <t>P001</t>
        </is>
      </c>
      <c r="C133" s="6" t="inlineStr">
        <is>
          <t>2026-10-02 12:26:40.307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Easy</t>
        </is>
      </c>
      <c r="H133" s="4">
        <v>181.4988</v>
      </c>
      <c r="I133" s="4">
        <v>181.4198</v>
      </c>
      <c r="J133" s="4">
        <v>-0.079</v>
      </c>
      <c r="K133" s="4">
        <v>0.079</v>
      </c>
      <c r="N133" s="4">
        <v>0.0</v>
      </c>
      <c r="O133" s="6" t="b">
        <v>0</v>
      </c>
      <c r="P133" s="6">
        <v>170</v>
      </c>
    </row>
  </sheetData>
  <autoFilter ref="A1:P13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12:23:43.158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16</v>
      </c>
    </row>
    <row r="3" ht="17" customHeight="1">
      <c r="A3" s="6">
        <v>21</v>
      </c>
      <c r="B3" s="6" t="inlineStr">
        <is>
          <t>2026-10-02 12:23:49.062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26</v>
      </c>
    </row>
    <row r="4" ht="17" customHeight="1">
      <c r="A4" s="0">
        <v>28</v>
      </c>
      <c r="B4" s="0" t="inlineStr">
        <is>
          <t>2026-10-02 12:23:51.616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33</v>
      </c>
    </row>
    <row r="5" ht="17" customHeight="1">
      <c r="A5" s="6">
        <v>49</v>
      </c>
      <c r="B5" s="6" t="inlineStr">
        <is>
          <t>2026-10-02 12:24:07.410</t>
        </is>
      </c>
      <c r="C5" s="6" t="inlineStr">
        <is>
          <t>Alex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54</v>
      </c>
    </row>
    <row r="6" ht="17" customHeight="1">
      <c r="A6" s="0">
        <v>63</v>
      </c>
      <c r="B6" s="0" t="inlineStr">
        <is>
          <t>2026-10-02 12:24:26.629</t>
        </is>
      </c>
      <c r="C6" s="0" t="inlineStr">
        <is>
          <t>Joaquin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68</v>
      </c>
    </row>
    <row r="7" ht="17" customHeight="1">
      <c r="A7" s="6">
        <v>72</v>
      </c>
      <c r="B7" s="6" t="inlineStr">
        <is>
          <t>2026-10-02 12:24:32.225</t>
        </is>
      </c>
      <c r="C7" s="6" t="inlineStr">
        <is>
          <t>Joaquin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0.5</v>
      </c>
      <c r="I7" s="6">
        <v>77</v>
      </c>
    </row>
    <row r="8" ht="17" customHeight="1">
      <c r="A8" s="0">
        <v>90</v>
      </c>
      <c r="B8" s="0" t="inlineStr">
        <is>
          <t>2026-10-02 12:24:52.393</t>
        </is>
      </c>
      <c r="C8" s="0" t="inlineStr">
        <is>
          <t>Shipi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0.25</v>
      </c>
      <c r="I8" s="0">
        <v>95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12:23:38.702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12:23:40.586</t>
        </is>
      </c>
      <c r="C3" s="6" t="inlineStr">
        <is>
          <t>Engaged</t>
        </is>
      </c>
      <c r="D3" s="6">
        <v>8</v>
      </c>
    </row>
    <row r="4" ht="17" customHeight="1">
      <c r="A4" s="0">
        <v>10</v>
      </c>
      <c r="B4" s="0" t="inlineStr">
        <is>
          <t>2026-10-02 12:23:43.157</t>
        </is>
      </c>
      <c r="C4" s="0" t="inlineStr">
        <is>
          <t>Overloaded</t>
        </is>
      </c>
      <c r="D4" s="0">
        <v>15</v>
      </c>
    </row>
    <row r="5" ht="17" customHeight="1">
      <c r="A5" s="6">
        <v>12</v>
      </c>
      <c r="B5" s="6" t="inlineStr">
        <is>
          <t>2026-10-02 12:23:43.158</t>
        </is>
      </c>
      <c r="C5" s="6" t="inlineStr">
        <is>
          <t>Engaged</t>
        </is>
      </c>
      <c r="D5" s="6">
        <v>17</v>
      </c>
    </row>
    <row r="6" ht="17" customHeight="1">
      <c r="A6" s="0">
        <v>27</v>
      </c>
      <c r="B6" s="0" t="inlineStr">
        <is>
          <t>2026-10-02 12:23:51.616</t>
        </is>
      </c>
      <c r="C6" s="0" t="inlineStr">
        <is>
          <t>Overloaded</t>
        </is>
      </c>
      <c r="D6" s="0">
        <v>32</v>
      </c>
    </row>
    <row r="7" ht="17" customHeight="1">
      <c r="A7" s="6">
        <v>29</v>
      </c>
      <c r="B7" s="6" t="inlineStr">
        <is>
          <t>2026-10-02 12:23:51.616</t>
        </is>
      </c>
      <c r="C7" s="6" t="inlineStr">
        <is>
          <t>Engaged</t>
        </is>
      </c>
      <c r="D7" s="6">
        <v>34</v>
      </c>
    </row>
    <row r="8" ht="17" customHeight="1">
      <c r="A8" s="0">
        <v>71</v>
      </c>
      <c r="B8" s="0" t="inlineStr">
        <is>
          <t>2026-10-02 12:24:32.225</t>
        </is>
      </c>
      <c r="C8" s="0" t="inlineStr">
        <is>
          <t>Overloaded</t>
        </is>
      </c>
      <c r="D8" s="0">
        <v>76</v>
      </c>
    </row>
    <row r="9" ht="17" customHeight="1">
      <c r="A9" s="6">
        <v>73</v>
      </c>
      <c r="B9" s="6" t="inlineStr">
        <is>
          <t>2026-10-02 12:24:32.239</t>
        </is>
      </c>
      <c r="C9" s="6" t="inlineStr">
        <is>
          <t>Engaged</t>
        </is>
      </c>
      <c r="D9" s="6">
        <v>78</v>
      </c>
    </row>
    <row r="10" ht="17" customHeight="1">
      <c r="A10" s="0">
        <v>81</v>
      </c>
      <c r="B10" s="0" t="inlineStr">
        <is>
          <t>2026-10-02 12:24:44.253</t>
        </is>
      </c>
      <c r="C10" s="0" t="inlineStr">
        <is>
          <t>Idle</t>
        </is>
      </c>
      <c r="D10" s="0">
        <v>86</v>
      </c>
    </row>
    <row r="11" ht="17" customHeight="1">
      <c r="A11" s="6">
        <v>84</v>
      </c>
      <c r="B11" s="6" t="inlineStr">
        <is>
          <t>2026-10-02 12:24:46.295</t>
        </is>
      </c>
      <c r="C11" s="6" t="inlineStr">
        <is>
          <t>Engaged</t>
        </is>
      </c>
      <c r="D11" s="6">
        <v>89</v>
      </c>
    </row>
    <row r="12" ht="17" customHeight="1">
      <c r="A12" s="0">
        <v>89</v>
      </c>
      <c r="B12" s="0" t="inlineStr">
        <is>
          <t>2026-10-02 12:24:52.391</t>
        </is>
      </c>
      <c r="C12" s="0" t="inlineStr">
        <is>
          <t>Overloaded</t>
        </is>
      </c>
      <c r="D12" s="0">
        <v>94</v>
      </c>
    </row>
    <row r="13" ht="17" customHeight="1">
      <c r="A13" s="6">
        <v>91</v>
      </c>
      <c r="B13" s="6" t="inlineStr">
        <is>
          <t>2026-10-02 12:24:52.394</t>
        </is>
      </c>
      <c r="C13" s="6" t="inlineStr">
        <is>
          <t>Engaged</t>
        </is>
      </c>
      <c r="D13" s="6">
        <v>96</v>
      </c>
    </row>
    <row r="14" ht="17" customHeight="1">
      <c r="A14" s="0">
        <v>94</v>
      </c>
      <c r="B14" s="0" t="inlineStr">
        <is>
          <t>2026-10-02 12:24:57.392</t>
        </is>
      </c>
      <c r="C14" s="0" t="inlineStr">
        <is>
          <t>Idle</t>
        </is>
      </c>
      <c r="D14" s="0">
        <v>99</v>
      </c>
    </row>
    <row r="15" ht="17" customHeight="1">
      <c r="A15" s="6">
        <v>96</v>
      </c>
      <c r="B15" s="6" t="inlineStr">
        <is>
          <t>2026-10-02 12:24:58.155</t>
        </is>
      </c>
      <c r="C15" s="6" t="inlineStr">
        <is>
          <t>Engaged</t>
        </is>
      </c>
      <c r="D15" s="6">
        <v>101</v>
      </c>
    </row>
    <row r="16" ht="17" customHeight="1">
      <c r="A16" s="0">
        <v>101</v>
      </c>
      <c r="B16" s="0" t="inlineStr">
        <is>
          <t>2026-10-02 12:25:06.808</t>
        </is>
      </c>
      <c r="C16" s="0" t="inlineStr">
        <is>
          <t>Overloaded</t>
        </is>
      </c>
      <c r="D16" s="0">
        <v>106</v>
      </c>
    </row>
    <row r="17" ht="17" customHeight="1">
      <c r="A17" s="6">
        <v>106</v>
      </c>
      <c r="B17" s="6" t="inlineStr">
        <is>
          <t>2026-10-02 12:25:15.475</t>
        </is>
      </c>
      <c r="C17" s="6" t="inlineStr">
        <is>
          <t>Engaged</t>
        </is>
      </c>
      <c r="D17" s="6">
        <v>111</v>
      </c>
    </row>
    <row r="18" ht="17" customHeight="1">
      <c r="A18" s="0">
        <v>111</v>
      </c>
      <c r="B18" s="0" t="inlineStr">
        <is>
          <t>2026-10-02 12:25:21.114</t>
        </is>
      </c>
      <c r="C18" s="0" t="inlineStr">
        <is>
          <t>Overloaded</t>
        </is>
      </c>
      <c r="D18" s="0">
        <v>116</v>
      </c>
    </row>
    <row r="19" ht="17" customHeight="1">
      <c r="A19" s="6">
        <v>117</v>
      </c>
      <c r="B19" s="6" t="inlineStr">
        <is>
          <t>2026-10-02 12:25:35.711</t>
        </is>
      </c>
      <c r="C19" s="6" t="inlineStr">
        <is>
          <t>Idle</t>
        </is>
      </c>
      <c r="D19" s="6">
        <v>122</v>
      </c>
    </row>
    <row r="20" ht="17" customHeight="1">
      <c r="A20" s="0">
        <v>119</v>
      </c>
      <c r="B20" s="0" t="inlineStr">
        <is>
          <t>2026-10-02 12:25:36.850</t>
        </is>
      </c>
      <c r="C20" s="0" t="inlineStr">
        <is>
          <t>Engaged</t>
        </is>
      </c>
      <c r="D20" s="0">
        <v>124</v>
      </c>
    </row>
    <row r="21" ht="17" customHeight="1">
      <c r="A21" s="6">
        <v>124</v>
      </c>
      <c r="B21" s="6" t="inlineStr">
        <is>
          <t>2026-10-02 12:25:46.626</t>
        </is>
      </c>
      <c r="C21" s="6" t="inlineStr">
        <is>
          <t>Idle</t>
        </is>
      </c>
      <c r="D21" s="6">
        <v>129</v>
      </c>
    </row>
    <row r="22" ht="17" customHeight="1">
      <c r="A22" s="0">
        <v>127</v>
      </c>
      <c r="B22" s="0" t="inlineStr">
        <is>
          <t>2026-10-02 12:25:51.058</t>
        </is>
      </c>
      <c r="C22" s="0" t="inlineStr">
        <is>
          <t>Engaged</t>
        </is>
      </c>
      <c r="D22" s="0">
        <v>132</v>
      </c>
    </row>
    <row r="23" ht="17" customHeight="1">
      <c r="A23" s="6">
        <v>132</v>
      </c>
      <c r="B23" s="6" t="inlineStr">
        <is>
          <t>2026-10-02 12:25:52.809</t>
        </is>
      </c>
      <c r="C23" s="6" t="inlineStr">
        <is>
          <t>Overloaded</t>
        </is>
      </c>
      <c r="D23" s="6">
        <v>137</v>
      </c>
    </row>
    <row r="24" ht="17" customHeight="1">
      <c r="A24" s="0">
        <v>149</v>
      </c>
      <c r="B24" s="0" t="inlineStr">
        <is>
          <t>2026-10-02 12:26:08.987</t>
        </is>
      </c>
      <c r="C24" s="0" t="inlineStr">
        <is>
          <t>Idle</t>
        </is>
      </c>
      <c r="D24" s="0">
        <v>154</v>
      </c>
    </row>
    <row r="25" ht="17" customHeight="1">
      <c r="A25" s="6">
        <v>154</v>
      </c>
      <c r="B25" s="6" t="inlineStr">
        <is>
          <t>2026-10-02 12:26:12.445</t>
        </is>
      </c>
      <c r="C25" s="6" t="inlineStr">
        <is>
          <t>Engaged</t>
        </is>
      </c>
      <c r="D25" s="6">
        <v>159</v>
      </c>
    </row>
    <row r="26" ht="17" customHeight="1">
      <c r="A26" s="0">
        <v>156</v>
      </c>
      <c r="B26" s="0" t="inlineStr">
        <is>
          <t>2026-10-02 12:26:17.585</t>
        </is>
      </c>
      <c r="C26" s="0" t="inlineStr">
        <is>
          <t>Idle</t>
        </is>
      </c>
      <c r="D26" s="0">
        <v>161</v>
      </c>
    </row>
    <row r="27" ht="17" customHeight="1">
      <c r="A27" s="6">
        <v>158</v>
      </c>
      <c r="B27" s="6" t="inlineStr">
        <is>
          <t>2026-10-02 12:26:24.434</t>
        </is>
      </c>
      <c r="C27" s="6" t="inlineStr">
        <is>
          <t>Engaged</t>
        </is>
      </c>
      <c r="D27" s="6">
        <v>163</v>
      </c>
    </row>
    <row r="28" ht="17" customHeight="1">
      <c r="A28" s="0">
        <v>166</v>
      </c>
      <c r="B28" s="0" t="inlineStr">
        <is>
          <t>2026-10-02 12:26:45.306</t>
        </is>
      </c>
      <c r="C28" s="0" t="inlineStr">
        <is>
          <t>Idle</t>
        </is>
      </c>
      <c r="D28" s="0">
        <v>171</v>
      </c>
    </row>
  </sheetData>
  <autoFilter ref="A1:D28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6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12:23:38.702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12:23:38.702 | PlayerState: Idle</t>
        </is>
      </c>
    </row>
    <row r="3" ht="17" customHeight="1">
      <c r="A3" s="6">
        <v>2</v>
      </c>
      <c r="B3" s="6" t="inlineStr">
        <is>
          <t>2026-10-02 12:23:40.586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12:23:40.586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12:23:40.586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12:23:40.586 | PlayerState: Engaged</t>
        </is>
      </c>
    </row>
    <row r="5" ht="17" customHeight="1">
      <c r="A5" s="6">
        <v>4</v>
      </c>
      <c r="B5" s="6" t="inlineStr">
        <is>
          <t>2026-10-02 12:23:41.308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12:23:41.308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12:23:41.350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Failed</t>
        </is>
      </c>
      <c r="G6" s="0" t="inlineStr">
        <is>
          <t>Normal</t>
        </is>
      </c>
      <c r="M6" s="0">
        <v>10</v>
      </c>
      <c r="N6" s="0" t="inlineStr">
        <is>
          <t>2026-10-02 12:23:41.350 | Minigame: Alex | Type: HammerTouch | Outcome: Failed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12:23:42.129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M7" s="6">
        <v>11</v>
      </c>
      <c r="N7" s="6" t="inlineStr">
        <is>
          <t>2026-10-02 12:23:42.129 | Minigame: Alex | Type: HammerHit | Outcome: Success | Difficulty: Normal | ExpectedTime: 3.2000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12:23:42.392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12:23:42.392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12:23:43.157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12:23:43.157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12:23:43.157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12:23:43.157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12:23:43.157</t>
        </is>
      </c>
      <c r="C11" s="6" t="inlineStr">
        <is>
          <t>PlayerState</t>
        </is>
      </c>
      <c r="H11" s="6" t="inlineStr">
        <is>
          <t>Overloaded</t>
        </is>
      </c>
      <c r="M11" s="6">
        <v>15</v>
      </c>
      <c r="N11" s="6" t="inlineStr">
        <is>
          <t>2026-10-02 12:23:43.157 | PlayerState: Overloaded</t>
        </is>
      </c>
    </row>
    <row r="12" ht="17" customHeight="1">
      <c r="A12" s="0">
        <v>11</v>
      </c>
      <c r="B12" s="0" t="inlineStr">
        <is>
          <t>2026-10-02 12:23:43.158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Easy</t>
        </is>
      </c>
      <c r="J12" s="0" t="inlineStr">
        <is>
          <t>PlayerState: Overloaded</t>
        </is>
      </c>
      <c r="M12" s="0">
        <v>16</v>
      </c>
      <c r="N12" s="0" t="inlineStr">
        <is>
          <t>2026-10-02 12:23:43.158 | DifficultyChanged: Normal -&gt; Easy | Reason: PlayerState: Overloaded | Minigame: Alex | RecentSuccessRate: 0.50</t>
        </is>
      </c>
    </row>
    <row r="13" ht="17" customHeight="1">
      <c r="A13" s="6">
        <v>12</v>
      </c>
      <c r="B13" s="6" t="inlineStr">
        <is>
          <t>2026-10-02 12:23:43.158</t>
        </is>
      </c>
      <c r="C13" s="6" t="inlineStr">
        <is>
          <t>PlayerState</t>
        </is>
      </c>
      <c r="H13" s="6" t="inlineStr">
        <is>
          <t>Engaged</t>
        </is>
      </c>
      <c r="M13" s="6">
        <v>17</v>
      </c>
      <c r="N13" s="6" t="inlineStr">
        <is>
          <t>2026-10-02 12:23:43.158 | PlayerState: Engaged</t>
        </is>
      </c>
    </row>
    <row r="14" ht="17" customHeight="1">
      <c r="A14" s="0">
        <v>13</v>
      </c>
      <c r="B14" s="0" t="inlineStr">
        <is>
          <t>2026-10-02 12:23:43.615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K14" s="4">
        <v>0.0067</v>
      </c>
      <c r="M14" s="0">
        <v>18</v>
      </c>
      <c r="N14" s="0" t="inlineStr">
        <is>
          <t>2026-10-02 12:23:43.615 | Minigame: Alex | Type: HammerHit | Outcome: Success | Difficulty: Easy | ExpectedTime: 4.7360 | ActualTime: 4.7427 | TimingOffset: 0.0067 | TimingError: 0.0067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12:23:44.393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Easy</t>
        </is>
      </c>
      <c r="M15" s="6">
        <v>19</v>
      </c>
      <c r="N15" s="6" t="inlineStr">
        <is>
          <t>2026-10-02 12:23:44.393 | Minigame: Alex | Type: HammerTouch | Outcome: Success | Difficulty: Easy | ExpectedTime: 5.5040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12:23:44.407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K16" s="4">
        <v>0.0164</v>
      </c>
      <c r="M16" s="0">
        <v>20</v>
      </c>
      <c r="N16" s="0" t="inlineStr">
        <is>
          <t>2026-10-02 12:23:44.407 | Minigame: Alex | Type: HammerHit | Outcome: Success | Difficulty: Easy | ExpectedTime: 5.5040 | ActualTime: 5.5204 | TimingOffset: 0.0164 | TimingError: 0.0164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12:23:45.921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K17" s="4">
        <v>0.0088</v>
      </c>
      <c r="M17" s="6">
        <v>21</v>
      </c>
      <c r="N17" s="6" t="inlineStr">
        <is>
          <t>2026-10-02 12:23:45.921 | Minigame: Alex | Type: HammerHit | Outcome: Success | Difficulty: Easy | ExpectedTime: 7.0400 | ActualTime: 7.0488 | TimingOffset: 0.0088 | TimingError: 0.0088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12:23:46.075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M18" s="0">
        <v>22</v>
      </c>
      <c r="N18" s="0" t="inlineStr">
        <is>
          <t>2026-10-02 12:23:46.075 | Minigame: Alex | Type: HammerTouch | Outcome: Success | Difficulty: Easy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12:23:47.450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0.0008</v>
      </c>
      <c r="M19" s="6">
        <v>23</v>
      </c>
      <c r="N19" s="6" t="inlineStr">
        <is>
          <t>2026-10-02 12:23:47.450 | Minigame: Alex | Type: HammerHit | Outcome: Success | Difficulty: Easy | ExpectedTime: 8.5760 | ActualTime: 8.5768 | TimingOffset: 0.0008 | TimingError: 0.0008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12:23:47.478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K20" s="4">
        <v>0.0285</v>
      </c>
      <c r="M20" s="0">
        <v>24</v>
      </c>
      <c r="N20" s="0" t="inlineStr">
        <is>
          <t>2026-10-02 12:23:47.478 | Minigame: Alex | Type: HammerHit | Outcome: Failed | Difficulty: Easy | ExpectedTime: 8.5760 | ActualTime: 8.6045 | TimingOffset: 0.0285 | TimingError: 0.0285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12:23:49.060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Easy</t>
        </is>
      </c>
      <c r="M21" s="6">
        <v>25</v>
      </c>
      <c r="N21" s="6" t="inlineStr">
        <is>
          <t>2026-10-02 12:23:49.060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12:23:49.062</t>
        </is>
      </c>
      <c r="C22" s="0" t="inlineStr">
        <is>
          <t>DifficultyChanged</t>
        </is>
      </c>
      <c r="D22" s="0" t="inlineStr">
        <is>
          <t>Alex</t>
        </is>
      </c>
      <c r="I22" s="0" t="inlineStr">
        <is>
          <t>Easy -&gt; Normal</t>
        </is>
      </c>
      <c r="J22" s="0" t="inlineStr">
        <is>
          <t>High recent performance</t>
        </is>
      </c>
      <c r="M22" s="0">
        <v>26</v>
      </c>
      <c r="N22" s="0" t="inlineStr">
        <is>
          <t>2026-10-02 12:23:49.062 | DifficultyChanged: Easy -&gt; Normal | Reason: High recent performance | Minigame: Alex | SuccessRate: 0.88</t>
        </is>
      </c>
    </row>
    <row r="23" ht="17" customHeight="1">
      <c r="A23" s="6">
        <v>22</v>
      </c>
      <c r="B23" s="6" t="inlineStr">
        <is>
          <t>2026-10-02 12:23:49.158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Failed</t>
        </is>
      </c>
      <c r="G23" s="6" t="inlineStr">
        <is>
          <t>Normal</t>
        </is>
      </c>
      <c r="M23" s="6">
        <v>27</v>
      </c>
      <c r="N23" s="6" t="inlineStr">
        <is>
          <t>2026-10-02 12:23:49.158 | Minigame: Alex | Type: HammerTouch | Outcome: Failed | Difficulty: Normal | ExpectedTime: 10.1120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12:23:50.574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Normal</t>
        </is>
      </c>
      <c r="M24" s="0">
        <v>28</v>
      </c>
      <c r="N24" s="0" t="inlineStr">
        <is>
          <t>2026-10-02 12:23:50.574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12:23:50.588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Failed</t>
        </is>
      </c>
      <c r="G25" s="6" t="inlineStr">
        <is>
          <t>Normal</t>
        </is>
      </c>
      <c r="M25" s="6">
        <v>29</v>
      </c>
      <c r="N25" s="6" t="inlineStr">
        <is>
          <t>2026-10-02 12:23:50.588 | Minigame: Alex | Type: HammerTouch | Outcome: Failed | Difficulty: Normal | ExpectedTime: 11.6480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12:23:51.393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Normal</t>
        </is>
      </c>
      <c r="M26" s="0">
        <v>30</v>
      </c>
      <c r="N26" s="0" t="inlineStr">
        <is>
          <t>2026-10-02 12:23:51.393 | Minigame: Alex | Type: HammerTouch | Outcome: Success | Difficulty: Normal | ExpectedTime: 12.4160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12:23:51.615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Normal</t>
        </is>
      </c>
      <c r="M27" s="6">
        <v>31</v>
      </c>
      <c r="N27" s="6" t="inlineStr">
        <is>
          <t>2026-10-02 12:23:51.615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12:23:51.616</t>
        </is>
      </c>
      <c r="C28" s="0" t="inlineStr">
        <is>
          <t>PlayerState</t>
        </is>
      </c>
      <c r="H28" s="0" t="inlineStr">
        <is>
          <t>Overloaded</t>
        </is>
      </c>
      <c r="M28" s="0">
        <v>32</v>
      </c>
      <c r="N28" s="0" t="inlineStr">
        <is>
          <t>2026-10-02 12:23:51.616 | PlayerState: Overloaded</t>
        </is>
      </c>
    </row>
    <row r="29" ht="17" customHeight="1">
      <c r="A29" s="6">
        <v>28</v>
      </c>
      <c r="B29" s="6" t="inlineStr">
        <is>
          <t>2026-10-02 12:23:51.616</t>
        </is>
      </c>
      <c r="C29" s="6" t="inlineStr">
        <is>
          <t>DifficultyChanged</t>
        </is>
      </c>
      <c r="D29" s="6" t="inlineStr">
        <is>
          <t>Alex</t>
        </is>
      </c>
      <c r="I29" s="6" t="inlineStr">
        <is>
          <t>Normal -&gt; Easy</t>
        </is>
      </c>
      <c r="J29" s="6" t="inlineStr">
        <is>
          <t>PlayerState: Overloaded</t>
        </is>
      </c>
      <c r="M29" s="6">
        <v>33</v>
      </c>
      <c r="N29" s="6" t="inlineStr">
        <is>
          <t>2026-10-02 12:23:51.616 | DifficultyChanged: Normal -&gt; Easy | Reason: PlayerState: Overloaded | Minigame: Alex | RecentSuccessRate: 0.50</t>
        </is>
      </c>
    </row>
    <row r="30" ht="17" customHeight="1">
      <c r="A30" s="0">
        <v>29</v>
      </c>
      <c r="B30" s="0" t="inlineStr">
        <is>
          <t>2026-10-02 12:23:51.616</t>
        </is>
      </c>
      <c r="C30" s="0" t="inlineStr">
        <is>
          <t>PlayerState</t>
        </is>
      </c>
      <c r="H30" s="0" t="inlineStr">
        <is>
          <t>Engaged</t>
        </is>
      </c>
      <c r="M30" s="0">
        <v>34</v>
      </c>
      <c r="N30" s="0" t="inlineStr">
        <is>
          <t>2026-10-02 12:23:51.616 | PlayerState: Engaged</t>
        </is>
      </c>
    </row>
    <row r="31" ht="17" customHeight="1">
      <c r="A31" s="6">
        <v>30</v>
      </c>
      <c r="B31" s="6" t="inlineStr">
        <is>
          <t>2026-10-02 12:23:52.115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Failed</t>
        </is>
      </c>
      <c r="G31" s="6" t="inlineStr">
        <is>
          <t>Easy</t>
        </is>
      </c>
      <c r="M31" s="6">
        <v>35</v>
      </c>
      <c r="N31" s="6" t="inlineStr">
        <is>
          <t>2026-10-02 12:23:52.115 | Minigame: Alex | Type: HammerTouch | Outcome: Failed | Difficulty: Easy | ExpectedTime: 13.1840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12:23:52.393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Easy</t>
        </is>
      </c>
      <c r="M32" s="0">
        <v>36</v>
      </c>
      <c r="N32" s="0" t="inlineStr">
        <is>
          <t>2026-10-02 12:23:52.393 | Minigame: Alex | Type: HammerTouch | Outcome: Missed | Difficulty: Easy | ExpectedTime: 13.1840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12:23:53.671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Easy</t>
        </is>
      </c>
      <c r="M33" s="6">
        <v>37</v>
      </c>
      <c r="N33" s="6" t="inlineStr">
        <is>
          <t>2026-10-02 12:23:53.671 | Minigame: Alex | Type: HammerTouch | Outcome: Success | Difficulty: Easy | ExpectedTime: 14.7200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12:23:53.671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Easy</t>
        </is>
      </c>
      <c r="M34" s="0">
        <v>38</v>
      </c>
      <c r="N34" s="0" t="inlineStr">
        <is>
          <t>2026-10-02 12:23:53.671 | Minigame: Alex | Type: HammerTouch | Outcome: Success | Difficulty: Easy | ExpectedTime: 14.7200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12:23:55.129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0.014</v>
      </c>
      <c r="M35" s="6">
        <v>39</v>
      </c>
      <c r="N35" s="6" t="inlineStr">
        <is>
          <t>2026-10-02 12:23:55.129 | Minigame: Alex | Type: HammerHit | Outcome: Success | Difficulty: Easy | ExpectedTime: 16.2560 | ActualTime: 16.2420 | TimingOffset: -0.0140 | TimingError: 0.0140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12:23:55.129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0.014</v>
      </c>
      <c r="M36" s="0">
        <v>40</v>
      </c>
      <c r="N36" s="0" t="inlineStr">
        <is>
          <t>2026-10-02 12:23:55.129 | Minigame: Alex | Type: HammerHit | Outcome: Failed | Difficulty: Easy | ExpectedTime: 16.2560 | ActualTime: 16.2420 | TimingOffset: -0.0140 | TimingError: 0.0140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12:23:56.628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0.0363</v>
      </c>
      <c r="M37" s="6">
        <v>41</v>
      </c>
      <c r="N37" s="6" t="inlineStr">
        <is>
          <t>2026-10-02 12:23:56.628 | Minigame: Alex | Type: HammerHit | Outcome: Success | Difficulty: Easy | ExpectedTime: 17.7920 | ActualTime: 17.7557 | TimingOffset: -0.0363 | TimingError: 0.0363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12:23:58.170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0.0308</v>
      </c>
      <c r="M38" s="0">
        <v>42</v>
      </c>
      <c r="N38" s="0" t="inlineStr">
        <is>
          <t>2026-10-02 12:23:58.170 | Minigame: Alex | Type: HammerHit | Outcome: Failed | Difficulty: Easy | ExpectedTime: 19.3280 | ActualTime: 19.2972 | TimingOffset: -0.0308 | TimingError: 0.0308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12:23:58.171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0.0308</v>
      </c>
      <c r="M39" s="6">
        <v>43</v>
      </c>
      <c r="N39" s="6" t="inlineStr">
        <is>
          <t>2026-10-02 12:23:58.171 | Minigame: Alex | Type: HammerHit | Outcome: Success | Difficulty: Easy | ExpectedTime: 19.3280 | ActualTime: 19.2972 | TimingOffset: -0.0308 | TimingError: 0.0308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12:23:59.712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K40" s="4">
        <v>0.0252</v>
      </c>
      <c r="M40" s="0">
        <v>44</v>
      </c>
      <c r="N40" s="0" t="inlineStr">
        <is>
          <t>2026-10-02 12:23:59.712 | Minigame: Alex | Type: HammerHit | Outcome: Success | Difficulty: Easy | ExpectedTime: 20.8640 | ActualTime: 20.8388 | TimingOffset: -0.0252 | TimingError: 0.0252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12:24:01.253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K41" s="4">
        <v>0.019</v>
      </c>
      <c r="M41" s="6">
        <v>45</v>
      </c>
      <c r="N41" s="6" t="inlineStr">
        <is>
          <t>2026-10-02 12:24:01.253 | Minigame: Alex | Type: HammerHit | Outcome: Failed | Difficulty: Easy | ExpectedTime: 22.4000 | ActualTime: 22.3810 | TimingOffset: -0.0190 | TimingError: 0.0190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12:24:01.267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0.019</v>
      </c>
      <c r="M42" s="0">
        <v>46</v>
      </c>
      <c r="N42" s="0" t="inlineStr">
        <is>
          <t>2026-10-02 12:24:01.267 | Minigame: Alex | Type: HammerHit | Outcome: Success | Difficulty: Easy | ExpectedTime: 22.4000 | ActualTime: 22.3810 | TimingOffset: -0.0190 | TimingError: 0.0190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12:24:02.769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K43" s="4">
        <v>0.0405</v>
      </c>
      <c r="M43" s="6">
        <v>47</v>
      </c>
      <c r="N43" s="6" t="inlineStr">
        <is>
          <t>2026-10-02 12:24:02.769 | Minigame: Alex | Type: HammerHit | Outcome: Success | Difficulty: Easy | ExpectedTime: 23.9360 | ActualTime: 23.8955 | TimingOffset: -0.0405 | TimingError: 0.0405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12:24:04.351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K44" s="4">
        <v>0.0065</v>
      </c>
      <c r="M44" s="0">
        <v>48</v>
      </c>
      <c r="N44" s="0" t="inlineStr">
        <is>
          <t>2026-10-02 12:24:04.351 | Minigame: Alex | Type: HammerHit | Outcome: Failed | Difficulty: Easy | ExpectedTime: 25.4720 | ActualTime: 25.4655 | TimingOffset: -0.0065 | TimingError: 0.0065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12:24:04.353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K45" s="4">
        <v>0.0065</v>
      </c>
      <c r="M45" s="6">
        <v>49</v>
      </c>
      <c r="N45" s="6" t="inlineStr">
        <is>
          <t>2026-10-02 12:24:04.353 | Minigame: Alex | Type: HammerHit | Outcome: Success | Difficulty: Easy | ExpectedTime: 25.4720 | ActualTime: 25.4655 | TimingOffset: -0.0065 | TimingError: 0.0065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12:24:05.867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K46" s="4">
        <v>0.0142</v>
      </c>
      <c r="M46" s="0">
        <v>50</v>
      </c>
      <c r="N46" s="0" t="inlineStr">
        <is>
          <t>2026-10-02 12:24:05.867 | Minigame: Alex | Type: HammerHit | Outcome: Success | Difficulty: Easy | ExpectedTime: 27.0080 | ActualTime: 26.9938 | TimingOffset: -0.0142 | TimingError: 0.0142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12:24:06.004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Easy</t>
        </is>
      </c>
      <c r="M47" s="6">
        <v>51</v>
      </c>
      <c r="N47" s="6" t="inlineStr">
        <is>
          <t>2026-10-02 12:24:06.004 | Minigame: Alex | Type: HammerTouch | Outcome: Success | Difficulty: Easy | ExpectedTime: 27.0080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12:24:07.409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Easy</t>
        </is>
      </c>
      <c r="K48" s="4">
        <v>0.0086</v>
      </c>
      <c r="M48" s="0">
        <v>52</v>
      </c>
      <c r="N48" s="0" t="inlineStr">
        <is>
          <t>2026-10-02 12:24:07.409 | Minigame: Alex | Type: HammerHit | Outcome: Success | Difficulty: Easy | ExpectedTime: 28.5440 | ActualTime: 28.5354 | TimingOffset: -0.0086 | TimingError: 0.0086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12:24:07.409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Easy</t>
        </is>
      </c>
      <c r="K49" s="4">
        <v>0.0086</v>
      </c>
      <c r="M49" s="6">
        <v>53</v>
      </c>
      <c r="N49" s="6" t="inlineStr">
        <is>
          <t>2026-10-02 12:24:07.409 | Minigame: Alex | Type: HammerHit | Outcome: Success | Difficulty: Easy | ExpectedTime: 28.5440 | ActualTime: 28.5354 | TimingOffset: -0.0086 | TimingError: 0.0086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12:24:07.410</t>
        </is>
      </c>
      <c r="C50" s="0" t="inlineStr">
        <is>
          <t>DifficultyChanged</t>
        </is>
      </c>
      <c r="D50" s="0" t="inlineStr">
        <is>
          <t>Alex</t>
        </is>
      </c>
      <c r="I50" s="0" t="inlineStr">
        <is>
          <t>Easy -&gt; Normal</t>
        </is>
      </c>
      <c r="J50" s="0" t="inlineStr">
        <is>
          <t>High recent performance</t>
        </is>
      </c>
      <c r="M50" s="0">
        <v>54</v>
      </c>
      <c r="N50" s="0" t="inlineStr">
        <is>
          <t>2026-10-02 12:24:07.410 | DifficultyChanged: Easy -&gt; Normal | Reason: High recent performance | Minigame: Alex | SuccessRate: 0.88</t>
        </is>
      </c>
    </row>
    <row r="51" ht="17" customHeight="1">
      <c r="A51" s="6">
        <v>50</v>
      </c>
      <c r="B51" s="6" t="inlineStr">
        <is>
          <t>2026-10-02 12:24:08.241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0.0562</v>
      </c>
      <c r="M51" s="6">
        <v>55</v>
      </c>
      <c r="N51" s="6" t="inlineStr">
        <is>
          <t>2026-10-02 12:24:08.241 | Minigame: Alex | Type: HammerHit | Outcome: Success | Difficulty: Normal | ExpectedTime: 29.3120 | ActualTime: 29.3682 | TimingOffset: 0.0562 | TimingError: 0.0562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12:24:08.255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M52" s="0">
        <v>56</v>
      </c>
      <c r="N52" s="0" t="inlineStr">
        <is>
          <t>2026-10-02 12:24:08.255 | Minigame: Alex | Type: HammerTouch | Outcome: Success | Difficulty: Normal | ExpectedTime: 29.3120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12:24:08.948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Normal</t>
        </is>
      </c>
      <c r="K53" s="4">
        <v>0.0037</v>
      </c>
      <c r="M53" s="6">
        <v>57</v>
      </c>
      <c r="N53" s="6" t="inlineStr">
        <is>
          <t>2026-10-02 12:24:08.948 | Minigame: Alex | Type: HammerHit | Outcome: Success | Difficulty: Normal | ExpectedTime: 30.0800 | ActualTime: 30.0763 | TimingOffset: -0.0037 | TimingError: 0.0037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12:24:09.033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Normal</t>
        </is>
      </c>
      <c r="M54" s="0">
        <v>58</v>
      </c>
      <c r="N54" s="0" t="inlineStr">
        <is>
          <t>2026-10-02 12:24:09.033 | Minigame: Alex | Type: HammerTouch | Outcome: Success | Difficulty: Normal | ExpectedTime: 30.0800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12:24:09.713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0.0078</v>
      </c>
      <c r="M55" s="6">
        <v>59</v>
      </c>
      <c r="N55" s="6" t="inlineStr">
        <is>
          <t>2026-10-02 12:24:09.713 | Minigame: Alex | Type: HammerHit | Outcome: Success | Difficulty: Normal | ExpectedTime: 30.8480 | ActualTime: 30.8402 | TimingOffset: -0.0078 | TimingError: 0.0078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12:24:12.753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0.0539</v>
      </c>
      <c r="M56" s="0">
        <v>60</v>
      </c>
      <c r="N56" s="0" t="inlineStr">
        <is>
          <t>2026-10-02 12:24:12.753 | Minigame: Joaquin | Type: GuitarHit | Outcome: Success | Difficulty: Normal | ExpectedTime: 33.9200 | ActualTime: 33.8661 | TimingOffset: -0.0539 | TimingError: 0.0539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12:24:14.975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0.1354</v>
      </c>
      <c r="M57" s="6">
        <v>61</v>
      </c>
      <c r="N57" s="6" t="inlineStr">
        <is>
          <t>2026-10-02 12:24:14.975 | Minigame: Joaquin | Type: GuitarHit | Outcome: Success | Difficulty: Normal | ExpectedTime: 36.2240 | ActualTime: 36.0886 | TimingOffset: -0.1354 | TimingError: 0.1354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12:24:17.476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0.0612</v>
      </c>
      <c r="M58" s="0">
        <v>62</v>
      </c>
      <c r="N58" s="0" t="inlineStr">
        <is>
          <t>2026-10-02 12:24:17.476 | Minigame: Joaquin | Type: GuitarHit | Outcome: Success | Difficulty: Normal | ExpectedTime: 38.5280 | ActualTime: 38.5892 | TimingOffset: 0.0612 | TimingError: 0.0612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12:24:19.615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K59" s="4">
        <v>0.1042</v>
      </c>
      <c r="M59" s="6">
        <v>63</v>
      </c>
      <c r="N59" s="6" t="inlineStr">
        <is>
          <t>2026-10-02 12:24:19.615 | Minigame: Joaquin | Type: GuitarHit | Outcome: Success | Difficulty: Normal | ExpectedTime: 40.8320 | ActualTime: 40.7278 | TimingOffset: -0.1042 | TimingError: 0.1042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12:24:21.059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12:24:21.059 | Minigame: Joaquin | Type: PlayerHit | Outcome: Failed | Difficulty: Normal | ExpectedTime: 42.1721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12:24:22.087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Normal</t>
        </is>
      </c>
      <c r="K61" s="4">
        <v>0.0637</v>
      </c>
      <c r="M61" s="6">
        <v>65</v>
      </c>
      <c r="N61" s="6" t="inlineStr">
        <is>
          <t>2026-10-02 12:24:22.087 | Minigame: Joaquin | Type: GuitarHit | Outcome: Success | Difficulty: Normal | ExpectedTime: 43.1360 | ActualTime: 43.1997 | TimingOffset: 0.0637 | TimingError: 0.0637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12:24:24.350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Normal</t>
        </is>
      </c>
      <c r="K62" s="4">
        <v>0.0237</v>
      </c>
      <c r="M62" s="0">
        <v>66</v>
      </c>
      <c r="N62" s="0" t="inlineStr">
        <is>
          <t>2026-10-02 12:24:24.350 | Minigame: Joaquin | Type: GuitarHit | Outcome: Success | Difficulty: Normal | ExpectedTime: 45.4400 | ActualTime: 45.4637 | TimingOffset: 0.0237 | TimingError: 0.0237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12:24:26.629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K63" s="4">
        <v>0.0027</v>
      </c>
      <c r="M63" s="6">
        <v>67</v>
      </c>
      <c r="N63" s="6" t="inlineStr">
        <is>
          <t>2026-10-02 12:24:26.629 | Minigame: Joaquin | Type: GuitarHit | Outcome: Success | Difficulty: Normal | ExpectedTime: 47.7440 | ActualTime: 47.7413 | TimingOffset: -0.0027 | TimingError: 0.0027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12:24:26.629</t>
        </is>
      </c>
      <c r="C64" s="0" t="inlineStr">
        <is>
          <t>DifficultyChanged</t>
        </is>
      </c>
      <c r="D64" s="0" t="inlineStr">
        <is>
          <t>Joaquin</t>
        </is>
      </c>
      <c r="I64" s="0" t="inlineStr">
        <is>
          <t>Normal -&gt; Hard</t>
        </is>
      </c>
      <c r="J64" s="0" t="inlineStr">
        <is>
          <t>High recent performance</t>
        </is>
      </c>
      <c r="M64" s="0">
        <v>68</v>
      </c>
      <c r="N64" s="0" t="inlineStr">
        <is>
          <t>2026-10-02 12:24:26.629 | DifficultyChanged: Normal -&gt; Hard | Reason: High recent performance | Minigame: Joaquin | SuccessRate: 0.88</t>
        </is>
      </c>
    </row>
    <row r="65" ht="17" customHeight="1">
      <c r="A65" s="6">
        <v>64</v>
      </c>
      <c r="B65" s="6" t="inlineStr">
        <is>
          <t>2026-10-02 12:24:26.849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Hard</t>
        </is>
      </c>
      <c r="K65" s="4">
        <v>0.1644</v>
      </c>
      <c r="M65" s="6">
        <v>69</v>
      </c>
      <c r="N65" s="6" t="inlineStr">
        <is>
          <t>2026-10-02 12:24:26.849 | Minigame: Joaquin | Type: GuitarHit | Outcome: Success | Difficulty: Hard | ExpectedTime: 48.1280 | ActualTime: 47.9636 | TimingOffset: -0.1644 | TimingError: 0.1644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12:24:28.878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PlayerHit</t>
        </is>
      </c>
      <c r="F66" s="0" t="inlineStr">
        <is>
          <t>Failed</t>
        </is>
      </c>
      <c r="G66" s="0" t="inlineStr">
        <is>
          <t>Hard</t>
        </is>
      </c>
      <c r="M66" s="0">
        <v>70</v>
      </c>
      <c r="N66" s="0" t="inlineStr">
        <is>
          <t>2026-10-02 12:24:28.878 | Minigame: Joaquin | Type: PlayerHit | Outcome: Failed | Difficulty: Hard | ExpectedTime: 49.9915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12:24:29.225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Hard</t>
        </is>
      </c>
      <c r="K67" s="4">
        <v>0.0931</v>
      </c>
      <c r="M67" s="6">
        <v>71</v>
      </c>
      <c r="N67" s="6" t="inlineStr">
        <is>
          <t>2026-10-02 12:24:29.225 | Minigame: Joaquin | Type: GuitarHit | Outcome: Success | Difficulty: Hard | ExpectedTime: 50.4320 | ActualTime: 50.3389 | TimingOffset: -0.0931 | TimingError: 0.0931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12:24:31.573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Hard</t>
        </is>
      </c>
      <c r="K68" s="4">
        <v>0.0506</v>
      </c>
      <c r="M68" s="0">
        <v>72</v>
      </c>
      <c r="N68" s="0" t="inlineStr">
        <is>
          <t>2026-10-02 12:24:31.573 | Minigame: Joaquin | Type: GuitarHit | Outcome: Success | Difficulty: Hard | ExpectedTime: 52.7360 | ActualTime: 52.6854 | TimingOffset: -0.0506 | TimingError: 0.0506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12:24:31.836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PlayerHit</t>
        </is>
      </c>
      <c r="F69" s="6" t="inlineStr">
        <is>
          <t>Failed</t>
        </is>
      </c>
      <c r="G69" s="6" t="inlineStr">
        <is>
          <t>Hard</t>
        </is>
      </c>
      <c r="M69" s="6">
        <v>73</v>
      </c>
      <c r="N69" s="6" t="inlineStr">
        <is>
          <t>2026-10-02 12:24:31.836 | Minigame: Joaquin | Type: PlayerHit | Outcome: Failed | Difficulty: Hard | ExpectedTime: 52.9495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12:24:31.904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PlayerHit</t>
        </is>
      </c>
      <c r="F70" s="0" t="inlineStr">
        <is>
          <t>Failed</t>
        </is>
      </c>
      <c r="G70" s="0" t="inlineStr">
        <is>
          <t>Hard</t>
        </is>
      </c>
      <c r="M70" s="0">
        <v>74</v>
      </c>
      <c r="N70" s="0" t="inlineStr">
        <is>
          <t>2026-10-02 12:24:31.904 | Minigame: Joaquin | Type: PlayerHit | Outcome: Failed | Difficulty: Hard | ExpectedTime: 53.0187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12:24:32.225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Hard</t>
        </is>
      </c>
      <c r="M71" s="6">
        <v>75</v>
      </c>
      <c r="N71" s="6" t="inlineStr">
        <is>
          <t>2026-10-02 12:24:32.225 | Minigame: Joaquin | Type: PlayerHit | Outcome: Failed | Difficulty: Hard | ExpectedTime: 53.3383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12:24:32.225</t>
        </is>
      </c>
      <c r="C72" s="0" t="inlineStr">
        <is>
          <t>PlayerState</t>
        </is>
      </c>
      <c r="H72" s="0" t="inlineStr">
        <is>
          <t>Overloaded</t>
        </is>
      </c>
      <c r="M72" s="0">
        <v>76</v>
      </c>
      <c r="N72" s="0" t="inlineStr">
        <is>
          <t>2026-10-02 12:24:32.225 | PlayerState: Overloaded</t>
        </is>
      </c>
    </row>
    <row r="73" ht="17" customHeight="1">
      <c r="A73" s="6">
        <v>72</v>
      </c>
      <c r="B73" s="6" t="inlineStr">
        <is>
          <t>2026-10-02 12:24:32.225</t>
        </is>
      </c>
      <c r="C73" s="6" t="inlineStr">
        <is>
          <t>DifficultyChanged</t>
        </is>
      </c>
      <c r="D73" s="6" t="inlineStr">
        <is>
          <t>Joaquin</t>
        </is>
      </c>
      <c r="I73" s="6" t="inlineStr">
        <is>
          <t>Hard -&gt; Normal</t>
        </is>
      </c>
      <c r="J73" s="6" t="inlineStr">
        <is>
          <t>PlayerState: Overloaded</t>
        </is>
      </c>
      <c r="M73" s="6">
        <v>77</v>
      </c>
      <c r="N73" s="6" t="inlineStr">
        <is>
          <t>2026-10-02 12:24:32.225 | DifficultyChanged: Hard -&gt; Normal | Reason: PlayerState: Overloaded | Minigame: Joaquin | RecentSuccessRate: 0.50</t>
        </is>
      </c>
    </row>
    <row r="74" ht="17" customHeight="1">
      <c r="A74" s="0">
        <v>73</v>
      </c>
      <c r="B74" s="0" t="inlineStr">
        <is>
          <t>2026-10-02 12:24:32.239</t>
        </is>
      </c>
      <c r="C74" s="0" t="inlineStr">
        <is>
          <t>PlayerState</t>
        </is>
      </c>
      <c r="H74" s="0" t="inlineStr">
        <is>
          <t>Engaged</t>
        </is>
      </c>
      <c r="M74" s="0">
        <v>78</v>
      </c>
      <c r="N74" s="0" t="inlineStr">
        <is>
          <t>2026-10-02 12:24:32.239 | PlayerState: Engaged</t>
        </is>
      </c>
    </row>
    <row r="75" ht="17" customHeight="1">
      <c r="A75" s="6">
        <v>74</v>
      </c>
      <c r="B75" s="6" t="inlineStr">
        <is>
          <t>2026-10-02 12:24:32.531</t>
        </is>
      </c>
      <c r="C75" s="6" t="inlineStr">
        <is>
          <t>Interaction</t>
        </is>
      </c>
      <c r="D75" s="6" t="inlineStr">
        <is>
          <t>Joaquin</t>
        </is>
      </c>
      <c r="E75" s="6" t="inlineStr">
        <is>
          <t>GuitarHit</t>
        </is>
      </c>
      <c r="F75" s="6" t="inlineStr">
        <is>
          <t>Success</t>
        </is>
      </c>
      <c r="G75" s="6" t="inlineStr">
        <is>
          <t>Normal</t>
        </is>
      </c>
      <c r="K75" s="4">
        <v>0.1401</v>
      </c>
      <c r="M75" s="6">
        <v>79</v>
      </c>
      <c r="N75" s="6" t="inlineStr">
        <is>
          <t>2026-10-02 12:24:32.531 | Minigame: Joaquin | Type: GuitarHit | Outcome: Success | Difficulty: Normal | ExpectedTime: 53.5040 | ActualTime: 53.6441 | TimingOffset: 0.1401 | TimingError: 0.1401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12:24:34.726</t>
        </is>
      </c>
      <c r="C76" s="0" t="inlineStr">
        <is>
          <t>Interaction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Normal</t>
        </is>
      </c>
      <c r="K76" s="4">
        <v>0.0311</v>
      </c>
      <c r="M76" s="0">
        <v>80</v>
      </c>
      <c r="N76" s="0" t="inlineStr">
        <is>
          <t>2026-10-02 12:24:34.726 | Minigame: Joaquin | Type: GuitarHit | Outcome: Success | Difficulty: Normal | ExpectedTime: 55.8080 | ActualTime: 55.8391 | TimingOffset: 0.0311 | TimingError: 0.0311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12:24:36.406</t>
        </is>
      </c>
      <c r="C77" s="6" t="inlineStr">
        <is>
          <t>Interaction</t>
        </is>
      </c>
      <c r="D77" s="6" t="inlineStr">
        <is>
          <t>Joaquin</t>
        </is>
      </c>
      <c r="E77" s="6" t="inlineStr">
        <is>
          <t>PlayerHit</t>
        </is>
      </c>
      <c r="F77" s="6" t="inlineStr">
        <is>
          <t>Failed</t>
        </is>
      </c>
      <c r="G77" s="6" t="inlineStr">
        <is>
          <t>Normal</t>
        </is>
      </c>
      <c r="M77" s="6">
        <v>81</v>
      </c>
      <c r="N77" s="6" t="inlineStr">
        <is>
          <t>2026-10-02 12:24:36.406 | Minigame: Joaquin | Type: PlayerHit | Outcome: Failed | Difficulty: Normal | ExpectedTime: 57.5197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12:24:36.879</t>
        </is>
      </c>
      <c r="C78" s="0" t="inlineStr">
        <is>
          <t>Interaction</t>
        </is>
      </c>
      <c r="D78" s="0" t="inlineStr">
        <is>
          <t>Joaquin</t>
        </is>
      </c>
      <c r="E78" s="0" t="inlineStr">
        <is>
          <t>PlayerHit</t>
        </is>
      </c>
      <c r="F78" s="0" t="inlineStr">
        <is>
          <t>Failed</t>
        </is>
      </c>
      <c r="G78" s="0" t="inlineStr">
        <is>
          <t>Normal</t>
        </is>
      </c>
      <c r="M78" s="0">
        <v>82</v>
      </c>
      <c r="N78" s="0" t="inlineStr">
        <is>
          <t>2026-10-02 12:24:36.879 | Minigame: Joaquin | Type: PlayerHit | Outcome: Failed | Difficulty: Normal | ExpectedTime: 57.9917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12:24:37.016</t>
        </is>
      </c>
      <c r="C79" s="6" t="inlineStr">
        <is>
          <t>Interaction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K79" s="4">
        <v>0.0186</v>
      </c>
      <c r="M79" s="6">
        <v>83</v>
      </c>
      <c r="N79" s="6" t="inlineStr">
        <is>
          <t>2026-10-02 12:24:37.016 | Minigame: Joaquin | Type: GuitarHit | Outcome: Success | Difficulty: Normal | ExpectedTime: 58.1120 | ActualTime: 58.1306 | TimingOffset: 0.0186 | TimingError: 0.0186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12:24:39.253</t>
        </is>
      </c>
      <c r="C80" s="0" t="inlineStr">
        <is>
          <t>Interaction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K80" s="4">
        <v>0.0495</v>
      </c>
      <c r="M80" s="0">
        <v>84</v>
      </c>
      <c r="N80" s="0" t="inlineStr">
        <is>
          <t>2026-10-02 12:24:39.253 | Minigame: Joaquin | Type: GuitarHit | Outcome: Success | Difficulty: Normal | ExpectedTime: 60.4160 | ActualTime: 60.3665 | TimingOffset: -0.0495 | TimingError: 0.0495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12:24:40.948</t>
        </is>
      </c>
      <c r="C81" s="6" t="inlineStr">
        <is>
          <t>Interaction</t>
        </is>
      </c>
      <c r="D81" s="6" t="inlineStr">
        <is>
          <t>Joaquin</t>
        </is>
      </c>
      <c r="E81" s="6" t="inlineStr">
        <is>
          <t>PlayerHit</t>
        </is>
      </c>
      <c r="F81" s="6" t="inlineStr">
        <is>
          <t>Failed</t>
        </is>
      </c>
      <c r="G81" s="6" t="inlineStr">
        <is>
          <t>Normal</t>
        </is>
      </c>
      <c r="M81" s="6">
        <v>85</v>
      </c>
      <c r="N81" s="6" t="inlineStr">
        <is>
          <t>2026-10-02 12:24:40.948 | Minigame: Joaquin | Type: PlayerHit | Outcome: Failed | Difficulty: Normal | ExpectedTime: 62.0607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12:24:44.253</t>
        </is>
      </c>
      <c r="C82" s="0" t="inlineStr">
        <is>
          <t>PlayerState</t>
        </is>
      </c>
      <c r="H82" s="0" t="inlineStr">
        <is>
          <t>Idle</t>
        </is>
      </c>
      <c r="M82" s="0">
        <v>86</v>
      </c>
      <c r="N82" s="0" t="inlineStr">
        <is>
          <t>2026-10-02 12:24:44.253 | PlayerState: Idle</t>
        </is>
      </c>
    </row>
    <row r="83" ht="17" customHeight="1">
      <c r="A83" s="6">
        <v>82</v>
      </c>
      <c r="B83" s="6" t="inlineStr">
        <is>
          <t>2026-10-02 12:24:46.224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Missed</t>
        </is>
      </c>
      <c r="G83" s="6" t="inlineStr">
        <is>
          <t>Normal</t>
        </is>
      </c>
      <c r="M83" s="6">
        <v>87</v>
      </c>
      <c r="N83" s="6" t="inlineStr">
        <is>
          <t>2026-10-02 12:24:46.224 | Minigame: Shipi | Type: FoodCut | Outcome: Missed | Difficulty: Normal | ExpectedTime: 66.6368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12:24:46.295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Normal</t>
        </is>
      </c>
      <c r="K84" s="4">
        <v>0.7653</v>
      </c>
      <c r="L84" s="4">
        <v>0.0795</v>
      </c>
      <c r="M84" s="0">
        <v>88</v>
      </c>
      <c r="N84" s="0" t="inlineStr">
        <is>
          <t>2026-10-02 12:24:46.295 | Minigame: Shipi | Type: FoodCut | Outcome: Success | Difficulty: Normal | ExpectedTime: 68.1728 | ActualTime: 67.4075 | TimingOffset: -0.7653 | TimingError: 0.7653 | ReactionTime: 0.0795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12:24:46.295</t>
        </is>
      </c>
      <c r="C85" s="6" t="inlineStr">
        <is>
          <t>PlayerState</t>
        </is>
      </c>
      <c r="H85" s="6" t="inlineStr">
        <is>
          <t>Engaged</t>
        </is>
      </c>
      <c r="M85" s="6">
        <v>89</v>
      </c>
      <c r="N85" s="6" t="inlineStr">
        <is>
          <t>2026-10-02 12:24:46.295 | PlayerState: Engaged</t>
        </is>
      </c>
    </row>
    <row r="86" ht="17" customHeight="1">
      <c r="A86" s="0">
        <v>85</v>
      </c>
      <c r="B86" s="0" t="inlineStr">
        <is>
          <t>2026-10-02 12:24:47.767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Normal</t>
        </is>
      </c>
      <c r="M86" s="0">
        <v>90</v>
      </c>
      <c r="N86" s="0" t="inlineStr">
        <is>
          <t>2026-10-02 12:24:47.767 | Minigame: Shipi | Type: FoodCut | Outcome: Failed | Difficulty: Normal | ExpectedTime: 69.7088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12:24:49.309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Normal</t>
        </is>
      </c>
      <c r="K87" s="4">
        <v>0.8227</v>
      </c>
      <c r="L87" s="4">
        <v>0.0221</v>
      </c>
      <c r="M87" s="6">
        <v>91</v>
      </c>
      <c r="N87" s="6" t="inlineStr">
        <is>
          <t>2026-10-02 12:24:49.309 | Minigame: Shipi | Type: FoodCut | Outcome: Failed | Difficulty: Normal | ExpectedTime: 71.2448 | ActualTime: 70.4221 | TimingOffset: -0.8227 | TimingError: 0.8227 | ReactionTime: 0.0221 | SpatialAccuracy: N/A | DirectionAccuracy: 0.0000 | CorrectHand: N/A</t>
        </is>
      </c>
    </row>
    <row r="88" ht="17" customHeight="1">
      <c r="A88" s="0">
        <v>87</v>
      </c>
      <c r="B88" s="0" t="inlineStr">
        <is>
          <t>2026-10-02 12:24:50.893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Failed</t>
        </is>
      </c>
      <c r="G88" s="0" t="inlineStr">
        <is>
          <t>Normal</t>
        </is>
      </c>
      <c r="K88" s="4">
        <v>0.7754</v>
      </c>
      <c r="L88" s="4">
        <v>0.0694</v>
      </c>
      <c r="M88" s="0">
        <v>92</v>
      </c>
      <c r="N88" s="0" t="inlineStr">
        <is>
          <t>2026-10-02 12:24:50.893 | Minigame: Shipi | Type: FoodCut | Outcome: Failed | Difficulty: Normal | ExpectedTime: 72.7808 | ActualTime: 72.0054 | TimingOffset: -0.7754 | TimingError: 0.7754 | ReactionTime: 0.0694 | SpatialAccuracy: N/A | DirectionAccuracy: 0.0000 | CorrectHand: N/A</t>
        </is>
      </c>
    </row>
    <row r="89" ht="17" customHeight="1">
      <c r="A89" s="6">
        <v>88</v>
      </c>
      <c r="B89" s="6" t="inlineStr">
        <is>
          <t>2026-10-02 12:24:52.391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Normal</t>
        </is>
      </c>
      <c r="K89" s="4">
        <v>0.8112</v>
      </c>
      <c r="L89" s="4">
        <v>0.0336</v>
      </c>
      <c r="M89" s="6">
        <v>93</v>
      </c>
      <c r="N89" s="6" t="inlineStr">
        <is>
          <t>2026-10-02 12:24:52.391 | Minigame: Shipi | Type: FoodCut | Outcome: Failed | Difficulty: Normal | ExpectedTime: 74.3168 | ActualTime: 73.5056 | TimingOffset: -0.8112 | TimingError: 0.8112 | ReactionTime: 0.0336 | SpatialAccuracy: N/A | DirectionAccuracy: 0.0000 | CorrectHand: N/A</t>
        </is>
      </c>
    </row>
    <row r="90" ht="17" customHeight="1">
      <c r="A90" s="0">
        <v>89</v>
      </c>
      <c r="B90" s="0" t="inlineStr">
        <is>
          <t>2026-10-02 12:24:52.391</t>
        </is>
      </c>
      <c r="C90" s="0" t="inlineStr">
        <is>
          <t>PlayerState</t>
        </is>
      </c>
      <c r="H90" s="0" t="inlineStr">
        <is>
          <t>Overloaded</t>
        </is>
      </c>
      <c r="M90" s="0">
        <v>94</v>
      </c>
      <c r="N90" s="0" t="inlineStr">
        <is>
          <t>2026-10-02 12:24:52.391 | PlayerState: Overloaded</t>
        </is>
      </c>
    </row>
    <row r="91" ht="17" customHeight="1">
      <c r="A91" s="6">
        <v>90</v>
      </c>
      <c r="B91" s="6" t="inlineStr">
        <is>
          <t>2026-10-02 12:24:52.393</t>
        </is>
      </c>
      <c r="C91" s="6" t="inlineStr">
        <is>
          <t>DifficultyChanged</t>
        </is>
      </c>
      <c r="D91" s="6" t="inlineStr">
        <is>
          <t>Shipi</t>
        </is>
      </c>
      <c r="I91" s="6" t="inlineStr">
        <is>
          <t>Normal -&gt; Easy</t>
        </is>
      </c>
      <c r="J91" s="6" t="inlineStr">
        <is>
          <t>PlayerState: Overloaded</t>
        </is>
      </c>
      <c r="M91" s="6">
        <v>95</v>
      </c>
      <c r="N91" s="6" t="inlineStr">
        <is>
          <t>2026-10-02 12:24:52.393 | DifficultyChanged: Normal -&gt; Easy | Reason: PlayerState: Overloaded | Minigame: Shipi | RecentSuccessRate: 0.25</t>
        </is>
      </c>
    </row>
    <row r="92" ht="17" customHeight="1">
      <c r="A92" s="0">
        <v>91</v>
      </c>
      <c r="B92" s="0" t="inlineStr">
        <is>
          <t>2026-10-02 12:24:52.394</t>
        </is>
      </c>
      <c r="C92" s="0" t="inlineStr">
        <is>
          <t>PlayerState</t>
        </is>
      </c>
      <c r="H92" s="0" t="inlineStr">
        <is>
          <t>Engaged</t>
        </is>
      </c>
      <c r="M92" s="0">
        <v>96</v>
      </c>
      <c r="N92" s="0" t="inlineStr">
        <is>
          <t>2026-10-02 12:24:52.394 | PlayerState: Engaged</t>
        </is>
      </c>
    </row>
    <row r="93" ht="17" customHeight="1">
      <c r="A93" s="6">
        <v>92</v>
      </c>
      <c r="B93" s="6" t="inlineStr">
        <is>
          <t>2026-10-02 12:24:54.295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Failed</t>
        </is>
      </c>
      <c r="G93" s="6" t="inlineStr">
        <is>
          <t>Normal</t>
        </is>
      </c>
      <c r="M93" s="6">
        <v>97</v>
      </c>
      <c r="N93" s="6" t="inlineStr">
        <is>
          <t>2026-10-02 12:24:54.295 | Minigame: Shipi | Type: FoodCut | Outcome: Failed | Difficulty: Normal | ExpectedTime: 76.4480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12:24:56.392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Failed</t>
        </is>
      </c>
      <c r="G94" s="0" t="inlineStr">
        <is>
          <t>Normal</t>
        </is>
      </c>
      <c r="K94" s="4">
        <v>0.8629</v>
      </c>
      <c r="L94" s="4">
        <v>0.1931</v>
      </c>
      <c r="M94" s="0">
        <v>98</v>
      </c>
      <c r="N94" s="0" t="inlineStr">
        <is>
          <t>2026-10-02 12:24:56.392 | Minigame: Shipi | Type: FoodCut | Outcome: Failed | Difficulty: Normal | ExpectedTime: 78.3680 | ActualTime: 77.5051 | TimingOffset: -0.8629 | TimingError: 0.8629 | ReactionTime: 0.1931 | SpatialAccuracy: N/A | DirectionAccuracy: 0.0000 | CorrectHand: N/A</t>
        </is>
      </c>
    </row>
    <row r="95" ht="17" customHeight="1">
      <c r="A95" s="6">
        <v>94</v>
      </c>
      <c r="B95" s="6" t="inlineStr">
        <is>
          <t>2026-10-02 12:24:57.392</t>
        </is>
      </c>
      <c r="C95" s="6" t="inlineStr">
        <is>
          <t>PlayerState</t>
        </is>
      </c>
      <c r="H95" s="6" t="inlineStr">
        <is>
          <t>Idle</t>
        </is>
      </c>
      <c r="M95" s="6">
        <v>99</v>
      </c>
      <c r="N95" s="6" t="inlineStr">
        <is>
          <t>2026-10-02 12:24:57.392 | PlayerState: Idle</t>
        </is>
      </c>
    </row>
    <row r="96" ht="17" customHeight="1">
      <c r="A96" s="0">
        <v>95</v>
      </c>
      <c r="B96" s="0" t="inlineStr">
        <is>
          <t>2026-10-02 12:24:58.155</t>
        </is>
      </c>
      <c r="C96" s="0" t="inlineStr">
        <is>
          <t>Interaction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Failed</t>
        </is>
      </c>
      <c r="G96" s="0" t="inlineStr">
        <is>
          <t>Easy</t>
        </is>
      </c>
      <c r="K96" s="4">
        <v>1.0197</v>
      </c>
      <c r="L96" s="4">
        <v>0.0363</v>
      </c>
      <c r="M96" s="0">
        <v>100</v>
      </c>
      <c r="N96" s="0" t="inlineStr">
        <is>
          <t>2026-10-02 12:24:58.155 | Minigame: Shipi | Type: FoodCut | Outcome: Failed | Difficulty: Easy | ExpectedTime: 80.2880 | ActualTime: 79.2683 | TimingOffset: -1.0197 | TimingError: 1.0197 | ReactionTime: 0.0363 | SpatialAccuracy: N/A | DirectionAccuracy: 0.0000 | CorrectHand: N/A</t>
        </is>
      </c>
    </row>
    <row r="97" ht="17" customHeight="1">
      <c r="A97" s="6">
        <v>96</v>
      </c>
      <c r="B97" s="6" t="inlineStr">
        <is>
          <t>2026-10-02 12:24:58.155</t>
        </is>
      </c>
      <c r="C97" s="6" t="inlineStr">
        <is>
          <t>PlayerState</t>
        </is>
      </c>
      <c r="H97" s="6" t="inlineStr">
        <is>
          <t>Engaged</t>
        </is>
      </c>
      <c r="M97" s="6">
        <v>101</v>
      </c>
      <c r="N97" s="6" t="inlineStr">
        <is>
          <t>2026-10-02 12:24:58.155 | PlayerState: Engaged</t>
        </is>
      </c>
    </row>
    <row r="98" ht="17" customHeight="1">
      <c r="A98" s="0">
        <v>97</v>
      </c>
      <c r="B98" s="0" t="inlineStr">
        <is>
          <t>2026-10-02 12:25:00.071</t>
        </is>
      </c>
      <c r="C98" s="0" t="inlineStr">
        <is>
          <t>Interaction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Easy</t>
        </is>
      </c>
      <c r="K98" s="4">
        <v>1.0229</v>
      </c>
      <c r="L98" s="4">
        <v>0.0331</v>
      </c>
      <c r="M98" s="0">
        <v>102</v>
      </c>
      <c r="N98" s="0" t="inlineStr">
        <is>
          <t>2026-10-02 12:25:00.071 | Minigame: Shipi | Type: FoodCut | Outcome: Failed | Difficulty: Easy | ExpectedTime: 82.2080 | ActualTime: 81.1851 | TimingOffset: -1.0229 | TimingError: 1.0229 | ReactionTime: 0.0331 | SpatialAccuracy: N/A | DirectionAccuracy: 0.0000 | CorrectHand: N/A</t>
        </is>
      </c>
    </row>
    <row r="99" ht="17" customHeight="1">
      <c r="A99" s="6">
        <v>98</v>
      </c>
      <c r="B99" s="6" t="inlineStr">
        <is>
          <t>2026-10-02 12:25:01.975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Easy</t>
        </is>
      </c>
      <c r="K99" s="4">
        <v>1.0402</v>
      </c>
      <c r="L99" s="4">
        <v>0.0158</v>
      </c>
      <c r="M99" s="6">
        <v>103</v>
      </c>
      <c r="N99" s="6" t="inlineStr">
        <is>
          <t>2026-10-02 12:25:01.975 | Minigame: Shipi | Type: FoodCut | Outcome: Failed | Difficulty: Easy | ExpectedTime: 84.1280 | ActualTime: 83.0878 | TimingOffset: -1.0402 | TimingError: 1.0402 | ReactionTime: 0.0158 | SpatialAccuracy: N/A | DirectionAccuracy: 0.0000 | CorrectHand: N/A</t>
        </is>
      </c>
    </row>
    <row r="100" ht="17" customHeight="1">
      <c r="A100" s="0">
        <v>99</v>
      </c>
      <c r="B100" s="0" t="inlineStr">
        <is>
          <t>2026-10-02 12:25:04.571</t>
        </is>
      </c>
      <c r="C100" s="0" t="inlineStr">
        <is>
          <t>Interaction</t>
        </is>
      </c>
      <c r="D100" s="0" t="inlineStr">
        <is>
          <t>Shipi</t>
        </is>
      </c>
      <c r="E100" s="0" t="inlineStr">
        <is>
          <t>FoodCut</t>
        </is>
      </c>
      <c r="F100" s="0" t="inlineStr">
        <is>
          <t>Failed</t>
        </is>
      </c>
      <c r="G100" s="0" t="inlineStr">
        <is>
          <t>Easy</t>
        </is>
      </c>
      <c r="K100" s="4">
        <v>0.3624</v>
      </c>
      <c r="L100" s="4">
        <v>0.6936</v>
      </c>
      <c r="M100" s="0">
        <v>104</v>
      </c>
      <c r="N100" s="0" t="inlineStr">
        <is>
          <t>2026-10-02 12:25:04.571 | Minigame: Shipi | Type: FoodCut | Outcome: Failed | Difficulty: Easy | ExpectedTime: 86.0480 | ActualTime: 85.6856 | TimingOffset: -0.3624 | TimingError: 0.3624 | ReactionTime: 0.6936 | SpatialAccuracy: N/A | DirectionAccuracy: 0.0000 | CorrectHand: N/A</t>
        </is>
      </c>
    </row>
    <row r="101" ht="17" customHeight="1">
      <c r="A101" s="6">
        <v>100</v>
      </c>
      <c r="B101" s="6" t="inlineStr">
        <is>
          <t>2026-10-02 12:25:06.807</t>
        </is>
      </c>
      <c r="C101" s="6" t="inlineStr">
        <is>
          <t>Interaction</t>
        </is>
      </c>
      <c r="D101" s="6" t="inlineStr">
        <is>
          <t>Shipi</t>
        </is>
      </c>
      <c r="E101" s="6" t="inlineStr">
        <is>
          <t>FoodCut</t>
        </is>
      </c>
      <c r="F101" s="6" t="inlineStr">
        <is>
          <t>Failed</t>
        </is>
      </c>
      <c r="G101" s="6" t="inlineStr">
        <is>
          <t>Easy</t>
        </is>
      </c>
      <c r="M101" s="6">
        <v>105</v>
      </c>
      <c r="N101" s="6" t="inlineStr">
        <is>
          <t>2026-10-02 12:25:06.807 | Minigame: Shipi | Type: FoodCut | Outcome: Failed | Difficulty: Easy | ExpectedTime: 87.9680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12:25:06.808</t>
        </is>
      </c>
      <c r="C102" s="0" t="inlineStr">
        <is>
          <t>PlayerState</t>
        </is>
      </c>
      <c r="H102" s="0" t="inlineStr">
        <is>
          <t>Overloaded</t>
        </is>
      </c>
      <c r="M102" s="0">
        <v>106</v>
      </c>
      <c r="N102" s="0" t="inlineStr">
        <is>
          <t>2026-10-02 12:25:06.808 | PlayerState: Overloaded</t>
        </is>
      </c>
    </row>
    <row r="103" ht="17" customHeight="1">
      <c r="A103" s="6">
        <v>102</v>
      </c>
      <c r="B103" s="6" t="inlineStr">
        <is>
          <t>2026-10-02 12:25:09.642</t>
        </is>
      </c>
      <c r="C103" s="6" t="inlineStr">
        <is>
          <t>Interaction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Missed</t>
        </is>
      </c>
      <c r="G103" s="6" t="inlineStr">
        <is>
          <t>Easy</t>
        </is>
      </c>
      <c r="M103" s="6">
        <v>107</v>
      </c>
      <c r="N103" s="6" t="inlineStr">
        <is>
          <t>2026-10-02 12:25:09.642 | Minigame: Shipi | Type: FoodCut | Outcome: Missed | Difficulty: Easy | ExpectedTime: 89.8880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12:25:11.156</t>
        </is>
      </c>
      <c r="C104" s="0" t="inlineStr">
        <is>
          <t>Interaction</t>
        </is>
      </c>
      <c r="D104" s="0" t="inlineStr">
        <is>
          <t>Shipi</t>
        </is>
      </c>
      <c r="E104" s="0" t="inlineStr">
        <is>
          <t>FoodCut</t>
        </is>
      </c>
      <c r="F104" s="0" t="inlineStr">
        <is>
          <t>Success</t>
        </is>
      </c>
      <c r="G104" s="0" t="inlineStr">
        <is>
          <t>Easy</t>
        </is>
      </c>
      <c r="K104" s="4">
        <v>0.4611</v>
      </c>
      <c r="L104" s="4">
        <v>1.5171</v>
      </c>
      <c r="M104" s="0">
        <v>108</v>
      </c>
      <c r="N104" s="0" t="inlineStr">
        <is>
          <t>2026-10-02 12:25:11.156 | Minigame: Shipi | Type: FoodCut | Outcome: Success | Difficulty: Easy | ExpectedTime: 91.8080 | ActualTime: 92.2691 | TimingOffset: 0.4611 | TimingError: 0.4611 | ReactionTime: 1.5171 | SpatialAccuracy: N/A | DirectionAccuracy: 1.0000 | CorrectHand: N/A</t>
        </is>
      </c>
    </row>
    <row r="105" ht="17" customHeight="1">
      <c r="A105" s="6">
        <v>104</v>
      </c>
      <c r="B105" s="6" t="inlineStr">
        <is>
          <t>2026-10-02 12:25:11.587</t>
        </is>
      </c>
      <c r="C105" s="6" t="inlineStr">
        <is>
          <t>Interaction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Easy</t>
        </is>
      </c>
      <c r="K105" s="4">
        <v>1.0281</v>
      </c>
      <c r="L105" s="4">
        <v>0.0279</v>
      </c>
      <c r="M105" s="6">
        <v>109</v>
      </c>
      <c r="N105" s="6" t="inlineStr">
        <is>
          <t>2026-10-02 12:25:11.587 | Minigame: Shipi | Type: FoodCut | Outcome: Failed | Difficulty: Easy | ExpectedTime: 93.7280 | ActualTime: 92.6999 | TimingOffset: -1.0281 | TimingError: 1.0281 | ReactionTime: 0.0279 | SpatialAccuracy: N/A | DirectionAccuracy: 0.0000 | CorrectHand: N/A</t>
        </is>
      </c>
    </row>
    <row r="106" ht="17" customHeight="1">
      <c r="A106" s="0">
        <v>105</v>
      </c>
      <c r="B106" s="0" t="inlineStr">
        <is>
          <t>2026-10-02 12:25:15.475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K106" s="4">
        <v>0.2511</v>
      </c>
      <c r="M106" s="0">
        <v>110</v>
      </c>
      <c r="N106" s="0" t="inlineStr">
        <is>
          <t>2026-10-02 12:25:15.475 | Minigame: JuanAndres | Type: GroomStroke | Outcome: Failed | Difficulty: Easy | ExpectedTime: 96.1280 | ActualTime: 96.3791 | TimingOffset: 0.2511 | TimingError: 0.2511 | ReactionTime: N/A | SpatialAccuracy: N/A | DirectionAccuracy: 0.0000 | CorrectHand: True</t>
        </is>
      </c>
    </row>
    <row r="107" ht="17" customHeight="1">
      <c r="A107" s="6">
        <v>106</v>
      </c>
      <c r="B107" s="6" t="inlineStr">
        <is>
          <t>2026-10-02 12:25:15.475</t>
        </is>
      </c>
      <c r="C107" s="6" t="inlineStr">
        <is>
          <t>PlayerState</t>
        </is>
      </c>
      <c r="H107" s="6" t="inlineStr">
        <is>
          <t>Engaged</t>
        </is>
      </c>
      <c r="M107" s="6">
        <v>111</v>
      </c>
      <c r="N107" s="6" t="inlineStr">
        <is>
          <t>2026-10-02 12:25:15.475 | PlayerState: Engaged</t>
        </is>
      </c>
    </row>
    <row r="108" ht="17" customHeight="1">
      <c r="A108" s="0">
        <v>107</v>
      </c>
      <c r="B108" s="0" t="inlineStr">
        <is>
          <t>2026-10-02 12:25:16.613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K108" s="4">
        <v>0.1047</v>
      </c>
      <c r="M108" s="0">
        <v>112</v>
      </c>
      <c r="N108" s="0" t="inlineStr">
        <is>
          <t>2026-10-02 12:25:16.613 | Minigame: JuanAndres | Type: GroomStroke | Outcome: Success | Difficulty: Easy | ExpectedTime: 97.6640 | ActualTime: 97.5593 | TimingOffset: -0.1047 | TimingError: 0.1047 | ReactionTime: N/A | SpatialAccuracy: N/A | DirectionAccuracy: 1.0000 | CorrectHand: True</t>
        </is>
      </c>
    </row>
    <row r="109" ht="17" customHeight="1">
      <c r="A109" s="6">
        <v>108</v>
      </c>
      <c r="B109" s="6" t="inlineStr">
        <is>
          <t>2026-10-02 12:25:17.431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K109" s="4">
        <v>3.264</v>
      </c>
      <c r="M109" s="6">
        <v>113</v>
      </c>
      <c r="N109" s="6" t="inlineStr">
        <is>
          <t>2026-10-02 12:25:17.431 | Minigame: JuanAndres | Type: GroomStroke | Outcome: Failed | Difficulty: Easy | ExpectedTime: 94.9760 | ActualTime: 98.2400 | TimingOffset: 3.2640 | TimingError: 3.2640 | ReactionTime: N/A | SpatialAccuracy: N/A | DirectionAccuracy: 1.0000 | CorrectHand: False</t>
        </is>
      </c>
    </row>
    <row r="110" ht="17" customHeight="1">
      <c r="A110" s="0">
        <v>109</v>
      </c>
      <c r="B110" s="0" t="inlineStr">
        <is>
          <t>2026-10-02 12:25:17.904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Success</t>
        </is>
      </c>
      <c r="G110" s="0" t="inlineStr">
        <is>
          <t>Easy</t>
        </is>
      </c>
      <c r="K110" s="4">
        <v>0.0164</v>
      </c>
      <c r="M110" s="0">
        <v>114</v>
      </c>
      <c r="N110" s="0" t="inlineStr">
        <is>
          <t>2026-10-02 12:25:17.904 | Minigame: JuanAndres | Type: GroomStroke | Outcome: Success | Difficulty: Easy | ExpectedTime: 98.4320 | ActualTime: 98.4484 | TimingOffset: 0.0164 | TimingError: 0.0164 | ReactionTime: N/A | SpatialAccuracy: N/A | DirectionAccuracy: 1.0000 | CorrectHand: True</t>
        </is>
      </c>
    </row>
    <row r="111" ht="17" customHeight="1">
      <c r="A111" s="6">
        <v>110</v>
      </c>
      <c r="B111" s="6" t="inlineStr">
        <is>
          <t>2026-10-02 12:25:21.113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Easy</t>
        </is>
      </c>
      <c r="K111" s="4">
        <v>0.3702</v>
      </c>
      <c r="M111" s="6">
        <v>115</v>
      </c>
      <c r="N111" s="6" t="inlineStr">
        <is>
          <t>2026-10-02 12:25:21.113 | Minigame: JuanAndres | Type: GroomStroke | Outcome: Failed | Difficulty: Easy | ExpectedTime: 101.1200 | ActualTime: 101.4902 | TimingOffset: 0.3702 | TimingError: 0.3702 | ReactionTime: N/A | SpatialAccuracy: N/A | DirectionAccuracy: 0.0000 | CorrectHand: False</t>
        </is>
      </c>
    </row>
    <row r="112" ht="17" customHeight="1">
      <c r="A112" s="0">
        <v>111</v>
      </c>
      <c r="B112" s="0" t="inlineStr">
        <is>
          <t>2026-10-02 12:25:21.114</t>
        </is>
      </c>
      <c r="C112" s="0" t="inlineStr">
        <is>
          <t>PlayerState</t>
        </is>
      </c>
      <c r="H112" s="0" t="inlineStr">
        <is>
          <t>Overloaded</t>
        </is>
      </c>
      <c r="M112" s="0">
        <v>116</v>
      </c>
      <c r="N112" s="0" t="inlineStr">
        <is>
          <t>2026-10-02 12:25:21.114 | PlayerState: Overloaded</t>
        </is>
      </c>
    </row>
    <row r="113" ht="17" customHeight="1">
      <c r="A113" s="6">
        <v>112</v>
      </c>
      <c r="B113" s="6" t="inlineStr">
        <is>
          <t>2026-10-02 12:25:24.266</t>
        </is>
      </c>
      <c r="C113" s="6" t="inlineStr">
        <is>
          <t>Interaction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K113" s="4">
        <v>1.1454</v>
      </c>
      <c r="M113" s="6">
        <v>117</v>
      </c>
      <c r="N113" s="6" t="inlineStr">
        <is>
          <t>2026-10-02 12:25:24.266 | Minigame: JuanAndres | Type: GroomStroke | Outcome: Success | Difficulty: Easy | ExpectedTime: 104.1920 | ActualTime: 105.3374 | TimingOffset: 1.1454 | TimingError: 1.1454 | ReactionTime: N/A | SpatialAccuracy: N/A | DirectionAccuracy: 1.0000 | CorrectHand: True</t>
        </is>
      </c>
    </row>
    <row r="114" ht="17" customHeight="1">
      <c r="A114" s="0">
        <v>113</v>
      </c>
      <c r="B114" s="0" t="inlineStr">
        <is>
          <t>2026-10-02 12:25:25.433</t>
        </is>
      </c>
      <c r="C114" s="0" t="inlineStr">
        <is>
          <t>Interaction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Failed</t>
        </is>
      </c>
      <c r="G114" s="0" t="inlineStr">
        <is>
          <t>Easy</t>
        </is>
      </c>
      <c r="K114" s="4">
        <v>3.7092</v>
      </c>
      <c r="M114" s="0">
        <v>118</v>
      </c>
      <c r="N114" s="0" t="inlineStr">
        <is>
          <t>2026-10-02 12:25:25.433 | Minigame: JuanAndres | Type: GroomStroke | Outcome: Failed | Difficulty: Easy | ExpectedTime: 102.6560 | ActualTime: 106.3652 | TimingOffset: 3.7092 | TimingError: 3.7092 | ReactionTime: N/A | SpatialAccuracy: N/A | DirectionAccuracy: 0.0000 | CorrectHand: True</t>
        </is>
      </c>
    </row>
    <row r="115" ht="17" customHeight="1">
      <c r="A115" s="6">
        <v>114</v>
      </c>
      <c r="B115" s="6" t="inlineStr">
        <is>
          <t>2026-10-02 12:25:28.306</t>
        </is>
      </c>
      <c r="C115" s="6" t="inlineStr">
        <is>
          <t>Interaction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K115" s="4">
        <v>1.3328</v>
      </c>
      <c r="M115" s="6">
        <v>119</v>
      </c>
      <c r="N115" s="6" t="inlineStr">
        <is>
          <t>2026-10-02 12:25:28.306 | Minigame: JuanAndres | Type: GroomStroke | Outcome: Failed | Difficulty: Easy | ExpectedTime: 108.0320 | ActualTime: 109.3648 | TimingOffset: 1.3328 | TimingError: 1.3328 | ReactionTime: N/A | SpatialAccuracy: N/A | DirectionAccuracy: 0.0000 | CorrectHand: False</t>
        </is>
      </c>
    </row>
    <row r="116" ht="17" customHeight="1">
      <c r="A116" s="0">
        <v>115</v>
      </c>
      <c r="B116" s="0" t="inlineStr">
        <is>
          <t>2026-10-02 12:25:28.626</t>
        </is>
      </c>
      <c r="C116" s="0" t="inlineStr">
        <is>
          <t>Interaction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K116" s="4">
        <v>2.8043</v>
      </c>
      <c r="M116" s="0">
        <v>120</v>
      </c>
      <c r="N116" s="0" t="inlineStr">
        <is>
          <t>2026-10-02 12:25:28.626 | Minigame: JuanAndres | Type: GroomStroke | Outcome: Failed | Difficulty: Easy | ExpectedTime: 106.8800 | ActualTime: 109.6843 | TimingOffset: 2.8043 | TimingError: 2.8043 | ReactionTime: N/A | SpatialAccuracy: N/A | DirectionAccuracy: 0.0000 | CorrectHand: False</t>
        </is>
      </c>
    </row>
    <row r="117" ht="17" customHeight="1">
      <c r="A117" s="6">
        <v>116</v>
      </c>
      <c r="B117" s="6" t="inlineStr">
        <is>
          <t>2026-10-02 12:25:30.709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Failed</t>
        </is>
      </c>
      <c r="G117" s="6" t="inlineStr">
        <is>
          <t>Easy</t>
        </is>
      </c>
      <c r="K117" s="4">
        <v>0.6634</v>
      </c>
      <c r="M117" s="6">
        <v>121</v>
      </c>
      <c r="N117" s="6" t="inlineStr">
        <is>
          <t>2026-10-02 12:25:30.709 | Minigame: JuanAndres | Type: GroomStroke | Outcome: Failed | Difficulty: Easy | ExpectedTime: 111.1040 | ActualTime: 111.7674 | TimingOffset: 0.6634 | TimingError: 0.6634 | ReactionTime: N/A | SpatialAccuracy: N/A | DirectionAccuracy: 0.0000 | CorrectHand: False</t>
        </is>
      </c>
    </row>
    <row r="118" ht="17" customHeight="1">
      <c r="A118" s="0">
        <v>117</v>
      </c>
      <c r="B118" s="0" t="inlineStr">
        <is>
          <t>2026-10-02 12:25:35.711</t>
        </is>
      </c>
      <c r="C118" s="0" t="inlineStr">
        <is>
          <t>PlayerState</t>
        </is>
      </c>
      <c r="H118" s="0" t="inlineStr">
        <is>
          <t>Idle</t>
        </is>
      </c>
      <c r="M118" s="0">
        <v>122</v>
      </c>
      <c r="N118" s="0" t="inlineStr">
        <is>
          <t>2026-10-02 12:25:35.711 | PlayerState: Idle</t>
        </is>
      </c>
    </row>
    <row r="119" ht="17" customHeight="1">
      <c r="A119" s="6">
        <v>118</v>
      </c>
      <c r="B119" s="6" t="inlineStr">
        <is>
          <t>2026-10-02 12:25:36.850</t>
        </is>
      </c>
      <c r="C119" s="6" t="inlineStr">
        <is>
          <t>Interaction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Failed</t>
        </is>
      </c>
      <c r="G119" s="6" t="inlineStr">
        <is>
          <t>Easy</t>
        </is>
      </c>
      <c r="K119" s="4">
        <v>4.1153</v>
      </c>
      <c r="M119" s="6">
        <v>123</v>
      </c>
      <c r="N119" s="6" t="inlineStr">
        <is>
          <t>2026-10-02 12:25:36.850 | Minigame: JuanAndres | Type: GroomStroke | Outcome: Failed | Difficulty: Easy | ExpectedTime: 113.7920 | ActualTime: 117.9073 | TimingOffset: 4.1153 | TimingError: 4.1153 | ReactionTime: N/A | SpatialAccuracy: N/A | DirectionAccuracy: 0.0000 | CorrectHand: False</t>
        </is>
      </c>
    </row>
    <row r="120" ht="17" customHeight="1">
      <c r="A120" s="0">
        <v>119</v>
      </c>
      <c r="B120" s="0" t="inlineStr">
        <is>
          <t>2026-10-02 12:25:36.850</t>
        </is>
      </c>
      <c r="C120" s="0" t="inlineStr">
        <is>
          <t>PlayerState</t>
        </is>
      </c>
      <c r="H120" s="0" t="inlineStr">
        <is>
          <t>Engaged</t>
        </is>
      </c>
      <c r="M120" s="0">
        <v>124</v>
      </c>
      <c r="N120" s="0" t="inlineStr">
        <is>
          <t>2026-10-02 12:25:36.850 | PlayerState: Engaged</t>
        </is>
      </c>
    </row>
    <row r="121" ht="17" customHeight="1">
      <c r="A121" s="6">
        <v>120</v>
      </c>
      <c r="B121" s="6" t="inlineStr">
        <is>
          <t>2026-10-02 12:25:37.655</t>
        </is>
      </c>
      <c r="C121" s="6" t="inlineStr">
        <is>
          <t>Interaction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Success</t>
        </is>
      </c>
      <c r="G121" s="6" t="inlineStr">
        <is>
          <t>Easy</t>
        </is>
      </c>
      <c r="K121" s="4">
        <v>5.7032</v>
      </c>
      <c r="M121" s="6">
        <v>125</v>
      </c>
      <c r="N121" s="6" t="inlineStr">
        <is>
          <t>2026-10-02 12:25:37.655 | Minigame: JuanAndres | Type: GroomStroke | Outcome: Success | Difficulty: Easy | ExpectedTime: 113.0240 | ActualTime: 118.7272 | TimingOffset: 5.7032 | TimingError: 5.7032 | ReactionTime: N/A | SpatialAccuracy: N/A | DirectionAccuracy: 1.0000 | CorrectHand: True</t>
        </is>
      </c>
    </row>
    <row r="122" ht="17" customHeight="1">
      <c r="A122" s="0">
        <v>121</v>
      </c>
      <c r="B122" s="0" t="inlineStr">
        <is>
          <t>2026-10-02 12:25:41.975</t>
        </is>
      </c>
      <c r="C122" s="0" t="inlineStr">
        <is>
          <t>Interaction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Failed</t>
        </is>
      </c>
      <c r="G122" s="0" t="inlineStr">
        <is>
          <t>Easy</t>
        </is>
      </c>
      <c r="K122" s="4">
        <v>3.0691</v>
      </c>
      <c r="M122" s="0">
        <v>126</v>
      </c>
      <c r="N122" s="0" t="inlineStr">
        <is>
          <t>2026-10-02 12:25:41.975 | Minigame: JuanAndres | Type: GroomStroke | Outcome: Failed | Difficulty: Easy | ExpectedTime: 119.9360 | ActualTime: 123.0051 | TimingOffset: 3.0691 | TimingError: 3.0691 | ReactionTime: N/A | SpatialAccuracy: N/A | DirectionAccuracy: 1.0000 | CorrectHand: False</t>
        </is>
      </c>
    </row>
    <row r="123" ht="17" customHeight="1">
      <c r="A123" s="6">
        <v>122</v>
      </c>
      <c r="B123" s="6" t="inlineStr">
        <is>
          <t>2026-10-02 12:25:43.197</t>
        </is>
      </c>
      <c r="C123" s="6" t="inlineStr">
        <is>
          <t>Interaction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Failed</t>
        </is>
      </c>
      <c r="G123" s="6" t="inlineStr">
        <is>
          <t>Easy</t>
        </is>
      </c>
      <c r="K123" s="4">
        <v>2.7547</v>
      </c>
      <c r="M123" s="6">
        <v>127</v>
      </c>
      <c r="N123" s="6" t="inlineStr">
        <is>
          <t>2026-10-02 12:25:43.197 | Minigame: JuanAndres | Type: GroomStroke | Outcome: Failed | Difficulty: Easy | ExpectedTime: 121.4720 | ActualTime: 124.2267 | TimingOffset: 2.7547 | TimingError: 2.7547 | ReactionTime: N/A | SpatialAccuracy: N/A | DirectionAccuracy: 0.0000 | CorrectHand: True</t>
        </is>
      </c>
    </row>
    <row r="124" ht="17" customHeight="1">
      <c r="A124" s="0">
        <v>123</v>
      </c>
      <c r="B124" s="0" t="inlineStr">
        <is>
          <t>2026-10-02 12:25:46.624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PlayerHit</t>
        </is>
      </c>
      <c r="F124" s="0" t="inlineStr">
        <is>
          <t>Failed</t>
        </is>
      </c>
      <c r="G124" s="0" t="inlineStr">
        <is>
          <t>Easy</t>
        </is>
      </c>
      <c r="M124" s="0">
        <v>128</v>
      </c>
      <c r="N124" s="0" t="inlineStr">
        <is>
          <t>2026-10-02 12:25:46.624 | Minigame: Danniel | Type: PlayerHit | Outcome: Failed | Difficulty: Easy | ExpectedTime: 127.7381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12:25:46.626</t>
        </is>
      </c>
      <c r="C125" s="6" t="inlineStr">
        <is>
          <t>PlayerState</t>
        </is>
      </c>
      <c r="H125" s="6" t="inlineStr">
        <is>
          <t>Idle</t>
        </is>
      </c>
      <c r="M125" s="6">
        <v>129</v>
      </c>
      <c r="N125" s="6" t="inlineStr">
        <is>
          <t>2026-10-02 12:25:46.626 | PlayerState: Idle</t>
        </is>
      </c>
    </row>
    <row r="126" ht="17" customHeight="1">
      <c r="A126" s="0">
        <v>125</v>
      </c>
      <c r="B126" s="0" t="inlineStr">
        <is>
          <t>2026-10-02 12:25:49.710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Easy</t>
        </is>
      </c>
      <c r="M126" s="0">
        <v>130</v>
      </c>
      <c r="N126" s="0" t="inlineStr">
        <is>
          <t>2026-10-02 12:25:49.710 | Minigame: Danniel | Type: PlayerHit | Outcome: Failed | Difficulty: Easy | ExpectedTime: 130.8235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12:25:51.058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Failed</t>
        </is>
      </c>
      <c r="G127" s="6" t="inlineStr">
        <is>
          <t>Easy</t>
        </is>
      </c>
      <c r="M127" s="6">
        <v>131</v>
      </c>
      <c r="N127" s="6" t="inlineStr">
        <is>
          <t>2026-10-02 12:25:51.058 | Minigame: Danniel | Type: GunShoot | Outcome: Failed | Difficulty: Easy | ExpectedTime: 132.1709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12:25:51.058</t>
        </is>
      </c>
      <c r="C128" s="0" t="inlineStr">
        <is>
          <t>PlayerState</t>
        </is>
      </c>
      <c r="H128" s="0" t="inlineStr">
        <is>
          <t>Engaged</t>
        </is>
      </c>
      <c r="M128" s="0">
        <v>132</v>
      </c>
      <c r="N128" s="0" t="inlineStr">
        <is>
          <t>2026-10-02 12:25:51.058 | PlayerState: Engaged</t>
        </is>
      </c>
    </row>
    <row r="129" ht="17" customHeight="1">
      <c r="A129" s="6">
        <v>128</v>
      </c>
      <c r="B129" s="6" t="inlineStr">
        <is>
          <t>2026-10-02 12:25:51.336</t>
        </is>
      </c>
      <c r="C129" s="6" t="inlineStr">
        <is>
          <t>Interaction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K129" s="4">
        <v>0.1781</v>
      </c>
      <c r="M129" s="6">
        <v>133</v>
      </c>
      <c r="N129" s="6" t="inlineStr">
        <is>
          <t>2026-10-02 12:25:51.336 | Minigame: Danniel | Type: GunShoot | Outcome: Success | Difficulty: Easy | ExpectedTime: 131.8400 | ActualTime: 132.0181 | TimingOffset: 0.1781 | TimingError: 0.1781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12:25:51.475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PlayerHit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12:25:51.475 | Minigame: Danniel | Type: PlayerHit | Outcome: Failed | Difficulty: Easy | ExpectedTime: 132.5879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12:25:51.753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Failed</t>
        </is>
      </c>
      <c r="G131" s="6" t="inlineStr">
        <is>
          <t>Easy</t>
        </is>
      </c>
      <c r="M131" s="6">
        <v>135</v>
      </c>
      <c r="N131" s="6" t="inlineStr">
        <is>
          <t>2026-10-02 12:25:51.753 | Minigame: Danniel | Type: GunShoot | Outcome: Failed | Difficulty: Easy | ExpectedTime: 132.8655 | ActualTime: N/A | TimingOffset: N/A | TimingError: N/A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12:25:52.808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Failed</t>
        </is>
      </c>
      <c r="G132" s="0" t="inlineStr">
        <is>
          <t>Easy</t>
        </is>
      </c>
      <c r="M132" s="0">
        <v>136</v>
      </c>
      <c r="N132" s="0" t="inlineStr">
        <is>
          <t>2026-10-02 12:25:52.808 | Minigame: Danniel | Type: GunShoot | Outcome: Failed | Difficulty: Easy | ExpectedTime: 133.9214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12:25:52.809</t>
        </is>
      </c>
      <c r="C133" s="6" t="inlineStr">
        <is>
          <t>PlayerState</t>
        </is>
      </c>
      <c r="H133" s="6" t="inlineStr">
        <is>
          <t>Overloaded</t>
        </is>
      </c>
      <c r="M133" s="6">
        <v>137</v>
      </c>
      <c r="N133" s="6" t="inlineStr">
        <is>
          <t>2026-10-02 12:25:52.809 | PlayerState: Overloaded</t>
        </is>
      </c>
    </row>
    <row r="134" ht="17" customHeight="1">
      <c r="A134" s="0">
        <v>133</v>
      </c>
      <c r="B134" s="0" t="inlineStr">
        <is>
          <t>2026-10-02 12:25:54.086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Failed</t>
        </is>
      </c>
      <c r="G134" s="0" t="inlineStr">
        <is>
          <t>Easy</t>
        </is>
      </c>
      <c r="M134" s="0">
        <v>138</v>
      </c>
      <c r="N134" s="0" t="inlineStr">
        <is>
          <t>2026-10-02 12:25:54.086 | Minigame: Danniel | Type: GunShoot | Outcome: Failed | Difficulty: Easy | ExpectedTime: 135.1991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12:25:54.223</t>
        </is>
      </c>
      <c r="C135" s="6" t="inlineStr">
        <is>
          <t>Interaction</t>
        </is>
      </c>
      <c r="D135" s="6" t="inlineStr">
        <is>
          <t>Danniel</t>
        </is>
      </c>
      <c r="E135" s="6" t="inlineStr">
        <is>
          <t>PlayerHit</t>
        </is>
      </c>
      <c r="F135" s="6" t="inlineStr">
        <is>
          <t>Failed</t>
        </is>
      </c>
      <c r="G135" s="6" t="inlineStr">
        <is>
          <t>Easy</t>
        </is>
      </c>
      <c r="M135" s="6">
        <v>139</v>
      </c>
      <c r="N135" s="6" t="inlineStr">
        <is>
          <t>2026-10-02 12:25:54.223 | Minigame: Danniel | Type: PlayerHit | Outcome: Failed | Difficulty: Easy | ExpectedTime: 135.3376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12:25:54.530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Success</t>
        </is>
      </c>
      <c r="G136" s="0" t="inlineStr">
        <is>
          <t>Easy</t>
        </is>
      </c>
      <c r="K136" s="4">
        <v>0.1431</v>
      </c>
      <c r="M136" s="0">
        <v>140</v>
      </c>
      <c r="N136" s="0" t="inlineStr">
        <is>
          <t>2026-10-02 12:25:54.530 | Minigame: Danniel | Type: GunShoot | Outcome: Success | Difficulty: Easy | ExpectedTime: 134.5280 | ActualTime: 134.6711 | TimingOffset: 0.1431 | TimingError: 0.1431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12:25:55.073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M137" s="6">
        <v>141</v>
      </c>
      <c r="N137" s="6" t="inlineStr">
        <is>
          <t>2026-10-02 12:25:55.073 | Minigame: Danniel | Type: GunShoot | Outcome: Failed | Difficulty: Easy | ExpectedTime: 136.1853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12:25:55.905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Failed</t>
        </is>
      </c>
      <c r="G138" s="0" t="inlineStr">
        <is>
          <t>Easy</t>
        </is>
      </c>
      <c r="M138" s="0">
        <v>142</v>
      </c>
      <c r="N138" s="0" t="inlineStr">
        <is>
          <t>2026-10-02 12:25:55.905 | Minigame: Danniel | Type: GunShoot | Outcome: Failed | Difficulty: Easy | ExpectedTime: 137.0184 | ActualTime: N/A | TimingOffset: N/A | TimingError: N/A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12:25:57.030</t>
        </is>
      </c>
      <c r="C139" s="6" t="inlineStr">
        <is>
          <t>Interaction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Failed</t>
        </is>
      </c>
      <c r="G139" s="6" t="inlineStr">
        <is>
          <t>Easy</t>
        </is>
      </c>
      <c r="M139" s="6">
        <v>143</v>
      </c>
      <c r="N139" s="6" t="inlineStr">
        <is>
          <t>2026-10-02 12:25:57.030 | Minigame: Danniel | Type: GunShoot | Outcome: Failed | Difficulty: Easy | ExpectedTime: 138.1435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12:25:57.197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Success</t>
        </is>
      </c>
      <c r="G140" s="0" t="inlineStr">
        <is>
          <t>Easy</t>
        </is>
      </c>
      <c r="K140" s="4">
        <v>0.1373</v>
      </c>
      <c r="M140" s="0">
        <v>144</v>
      </c>
      <c r="N140" s="0" t="inlineStr">
        <is>
          <t>2026-10-02 12:25:57.197 | Minigame: Danniel | Type: GunShoot | Outcome: Success | Difficulty: Easy | ExpectedTime: 137.6000 | ActualTime: 137.4627 | TimingOffset: -0.1373 | TimingError: 0.1373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12:25:57.405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PlayerHit</t>
        </is>
      </c>
      <c r="F141" s="6" t="inlineStr">
        <is>
          <t>Failed</t>
        </is>
      </c>
      <c r="G141" s="6" t="inlineStr">
        <is>
          <t>Easy</t>
        </is>
      </c>
      <c r="M141" s="6">
        <v>145</v>
      </c>
      <c r="N141" s="6" t="inlineStr">
        <is>
          <t>2026-10-02 12:25:57.405 | Minigame: Danniel | Type: PlayerHit | Outcome: Failed | Difficulty: Easy | ExpectedTime: 138.5186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12:25:58.072</t>
        </is>
      </c>
      <c r="C142" s="0" t="inlineStr">
        <is>
          <t>Interaction</t>
        </is>
      </c>
      <c r="D142" s="0" t="inlineStr">
        <is>
          <t>Danniel</t>
        </is>
      </c>
      <c r="E142" s="0" t="inlineStr">
        <is>
          <t>GunShoot</t>
        </is>
      </c>
      <c r="F142" s="0" t="inlineStr">
        <is>
          <t>Failed</t>
        </is>
      </c>
      <c r="G142" s="0" t="inlineStr">
        <is>
          <t>Easy</t>
        </is>
      </c>
      <c r="M142" s="0">
        <v>146</v>
      </c>
      <c r="N142" s="0" t="inlineStr">
        <is>
          <t>2026-10-02 12:25:58.072 | Minigame: Danniel | Type: GunShoot | Outcome: Failed | Difficulty: Easy | ExpectedTime: 139.1850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12:25:59.266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K143" s="4">
        <v>0.1128</v>
      </c>
      <c r="M143" s="6">
        <v>147</v>
      </c>
      <c r="N143" s="6" t="inlineStr">
        <is>
          <t>2026-10-02 12:25:59.266 | Minigame: Danniel | Type: GunShoot | Outcome: Success | Difficulty: Easy | ExpectedTime: 139.5200 | ActualTime: 139.4072 | TimingOffset: -0.1128 | TimingError: 0.1128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12:25:59.349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Failed</t>
        </is>
      </c>
      <c r="G144" s="0" t="inlineStr">
        <is>
          <t>Easy</t>
        </is>
      </c>
      <c r="M144" s="0">
        <v>148</v>
      </c>
      <c r="N144" s="0" t="inlineStr">
        <is>
          <t>2026-10-02 12:25:59.349 | Minigame: Danniel | Type: GunShoot | Outcome: Failed | Difficulty: Easy | ExpectedTime: 140.4630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12:26:00.447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M145" s="6">
        <v>149</v>
      </c>
      <c r="N145" s="6" t="inlineStr">
        <is>
          <t>2026-10-02 12:26:00.447 | Minigame: Danniel | Type: GunShoot | Outcome: Failed | Difficulty: Easy | ExpectedTime: 141.5604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12:26:01.447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Failed</t>
        </is>
      </c>
      <c r="G146" s="0" t="inlineStr">
        <is>
          <t>Easy</t>
        </is>
      </c>
      <c r="M146" s="0">
        <v>150</v>
      </c>
      <c r="N146" s="0" t="inlineStr">
        <is>
          <t>2026-10-02 12:26:01.447 | Minigame: Danniel | Type: GunShoot | Outcome: Failed | Difficulty: Easy | ExpectedTime: 142.5602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12:26:02.669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Failed</t>
        </is>
      </c>
      <c r="G147" s="6" t="inlineStr">
        <is>
          <t>Easy</t>
        </is>
      </c>
      <c r="M147" s="6">
        <v>151</v>
      </c>
      <c r="N147" s="6" t="inlineStr">
        <is>
          <t>2026-10-02 12:26:02.669 | Minigame: Danniel | Type: GunShoot | Outcome: Failed | Difficulty: Easy | ExpectedTime: 143.7829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12:26:02.988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Success</t>
        </is>
      </c>
      <c r="G148" s="0" t="inlineStr">
        <is>
          <t>Easy</t>
        </is>
      </c>
      <c r="K148" s="4">
        <v>0.1252</v>
      </c>
      <c r="M148" s="0">
        <v>152</v>
      </c>
      <c r="N148" s="0" t="inlineStr">
        <is>
          <t>2026-10-02 12:26:02.988 | Minigame: Danniel | Type: GunShoot | Outcome: Success | Difficulty: Easy | ExpectedTime: 142.9760 | ActualTime: 143.1012 | TimingOffset: 0.1252 | TimingError: 0.1252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12:26:03.987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Failed</t>
        </is>
      </c>
      <c r="G149" s="6" t="inlineStr">
        <is>
          <t>Easy</t>
        </is>
      </c>
      <c r="M149" s="6">
        <v>153</v>
      </c>
      <c r="N149" s="6" t="inlineStr">
        <is>
          <t>2026-10-02 12:26:03.987 | Minigame: Danniel | Type: GunShoot | Outcome: Failed | Difficulty: Easy | ExpectedTime: 145.1012 | ActualTime: N/A | TimingOffset: N/A | TimingError: N/A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12:26:08.987</t>
        </is>
      </c>
      <c r="C150" s="0" t="inlineStr">
        <is>
          <t>PlayerState</t>
        </is>
      </c>
      <c r="H150" s="0" t="inlineStr">
        <is>
          <t>Idle</t>
        </is>
      </c>
      <c r="M150" s="0">
        <v>154</v>
      </c>
      <c r="N150" s="0" t="inlineStr">
        <is>
          <t>2026-10-02 12:26:08.987 | PlayerState: Idle</t>
        </is>
      </c>
    </row>
    <row r="151" ht="17" customHeight="1">
      <c r="A151" s="6">
        <v>150</v>
      </c>
      <c r="B151" s="6" t="inlineStr">
        <is>
          <t>2026-10-02 12:26:11.806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Missed</t>
        </is>
      </c>
      <c r="G151" s="6" t="inlineStr">
        <is>
          <t>Easy</t>
        </is>
      </c>
      <c r="M151" s="6">
        <v>155</v>
      </c>
      <c r="N151" s="6" t="inlineStr">
        <is>
          <t>2026-10-02 12:26:11.806 | Minigame: Danniel | Type: GunShoot | Outcome: Missed | Difficulty: Easy | ExpectedTime: 152.9193 | ActualTime: N/A | TimingOffset: N/A | TimingError: N/A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12:26:11.806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Missed</t>
        </is>
      </c>
      <c r="G152" s="0" t="inlineStr">
        <is>
          <t>Easy</t>
        </is>
      </c>
      <c r="M152" s="0">
        <v>156</v>
      </c>
      <c r="N152" s="0" t="inlineStr">
        <is>
          <t>2026-10-02 12:26:11.806 | Minigame: Danniel | Type: GunShoot | Outcome: Missed | Difficulty: Easy | ExpectedTime: 152.9193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12:26:11.806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Missed</t>
        </is>
      </c>
      <c r="G153" s="6" t="inlineStr">
        <is>
          <t>Easy</t>
        </is>
      </c>
      <c r="M153" s="6">
        <v>157</v>
      </c>
      <c r="N153" s="6" t="inlineStr">
        <is>
          <t>2026-10-02 12:26:11.806 | Minigame: Danniel | Type: GunShoot | Outcome: Missed | Difficulty: Easy | ExpectedTime: 152.9193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12:26:12.445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Success</t>
        </is>
      </c>
      <c r="G154" s="0" t="inlineStr">
        <is>
          <t>Easy</t>
        </is>
      </c>
      <c r="K154" s="4">
        <v>0.1335</v>
      </c>
      <c r="M154" s="0">
        <v>158</v>
      </c>
      <c r="N154" s="0" t="inlineStr">
        <is>
          <t>2026-10-02 12:26:12.445 | Minigame: Danniel | Type: GunShoot | Outcome: Success | Difficulty: Easy | ExpectedTime: 153.3440 | ActualTime: 153.2105 | TimingOffset: -0.1335 | TimingError: 0.1335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12:26:12.445</t>
        </is>
      </c>
      <c r="C155" s="6" t="inlineStr">
        <is>
          <t>PlayerState</t>
        </is>
      </c>
      <c r="H155" s="6" t="inlineStr">
        <is>
          <t>Engaged</t>
        </is>
      </c>
      <c r="M155" s="6">
        <v>159</v>
      </c>
      <c r="N155" s="6" t="inlineStr">
        <is>
          <t>2026-10-02 12:26:12.445 | PlayerState: Engaged</t>
        </is>
      </c>
    </row>
    <row r="156" ht="17" customHeight="1">
      <c r="A156" s="0">
        <v>155</v>
      </c>
      <c r="B156" s="0" t="inlineStr">
        <is>
          <t>2026-10-02 12:26:12.596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12:26:12.596 | Minigame: Danniel | Type: GunShoot | Outcome: Failed | Difficulty: Easy | ExpectedTime: 153.7106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12:26:17.585</t>
        </is>
      </c>
      <c r="C157" s="6" t="inlineStr">
        <is>
          <t>PlayerState</t>
        </is>
      </c>
      <c r="H157" s="6" t="inlineStr">
        <is>
          <t>Idle</t>
        </is>
      </c>
      <c r="M157" s="6">
        <v>161</v>
      </c>
      <c r="N157" s="6" t="inlineStr">
        <is>
          <t>2026-10-02 12:26:17.585 | PlayerState: Idle</t>
        </is>
      </c>
    </row>
    <row r="158" ht="17" customHeight="1">
      <c r="A158" s="0">
        <v>157</v>
      </c>
      <c r="B158" s="0" t="inlineStr">
        <is>
          <t>2026-10-02 12:26:24.433</t>
        </is>
      </c>
      <c r="C158" s="0" t="inlineStr">
        <is>
          <t>Interaction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Success</t>
        </is>
      </c>
      <c r="G158" s="0" t="inlineStr">
        <is>
          <t>Easy</t>
        </is>
      </c>
      <c r="K158" s="4">
        <v>0.1392</v>
      </c>
      <c r="M158" s="0">
        <v>162</v>
      </c>
      <c r="N158" s="0" t="inlineStr">
        <is>
          <t>2026-10-02 12:26:24.433 | Minigame: Jeremy | Type: SwordCut | Outcome: Success | Difficulty: Easy | ExpectedTime: 165.4073 | ActualTime: 165.5466 | TimingOffset: 0.1392 | TimingError: 0.1392 | ReactionTime: N/A | SpatialAccuracy: N/A | DirectionAccuracy: 1.0000 | CorrectHand: True</t>
        </is>
      </c>
    </row>
    <row r="159" ht="17" customHeight="1">
      <c r="A159" s="6">
        <v>158</v>
      </c>
      <c r="B159" s="6" t="inlineStr">
        <is>
          <t>2026-10-02 12:26:24.434</t>
        </is>
      </c>
      <c r="C159" s="6" t="inlineStr">
        <is>
          <t>PlayerState</t>
        </is>
      </c>
      <c r="H159" s="6" t="inlineStr">
        <is>
          <t>Engaged</t>
        </is>
      </c>
      <c r="M159" s="6">
        <v>163</v>
      </c>
      <c r="N159" s="6" t="inlineStr">
        <is>
          <t>2026-10-02 12:26:24.434 | PlayerState: Engaged</t>
        </is>
      </c>
    </row>
    <row r="160" ht="17" customHeight="1">
      <c r="A160" s="0">
        <v>159</v>
      </c>
      <c r="B160" s="0" t="inlineStr">
        <is>
          <t>2026-10-02 12:26:27.016</t>
        </is>
      </c>
      <c r="C160" s="0" t="inlineStr">
        <is>
          <t>Interaction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Success</t>
        </is>
      </c>
      <c r="G160" s="0" t="inlineStr">
        <is>
          <t>Easy</t>
        </is>
      </c>
      <c r="K160" s="4">
        <v>0.4243</v>
      </c>
      <c r="M160" s="0">
        <v>164</v>
      </c>
      <c r="N160" s="0" t="inlineStr">
        <is>
          <t>2026-10-02 12:26:27.016 | Minigame: Jeremy | Type: SwordCut | Outcome: Success | Difficulty: Easy | ExpectedTime: 167.7061 | ActualTime: 168.1304 | TimingOffset: 0.4243 | TimingError: 0.4243 | ReactionTime: N/A | SpatialAccuracy: N/A | DirectionAccuracy: 1.0000 | CorrectHand: True</t>
        </is>
      </c>
    </row>
    <row r="161" ht="17" customHeight="1">
      <c r="A161" s="6">
        <v>160</v>
      </c>
      <c r="B161" s="6" t="inlineStr">
        <is>
          <t>2026-10-02 12:26:29.170</t>
        </is>
      </c>
      <c r="C161" s="6" t="inlineStr">
        <is>
          <t>Interaction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Failed</t>
        </is>
      </c>
      <c r="G161" s="6" t="inlineStr">
        <is>
          <t>Easy</t>
        </is>
      </c>
      <c r="K161" s="4">
        <v>0.2782</v>
      </c>
      <c r="M161" s="6">
        <v>165</v>
      </c>
      <c r="N161" s="6" t="inlineStr">
        <is>
          <t>2026-10-02 12:26:29.170 | Minigame: Jeremy | Type: SwordCut | Outcome: Failed | Difficulty: Easy | ExpectedTime: 170.0049 | ActualTime: 170.2831 | TimingOffset: 0.2782 | TimingError: 0.2782 | ReactionTime: N/A | SpatialAccuracy: N/A | DirectionAccuracy: 0.0000 | CorrectHand: True</t>
        </is>
      </c>
    </row>
    <row r="162" ht="17" customHeight="1">
      <c r="A162" s="0">
        <v>161</v>
      </c>
      <c r="B162" s="0" t="inlineStr">
        <is>
          <t>2026-10-02 12:26:30.892</t>
        </is>
      </c>
      <c r="C162" s="0" t="inlineStr">
        <is>
          <t>Interaction</t>
        </is>
      </c>
      <c r="D162" s="0" t="inlineStr">
        <is>
          <t>Jeremy</t>
        </is>
      </c>
      <c r="E162" s="0" t="inlineStr">
        <is>
          <t>SwordCut</t>
        </is>
      </c>
      <c r="F162" s="0" t="inlineStr">
        <is>
          <t>Success</t>
        </is>
      </c>
      <c r="G162" s="0" t="inlineStr">
        <is>
          <t>Easy</t>
        </is>
      </c>
      <c r="K162" s="4">
        <v>0.2984</v>
      </c>
      <c r="M162" s="0">
        <v>166</v>
      </c>
      <c r="N162" s="0" t="inlineStr">
        <is>
          <t>2026-10-02 12:26:30.892 | Minigame: Jeremy | Type: SwordCut | Outcome: Success | Difficulty: Easy | ExpectedTime: 172.3037 | ActualTime: 172.0053 | TimingOffset: -0.2984 | TimingError: 0.2984 | ReactionTime: N/A | SpatialAccuracy: N/A | DirectionAccuracy: 1.0000 | CorrectHand: True</t>
        </is>
      </c>
    </row>
    <row r="163" ht="17" customHeight="1">
      <c r="A163" s="6">
        <v>162</v>
      </c>
      <c r="B163" s="6" t="inlineStr">
        <is>
          <t>2026-10-02 12:26:33.474</t>
        </is>
      </c>
      <c r="C163" s="6" t="inlineStr">
        <is>
          <t>Interaction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Success</t>
        </is>
      </c>
      <c r="G163" s="6" t="inlineStr">
        <is>
          <t>Easy</t>
        </is>
      </c>
      <c r="K163" s="4">
        <v>0.015</v>
      </c>
      <c r="M163" s="6">
        <v>167</v>
      </c>
      <c r="N163" s="6" t="inlineStr">
        <is>
          <t>2026-10-02 12:26:33.474 | Minigame: Jeremy | Type: SwordCut | Outcome: Success | Difficulty: Easy | ExpectedTime: 174.6024 | ActualTime: 174.5874 | TimingOffset: -0.0150 | TimingError: 0.0150 | ReactionTime: N/A | SpatialAccuracy: N/A | DirectionAccuracy: 1.0000 | CorrectHand: True</t>
        </is>
      </c>
    </row>
    <row r="164" ht="17" customHeight="1">
      <c r="A164" s="0">
        <v>163</v>
      </c>
      <c r="B164" s="0" t="inlineStr">
        <is>
          <t>2026-10-02 12:26:35.558</t>
        </is>
      </c>
      <c r="C164" s="0" t="inlineStr">
        <is>
          <t>Interaction</t>
        </is>
      </c>
      <c r="D164" s="0" t="inlineStr">
        <is>
          <t>Jeremy</t>
        </is>
      </c>
      <c r="E164" s="0" t="inlineStr">
        <is>
          <t>SwordCut</t>
        </is>
      </c>
      <c r="F164" s="0" t="inlineStr">
        <is>
          <t>Success</t>
        </is>
      </c>
      <c r="G164" s="0" t="inlineStr">
        <is>
          <t>Easy</t>
        </is>
      </c>
      <c r="K164" s="4">
        <v>0.23</v>
      </c>
      <c r="M164" s="0">
        <v>168</v>
      </c>
      <c r="N164" s="0" t="inlineStr">
        <is>
          <t>2026-10-02 12:26:35.558 | Minigame: Jeremy | Type: SwordCut | Outcome: Success | Difficulty: Easy | ExpectedTime: 176.9012 | ActualTime: 176.6712 | TimingOffset: -0.2300 | TimingError: 0.2300 | ReactionTime: N/A | SpatialAccuracy: N/A | DirectionAccuracy: 1.0000 | CorrectHand: True</t>
        </is>
      </c>
    </row>
    <row r="165" ht="17" customHeight="1">
      <c r="A165" s="6">
        <v>164</v>
      </c>
      <c r="B165" s="6" t="inlineStr">
        <is>
          <t>2026-10-02 12:26:38.113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Success</t>
        </is>
      </c>
      <c r="G165" s="6" t="inlineStr">
        <is>
          <t>Easy</t>
        </is>
      </c>
      <c r="K165" s="4">
        <v>0.0263</v>
      </c>
      <c r="M165" s="6">
        <v>169</v>
      </c>
      <c r="N165" s="6" t="inlineStr">
        <is>
          <t>2026-10-02 12:26:38.113 | Minigame: Jeremy | Type: SwordCut | Outcome: Success | Difficulty: Easy | ExpectedTime: 179.2000 | ActualTime: 179.2263 | TimingOffset: 0.0263 | TimingError: 0.0263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12:26:40.307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Failed</t>
        </is>
      </c>
      <c r="G166" s="0" t="inlineStr">
        <is>
          <t>Easy</t>
        </is>
      </c>
      <c r="K166" s="4">
        <v>0.079</v>
      </c>
      <c r="M166" s="0">
        <v>170</v>
      </c>
      <c r="N166" s="0" t="inlineStr">
        <is>
          <t>2026-10-02 12:26:40.307 | Minigame: Jeremy | Type: SwordCut | Outcome: Failed | Difficulty: Easy | ExpectedTime: 181.4988 | ActualTime: 181.4198 | TimingOffset: -0.0790 | TimingError: 0.0790 | ReactionTime: N/A | SpatialAccuracy: N/A | DirectionAccuracy: 0.0000 | CorrectHand: False</t>
        </is>
      </c>
    </row>
    <row r="167" ht="17" customHeight="1">
      <c r="A167" s="6">
        <v>166</v>
      </c>
      <c r="B167" s="6" t="inlineStr">
        <is>
          <t>2026-10-02 12:26:45.306</t>
        </is>
      </c>
      <c r="C167" s="6" t="inlineStr">
        <is>
          <t>PlayerState</t>
        </is>
      </c>
      <c r="H167" s="6" t="inlineStr">
        <is>
          <t>Idle</t>
        </is>
      </c>
      <c r="M167" s="6">
        <v>171</v>
      </c>
      <c r="N167" s="6" t="inlineStr">
        <is>
          <t>2026-10-02 12:26:45.306 | PlayerState: Idle</t>
        </is>
      </c>
    </row>
  </sheetData>
  <autoFilter ref="A1:N167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