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<?xml version='1.0' encoding='utf-8'?>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ns1="http://schemas.openxmlformats.org/officeDocument/2006/relationships">
  <sheets>
    <sheet name="Resumen" sheetId="1" ns1:id="rId2"/>
    <sheet name="Por minijuego" sheetId="2" ns1:id="rId3"/>
    <sheet name="Por accion" sheetId="3" ns1:id="rId4"/>
    <sheet name="Interacciones" sheetId="4" ns1:id="rId5"/>
    <sheet name="Adaptaciones" sheetId="5" ns1:id="rId6"/>
    <sheet name="Estados jugador" sheetId="6" ns1:id="rId7"/>
    <sheet name="Todos eventos" sheetId="7" ns1:id="rId8"/>
    <sheet name="Diccionario" sheetId="8" ns1:id="rId9"/>
  </sheets>
  <calcPr calcId="191029" fullCalcOnLoad="1"/>
</workbook>
</file>

<file path=xl/styles.xml><?xml version="1.0" encoding="utf-8"?>
<styleSheet xmlns="http://schemas.openxmlformats.org/spreadsheetml/2006/main">
  <numFmts count="2">
    <numFmt numFmtId="164" formatCode="0.00%"/>
    <numFmt numFmtId="165" formatCode="0.0000"/>
  </numFmts>
  <fonts count="3">
    <font>
      <sz val="10"/>
      <name val="Aptos"/>
      <color rgb="FF233047"/>
    </font>
    <font>
      <sz val="10"/>
      <name val="Aptos"/>
      <b/>
      <color rgb="FFFFFFFF"/>
    </font>
    <font>
      <sz val="15"/>
      <name val="Aptos"/>
      <b/>
      <color rgb="FF152F4F"/>
    </font>
  </fonts>
  <fills count="4">
    <fill>
      <patternFill patternType="none"/>
    </fill>
    <fill>
      <patternFill patternType="gray125"/>
    </fill>
    <fill>
      <patternFill patternType="solid">
        <fgColor rgb="FF0F766E"/>
        <bgColor indexed="64"/>
      </patternFill>
    </fill>
    <fill>
      <patternFill patternType="solid">
        <fgColor rgb="FFF0F7F7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 applyNumberFormat="0" applyAlignment="1">
      <alignment vertical="center" wrapText="0"/>
    </xf>
    <xf numFmtId="0" fontId="1" fillId="2" borderId="0" xfId="0" applyNumberFormat="0" applyAlignment="1">
      <alignment vertical="center" wrapText="1"/>
    </xf>
    <xf numFmtId="0" fontId="2" fillId="0" borderId="0" xfId="0" applyNumberFormat="0" applyAlignment="1">
      <alignment vertical="center" wrapText="0"/>
    </xf>
    <xf numFmtId="164" fontId="0" fillId="0" borderId="0" xfId="0" applyNumberFormat="1" applyAlignment="1">
      <alignment vertical="center" wrapText="0"/>
    </xf>
    <xf numFmtId="165" fontId="0" fillId="0" borderId="0" xfId="0" applyNumberFormat="1" applyAlignment="1">
      <alignment vertical="center" wrapText="0"/>
    </xf>
    <xf numFmtId="0" fontId="1" fillId="2" borderId="0" xfId="0" applyNumberFormat="0" applyAlignment="1">
      <alignment vertical="center" wrapText="1"/>
    </xf>
    <xf numFmtId="0" fontId="0" fillId="3" borderId="0" xfId="0" applyNumberFormat="0" applyAlignment="1">
      <alignment vertical="center" wrapText="0"/>
    </xf>
  </cellXfs>
  <cellStyles count="1">
    <cellStyle name="Normal" xfId="0" builtinId="0"/>
  </cellStyles>
</styleSheet>
</file>

<file path=xl/_rels/workbook.xml.rels><?xml version='1.0' encoding='utf-8'?>
<Relationships xmlns="http://schemas.openxmlformats.org/package/2006/relationships"><Relationship Id="rId1" Type="http://schemas.openxmlformats.org/officeDocument/2006/relationships/styles" Target="styles.xml" /><Relationship Id="rId2" Type="http://schemas.openxmlformats.org/officeDocument/2006/relationships/worksheet" Target="worksheets/sheet1.xml" /><Relationship Id="rId3" Type="http://schemas.openxmlformats.org/officeDocument/2006/relationships/worksheet" Target="worksheets/sheet2.xml" /><Relationship Id="rId4" Type="http://schemas.openxmlformats.org/officeDocument/2006/relationships/worksheet" Target="worksheets/sheet3.xml" /><Relationship Id="rId5" Type="http://schemas.openxmlformats.org/officeDocument/2006/relationships/worksheet" Target="worksheets/sheet4.xml" /><Relationship Id="rId6" Type="http://schemas.openxmlformats.org/officeDocument/2006/relationships/worksheet" Target="worksheets/sheet5.xml" /><Relationship Id="rId7" Type="http://schemas.openxmlformats.org/officeDocument/2006/relationships/worksheet" Target="worksheets/sheet6.xml" /><Relationship Id="rId8" Type="http://schemas.openxmlformats.org/officeDocument/2006/relationships/worksheet" Target="worksheets/sheet7.xml" /><Relationship Id="rId9" Type="http://schemas.openxmlformats.org/officeDocument/2006/relationships/worksheet" Target="worksheets/sheet8.xml" /></Relationships>
</file>

<file path=xl/worksheets/sheet1.xml><?xml version="1.0" encoding="utf-8"?>
<worksheet xmlns="http://schemas.openxmlformats.org/spreadsheetml/2006/main">
  <dimension ref="A1:G20"/>
  <sheetViews>
    <sheetView workbookViewId="0">
      <pane ySplit="5" topLeftCell="A6" activePane="bottomLeft" state="frozen"/>
    </sheetView>
  </sheetViews>
  <sheetFormatPr defaultRowHeight="17"/>
  <cols>
    <col min="1" max="1" width="38" customWidth="1"/>
    <col min="2" max="2" width="23" customWidth="1"/>
    <col min="3" max="3" width="26" customWidth="1"/>
    <col min="4" max="4" width="3" customWidth="1"/>
    <col min="5" max="5" width="25" customWidth="1"/>
    <col min="6" max="6" width="14" customWidth="1"/>
    <col min="7" max="7" width="45" customWidth="1"/>
  </cols>
  <sheetData>
    <row r="1" ht="30" customHeight="1">
      <c r="A1" s="2" t="inlineStr">
        <is>
          <t>Resumen de sesión VR · P014</t>
        </is>
      </c>
    </row>
    <row r="2" ht="17" customHeight="1"/>
    <row r="3" ht="17" customHeight="1">
      <c r="A3" s="6" t="inlineStr">
        <is>
          <t>Inicio: 2026-10-02 14:36:24     |     Fuente: Metrics_P014_2026-10-02_14-36-24.txt</t>
        </is>
      </c>
    </row>
    <row r="4" ht="17" customHeight="1"/>
    <row r="5" ht="22" customHeight="1">
      <c r="A5" s="1" t="inlineStr">
        <is>
          <t>Indicador</t>
        </is>
      </c>
      <c r="B5" s="1" t="inlineStr">
        <is>
          <t>Reportado en log</t>
        </is>
      </c>
      <c r="C5" s="1" t="inlineStr">
        <is>
          <t>Calculado de eventos</t>
        </is>
      </c>
      <c r="E5" s="1" t="inlineStr">
        <is>
          <t>Otros registros</t>
        </is>
      </c>
      <c r="F5" s="1" t="inlineStr">
        <is>
          <t>Cantidad</t>
        </is>
      </c>
      <c r="G5" s="1" t="inlineStr">
        <is>
          <t>Descripción</t>
        </is>
      </c>
    </row>
    <row r="6" ht="17" customHeight="1">
      <c r="A6" s="0" t="inlineStr">
        <is>
          <t>Interacciones totales</t>
        </is>
      </c>
      <c r="B6" s="0">
        <v>102.0</v>
      </c>
      <c r="C6" s="0">
        <f>COUNTA('Interacciones'!$A$2:$A$103)</f>
        <v>102</v>
      </c>
      <c r="E6" s="0" t="inlineStr">
        <is>
          <t>Cambios de dificultad</t>
        </is>
      </c>
      <c r="F6" s="0">
        <v>3</v>
      </c>
      <c r="G6" s="0" t="inlineStr">
        <is>
          <t>Eventos de adaptación de dificultad</t>
        </is>
      </c>
    </row>
    <row r="7" ht="17" customHeight="1">
      <c r="A7" s="6" t="inlineStr">
        <is>
          <t>Aciertos (Success)</t>
        </is>
      </c>
      <c r="B7" s="6">
        <v>58.0</v>
      </c>
      <c r="C7" s="6">
        <f>COUNTIF('Interacciones'!$F$2:$F$103,"Success")</f>
        <v>58</v>
      </c>
      <c r="E7" s="6" t="inlineStr">
        <is>
          <t>Estados del jugador</t>
        </is>
      </c>
      <c r="F7" s="6">
        <v>22</v>
      </c>
      <c r="G7" s="6" t="inlineStr">
        <is>
          <t>Cambios globales de estado</t>
        </is>
      </c>
    </row>
    <row r="8" ht="17" customHeight="1">
      <c r="A8" s="0" t="inlineStr">
        <is>
          <t>Fallos (Failed)</t>
        </is>
      </c>
      <c r="B8" s="0">
        <v>38.0</v>
      </c>
      <c r="C8" s="0">
        <f>COUNTIF('Interacciones'!$F$2:$F$103,"Failed")</f>
        <v>38</v>
      </c>
      <c r="E8" s="0" t="inlineStr">
        <is>
          <t>Eventos totales</t>
        </is>
      </c>
      <c r="F8" s="0">
        <v>127</v>
      </c>
      <c r="G8" s="0" t="inlineStr">
        <is>
          <t>Incluye todos los tipos de eventos</t>
        </is>
      </c>
    </row>
    <row r="9" ht="17" customHeight="1">
      <c r="A9" s="6" t="inlineStr">
        <is>
          <t>Omisiones (Missed)</t>
        </is>
      </c>
      <c r="B9" s="6">
        <v>6.0</v>
      </c>
      <c r="C9" s="6">
        <f>COUNTIF('Interacciones'!$F$2:$F$103,"Missed")</f>
        <v>6</v>
      </c>
      <c r="E9" s="6" t="inlineStr">
        <is>
          <t>Otros eventos</t>
        </is>
      </c>
      <c r="F9" s="6">
        <v>0</v>
      </c>
      <c r="G9" s="6" t="inlineStr">
        <is>
          <t>Eventos sin categoría estándar</t>
        </is>
      </c>
    </row>
    <row r="10" ht="17" customHeight="1">
      <c r="A10" s="0" t="inlineStr">
        <is>
          <t>Tasa de éxito</t>
        </is>
      </c>
      <c r="B10" s="0">
        <v>0.5686</v>
      </c>
      <c r="C10" s="0">
        <f>IFERROR(C7/C6,0)</f>
        <v>0.5686274509803921</v>
      </c>
    </row>
    <row r="11" ht="17" customHeight="1">
      <c r="A11" s="6" t="inlineStr">
        <is>
          <t>Error timing medio (s)</t>
        </is>
      </c>
      <c r="B11" s="6">
        <v>0.2917</v>
      </c>
      <c r="C11" s="6">
        <f>IFERROR(AVERAGE('Interacciones'!$K$2:$K$103),"")</f>
        <v>0.29169125</v>
      </c>
    </row>
    <row r="12" ht="17" customHeight="1">
      <c r="A12" s="0" t="inlineStr">
        <is>
          <t>Reacción media (s)</t>
        </is>
      </c>
      <c r="B12" s="0">
        <v>0.727</v>
      </c>
      <c r="C12" s="0">
        <f>IFERROR(AVERAGE('Interacciones'!$L$2:$L$103),"")</f>
        <v>0.72695</v>
      </c>
    </row>
    <row r="13" ht="17" customHeight="1">
      <c r="A13" s="6" t="inlineStr">
        <is>
          <t>Precisión espacial media</t>
        </is>
      </c>
      <c r="B13" s="6">
        <v>0.0</v>
      </c>
      <c r="C13" s="6" t="str">
        <f>IFERROR(AVERAGE('Interacciones'!$M$2:$M$103),"")</f>
        <v/>
      </c>
    </row>
    <row r="14" ht="17" customHeight="1">
      <c r="A14" s="0" t="inlineStr">
        <is>
          <t>Precisión dirección media</t>
        </is>
      </c>
      <c r="B14" s="0">
        <v>0.5882</v>
      </c>
      <c r="C14" s="0">
        <f>IFERROR(AVERAGE('Interacciones'!$N$2:$N$103),"")</f>
        <v>0.5882352941176471</v>
      </c>
    </row>
    <row r="15" ht="17" customHeight="1"/>
    <row r="16" ht="17" customHeight="1">
      <c r="A16" s="0" t="inlineStr">
        <is>
          <t>Observaciones</t>
        </is>
      </c>
    </row>
    <row r="17" ht="17" customHeight="1">
      <c r="A17" s="6" t="inlineStr">
        <is>
          <t>N/A se conserva como celda vacía: no equivale a cero.</t>
        </is>
      </c>
    </row>
    <row r="18" ht="17" customHeight="1">
      <c r="A18" s="0" t="inlineStr">
        <is>
          <t>Si no hay valores de precisión espacial, el promedio recalculado queda vacío; el log puede reportar 0.</t>
        </is>
      </c>
    </row>
    <row r="19" ht="17" customHeight="1">
      <c r="A19" s="6" t="inlineStr">
        <is>
          <t>Los estados del jugador no se asignan a minijuegos cuando el log no los identifica.</t>
        </is>
      </c>
    </row>
    <row r="20" ht="17" customHeight="1">
      <c r="A20" s="0" t="inlineStr">
        <is>
          <t>Se cuentan eventos tal como aparecen, incluso si comparten marca temporal; no se eliminan duplicados.</t>
        </is>
      </c>
    </row>
  </sheetData>
  <pageMargins left="0.4" right="0.4" top="0.7" bottom="0.7" header="0.3" footer="0.3"/>
</worksheet>
</file>

<file path=xl/worksheets/sheet2.xml><?xml version="1.0" encoding="utf-8"?>
<worksheet xmlns="http://schemas.openxmlformats.org/spreadsheetml/2006/main">
  <dimension ref="A1:J10"/>
  <sheetViews>
    <sheetView workbookViewId="0">
      <pane ySplit="4" topLeftCell="A5" activePane="bottomLeft" state="frozen"/>
    </sheetView>
  </sheetViews>
  <sheetFormatPr defaultRowHeight="17"/>
  <cols>
    <col min="1" max="1" width="22" customWidth="1"/>
    <col min="2" max="2" width="18" customWidth="1"/>
    <col min="3" max="3" width="14" customWidth="1"/>
    <col min="4" max="4" width="14" customWidth="1"/>
    <col min="5" max="5" width="14" customWidth="1"/>
    <col min="6" max="6" width="15" customWidth="1"/>
    <col min="7" max="7" width="19" customWidth="1"/>
    <col min="8" max="8" width="20" customWidth="1"/>
    <col min="9" max="9" width="17" customWidth="1"/>
    <col min="10" max="10" width="34" customWidth="1"/>
  </cols>
  <sheetData>
    <row r="1" ht="30" customHeight="1">
      <c r="A1" s="2" t="inlineStr">
        <is>
          <t>Rendimiento por minijuego</t>
        </is>
      </c>
    </row>
    <row r="2" ht="17" customHeight="1"/>
    <row r="3" ht="17" customHeight="1"/>
    <row r="4" ht="22" customHeight="1">
      <c r="A4" s="1" t="inlineStr">
        <is>
          <t>Minijuego</t>
        </is>
      </c>
      <c r="B4" s="1" t="inlineStr">
        <is>
          <t>Interacciones</t>
        </is>
      </c>
      <c r="C4" s="1" t="inlineStr">
        <is>
          <t>Aciertos</t>
        </is>
      </c>
      <c r="D4" s="1" t="inlineStr">
        <is>
          <t>Fallos</t>
        </is>
      </c>
      <c r="E4" s="1" t="inlineStr">
        <is>
          <t>Omitidos</t>
        </is>
      </c>
      <c r="F4" s="1" t="inlineStr">
        <is>
          <t>TasaExito</t>
        </is>
      </c>
      <c r="G4" s="1" t="inlineStr">
        <is>
          <t>ErrorMedio_s</t>
        </is>
      </c>
      <c r="H4" s="1" t="inlineStr">
        <is>
          <t>ReaccionMedia_s</t>
        </is>
      </c>
      <c r="I4" s="1" t="inlineStr">
        <is>
          <t>CambiosDDA</t>
        </is>
      </c>
      <c r="J4" s="1" t="inlineStr">
        <is>
          <t>AccionesRegistradas</t>
        </is>
      </c>
    </row>
    <row r="5" ht="17" customHeight="1">
      <c r="A5" s="6" t="inlineStr">
        <is>
          <t>Alex</t>
        </is>
      </c>
      <c r="B5" s="6">
        <f>COUNTIF('Interacciones'!$D$2:$D$103,$A5)</f>
        <v>37</v>
      </c>
      <c r="C5" s="6">
        <f>COUNTIFS('Interacciones'!$D$2:$D$103,$A5,'Interacciones'!$F$2:$F$103,"Success")</f>
        <v>17</v>
      </c>
      <c r="D5" s="6">
        <f>COUNTIFS('Interacciones'!$D$2:$D$103,$A5,'Interacciones'!$F$2:$F$103,"Failed")</f>
        <v>17</v>
      </c>
      <c r="E5" s="6">
        <f>COUNTIFS('Interacciones'!$D$2:$D$103,$A5,'Interacciones'!$F$2:$F$103,"Missed")</f>
        <v>3</v>
      </c>
      <c r="F5" s="3">
        <f>IFERROR(C5/B5,0)</f>
        <v>0.4594594594594595</v>
      </c>
      <c r="G5" s="4">
        <f>IFERROR(AVERAGEIF('Interacciones'!$D$2:$D$103,$A5,'Interacciones'!$K$2:$K$103),"")</f>
        <v>0.016183333333333334</v>
      </c>
      <c r="H5" s="4" t="str">
        <f>IFERROR(AVERAGEIF('Interacciones'!$D$2:$D$103,$A5,'Interacciones'!$L$2:$L$103),"")</f>
        <v/>
      </c>
      <c r="I5" s="6">
        <f>COUNTIF('Adaptaciones'!$C$2:$C$4,$A5)</f>
        <v>1</v>
      </c>
      <c r="J5" s="6" t="inlineStr">
        <is>
          <t>HammerHit, HammerTouch</t>
        </is>
      </c>
    </row>
    <row r="6" ht="17" customHeight="1">
      <c r="A6" s="0" t="inlineStr">
        <is>
          <t>Danniel</t>
        </is>
      </c>
      <c r="B6" s="0">
        <f>COUNTIF('Interacciones'!$D$2:$D$103,$A6)</f>
        <v>15</v>
      </c>
      <c r="C6" s="0">
        <f>COUNTIFS('Interacciones'!$D$2:$D$103,$A6,'Interacciones'!$F$2:$F$103,"Success")</f>
        <v>10</v>
      </c>
      <c r="D6" s="0">
        <f>COUNTIFS('Interacciones'!$D$2:$D$103,$A6,'Interacciones'!$F$2:$F$103,"Failed")</f>
        <v>4</v>
      </c>
      <c r="E6" s="0">
        <f>COUNTIFS('Interacciones'!$D$2:$D$103,$A6,'Interacciones'!$F$2:$F$103,"Missed")</f>
        <v>1</v>
      </c>
      <c r="F6" s="3">
        <f>IFERROR(C6/B6,0)</f>
        <v>0.6666666666666666</v>
      </c>
      <c r="G6" s="4">
        <f>IFERROR(AVERAGEIF('Interacciones'!$D$2:$D$103,$A6,'Interacciones'!$K$2:$K$103),"")</f>
        <v>0.08613</v>
      </c>
      <c r="H6" s="4" t="str">
        <f>IFERROR(AVERAGEIF('Interacciones'!$D$2:$D$103,$A6,'Interacciones'!$L$2:$L$103),"")</f>
        <v/>
      </c>
      <c r="I6" s="0">
        <f>COUNTIF('Adaptaciones'!$C$2:$C$4,$A6)</f>
        <v>0</v>
      </c>
      <c r="J6" s="0" t="inlineStr">
        <is>
          <t>GunShoot, PlayerHit</t>
        </is>
      </c>
    </row>
    <row r="7" ht="17" customHeight="1">
      <c r="A7" s="6" t="inlineStr">
        <is>
          <t>Jeremy</t>
        </is>
      </c>
      <c r="B7" s="6">
        <f>COUNTIF('Interacciones'!$D$2:$D$103,$A7)</f>
        <v>7</v>
      </c>
      <c r="C7" s="6">
        <f>COUNTIFS('Interacciones'!$D$2:$D$103,$A7,'Interacciones'!$F$2:$F$103,"Success")</f>
        <v>5</v>
      </c>
      <c r="D7" s="6">
        <f>COUNTIFS('Interacciones'!$D$2:$D$103,$A7,'Interacciones'!$F$2:$F$103,"Failed")</f>
        <v>1</v>
      </c>
      <c r="E7" s="6">
        <f>COUNTIFS('Interacciones'!$D$2:$D$103,$A7,'Interacciones'!$F$2:$F$103,"Missed")</f>
        <v>1</v>
      </c>
      <c r="F7" s="3">
        <f>IFERROR(C7/B7,0)</f>
        <v>0.7142857142857143</v>
      </c>
      <c r="G7" s="4">
        <f>IFERROR(AVERAGEIF('Interacciones'!$D$2:$D$103,$A7,'Interacciones'!$K$2:$K$103),"")</f>
        <v>0.25661666666666666</v>
      </c>
      <c r="H7" s="4" t="str">
        <f>IFERROR(AVERAGEIF('Interacciones'!$D$2:$D$103,$A7,'Interacciones'!$L$2:$L$103),"")</f>
        <v/>
      </c>
      <c r="I7" s="6">
        <f>COUNTIF('Adaptaciones'!$C$2:$C$4,$A7)</f>
        <v>0</v>
      </c>
      <c r="J7" s="6" t="inlineStr">
        <is>
          <t>SwordCut</t>
        </is>
      </c>
    </row>
    <row r="8" ht="17" customHeight="1">
      <c r="A8" s="0" t="inlineStr">
        <is>
          <t>Joaquin</t>
        </is>
      </c>
      <c r="B8" s="0">
        <f>COUNTIF('Interacciones'!$D$2:$D$103,$A8)</f>
        <v>12</v>
      </c>
      <c r="C8" s="0">
        <f>COUNTIFS('Interacciones'!$D$2:$D$103,$A8,'Interacciones'!$F$2:$F$103,"Success")</f>
        <v>12</v>
      </c>
      <c r="D8" s="0">
        <f>COUNTIFS('Interacciones'!$D$2:$D$103,$A8,'Interacciones'!$F$2:$F$103,"Failed")</f>
        <v>0</v>
      </c>
      <c r="E8" s="0">
        <f>COUNTIFS('Interacciones'!$D$2:$D$103,$A8,'Interacciones'!$F$2:$F$103,"Missed")</f>
        <v>0</v>
      </c>
      <c r="F8" s="3">
        <f>IFERROR(C8/B8,0)</f>
        <v>1.0</v>
      </c>
      <c r="G8" s="4">
        <f>IFERROR(AVERAGEIF('Interacciones'!$D$2:$D$103,$A8,'Interacciones'!$K$2:$K$103),"")</f>
        <v>0.09245833333333334</v>
      </c>
      <c r="H8" s="4" t="str">
        <f>IFERROR(AVERAGEIF('Interacciones'!$D$2:$D$103,$A8,'Interacciones'!$L$2:$L$103),"")</f>
        <v/>
      </c>
      <c r="I8" s="0">
        <f>COUNTIF('Adaptaciones'!$C$2:$C$4,$A8)</f>
        <v>1</v>
      </c>
      <c r="J8" s="0" t="inlineStr">
        <is>
          <t>GuitarHit</t>
        </is>
      </c>
    </row>
    <row r="9" ht="17" customHeight="1">
      <c r="A9" s="6" t="inlineStr">
        <is>
          <t>JuanAndres</t>
        </is>
      </c>
      <c r="B9" s="6">
        <f>COUNTIF('Interacciones'!$D$2:$D$103,$A9)</f>
        <v>15</v>
      </c>
      <c r="C9" s="6">
        <f>COUNTIFS('Interacciones'!$D$2:$D$103,$A9,'Interacciones'!$F$2:$F$103,"Success")</f>
        <v>6</v>
      </c>
      <c r="D9" s="6">
        <f>COUNTIFS('Interacciones'!$D$2:$D$103,$A9,'Interacciones'!$F$2:$F$103,"Failed")</f>
        <v>8</v>
      </c>
      <c r="E9" s="6">
        <f>COUNTIFS('Interacciones'!$D$2:$D$103,$A9,'Interacciones'!$F$2:$F$103,"Missed")</f>
        <v>1</v>
      </c>
      <c r="F9" s="3">
        <f>IFERROR(C9/B9,0)</f>
        <v>0.4</v>
      </c>
      <c r="G9" s="4">
        <f>IFERROR(AVERAGEIF('Interacciones'!$D$2:$D$103,$A9,'Interacciones'!$K$2:$K$103),"")</f>
        <v>1.041807142857143</v>
      </c>
      <c r="H9" s="4" t="str">
        <f>IFERROR(AVERAGEIF('Interacciones'!$D$2:$D$103,$A9,'Interacciones'!$L$2:$L$103),"")</f>
        <v/>
      </c>
      <c r="I9" s="6">
        <f>COUNTIF('Adaptaciones'!$C$2:$C$4,$A9)</f>
        <v>0</v>
      </c>
      <c r="J9" s="6" t="inlineStr">
        <is>
          <t>GroomStroke</t>
        </is>
      </c>
    </row>
    <row r="10" ht="17" customHeight="1">
      <c r="A10" s="0" t="inlineStr">
        <is>
          <t>Shipi</t>
        </is>
      </c>
      <c r="B10" s="0">
        <f>COUNTIF('Interacciones'!$D$2:$D$103,$A10)</f>
        <v>16</v>
      </c>
      <c r="C10" s="0">
        <f>COUNTIFS('Interacciones'!$D$2:$D$103,$A10,'Interacciones'!$F$2:$F$103,"Success")</f>
        <v>8</v>
      </c>
      <c r="D10" s="0">
        <f>COUNTIFS('Interacciones'!$D$2:$D$103,$A10,'Interacciones'!$F$2:$F$103,"Failed")</f>
        <v>8</v>
      </c>
      <c r="E10" s="0">
        <f>COUNTIFS('Interacciones'!$D$2:$D$103,$A10,'Interacciones'!$F$2:$F$103,"Missed")</f>
        <v>0</v>
      </c>
      <c r="F10" s="3">
        <f>IFERROR(C10/B10,0)</f>
        <v>0.5</v>
      </c>
      <c r="G10" s="4">
        <f>IFERROR(AVERAGEIF('Interacciones'!$D$2:$D$103,$A10,'Interacciones'!$K$2:$K$103),"")</f>
        <v>0.34650714285714285</v>
      </c>
      <c r="H10" s="4">
        <f>IFERROR(AVERAGEIF('Interacciones'!$D$2:$D$103,$A10,'Interacciones'!$L$2:$L$103),"")</f>
        <v>0.72695</v>
      </c>
      <c r="I10" s="0">
        <f>COUNTIF('Adaptaciones'!$C$2:$C$4,$A10)</f>
        <v>1</v>
      </c>
      <c r="J10" s="0" t="inlineStr">
        <is>
          <t>FoodCut</t>
        </is>
      </c>
    </row>
  </sheetData>
  <autoFilter ref="A4:J10"/>
  <pageMargins left="0.4" right="0.4" top="0.7" bottom="0.7" header="0.3" footer="0.3"/>
</worksheet>
</file>

<file path=xl/worksheets/sheet3.xml><?xml version="1.0" encoding="utf-8"?>
<worksheet xmlns="http://schemas.openxmlformats.org/spreadsheetml/2006/main">
  <dimension ref="A1:I12"/>
  <sheetViews>
    <sheetView workbookViewId="0">
      <pane ySplit="4" topLeftCell="A5" activePane="bottomLeft" state="frozen"/>
    </sheetView>
  </sheetViews>
  <sheetFormatPr defaultRowHeight="17"/>
  <cols>
    <col min="1" max="1" width="23" customWidth="1"/>
    <col min="2" max="2" width="23" customWidth="1"/>
    <col min="3" max="3" width="19" customWidth="1"/>
    <col min="4" max="4" width="14" customWidth="1"/>
    <col min="5" max="5" width="14" customWidth="1"/>
    <col min="6" max="6" width="14" customWidth="1"/>
    <col min="7" max="7" width="15" customWidth="1"/>
    <col min="8" max="8" width="20" customWidth="1"/>
    <col min="9" max="9" width="22" customWidth="1"/>
  </cols>
  <sheetData>
    <row r="1" ht="30" customHeight="1">
      <c r="A1" s="2" t="inlineStr">
        <is>
          <t>Rendimiento por tipo de acción</t>
        </is>
      </c>
    </row>
    <row r="2" ht="17" customHeight="1"/>
    <row r="3" ht="17" customHeight="1"/>
    <row r="4" ht="22" customHeight="1">
      <c r="A4" s="1" t="inlineStr">
        <is>
          <t>Minijuego</t>
        </is>
      </c>
      <c r="B4" s="1" t="inlineStr">
        <is>
          <t>TipoAccion</t>
        </is>
      </c>
      <c r="C4" s="1" t="inlineStr">
        <is>
          <t>Interacciones</t>
        </is>
      </c>
      <c r="D4" s="1" t="inlineStr">
        <is>
          <t>Aciertos</t>
        </is>
      </c>
      <c r="E4" s="1" t="inlineStr">
        <is>
          <t>Fallos</t>
        </is>
      </c>
      <c r="F4" s="1" t="inlineStr">
        <is>
          <t>Omitidos</t>
        </is>
      </c>
      <c r="G4" s="1" t="inlineStr">
        <is>
          <t>TasaExito</t>
        </is>
      </c>
      <c r="H4" s="1" t="inlineStr">
        <is>
          <t>ErrorMedio_s</t>
        </is>
      </c>
      <c r="I4" s="1" t="inlineStr">
        <is>
          <t>ReaccionMedia_s</t>
        </is>
      </c>
    </row>
    <row r="5" ht="17" customHeight="1">
      <c r="A5" s="6" t="inlineStr">
        <is>
          <t>Alex</t>
        </is>
      </c>
      <c r="B5" s="6" t="inlineStr">
        <is>
          <t>HammerHit</t>
        </is>
      </c>
      <c r="C5" s="6">
        <f>COUNTIFS('Interacciones'!$D$2:$D$103,$A5,'Interacciones'!$E$2:$E$103,$B5)</f>
        <v>25</v>
      </c>
      <c r="D5" s="6">
        <f>COUNTIFS('Interacciones'!$D$2:$D$103,$A5,'Interacciones'!$E$2:$E$103,$B5,'Interacciones'!$F$2:$F$103,"Success")</f>
        <v>11</v>
      </c>
      <c r="E5" s="6">
        <f>COUNTIFS('Interacciones'!$D$2:$D$103,$A5,'Interacciones'!$E$2:$E$103,$B5,'Interacciones'!$F$2:$F$103,"Failed")</f>
        <v>14</v>
      </c>
      <c r="F5" s="6">
        <f>COUNTIFS('Interacciones'!$D$2:$D$103,$A5,'Interacciones'!$E$2:$E$103,$B5,'Interacciones'!$F$2:$F$103,"Missed")</f>
        <v>0</v>
      </c>
      <c r="G5" s="3">
        <f>IFERROR(D5/C5,0)</f>
        <v>0.44</v>
      </c>
      <c r="H5" s="4">
        <f>IFERROR(AVERAGEIFS('Interacciones'!$K$2:$K$103,'Interacciones'!$D$2:$D$103,$A5,'Interacciones'!$E$2:$E$103,$B5),"")</f>
        <v>0.016183333333333334</v>
      </c>
      <c r="I5" s="4" t="str">
        <f>IFERROR(AVERAGEIFS('Interacciones'!$L$2:$L$103,'Interacciones'!$D$2:$D$103,$A5,'Interacciones'!$E$2:$E$103,$B5),"")</f>
        <v/>
      </c>
    </row>
    <row r="6" ht="17" customHeight="1">
      <c r="A6" s="0" t="inlineStr">
        <is>
          <t>Alex</t>
        </is>
      </c>
      <c r="B6" s="0" t="inlineStr">
        <is>
          <t>HammerTouch</t>
        </is>
      </c>
      <c r="C6" s="0">
        <f>COUNTIFS('Interacciones'!$D$2:$D$103,$A6,'Interacciones'!$E$2:$E$103,$B6)</f>
        <v>12</v>
      </c>
      <c r="D6" s="0">
        <f>COUNTIFS('Interacciones'!$D$2:$D$103,$A6,'Interacciones'!$E$2:$E$103,$B6,'Interacciones'!$F$2:$F$103,"Success")</f>
        <v>6</v>
      </c>
      <c r="E6" s="0">
        <f>COUNTIFS('Interacciones'!$D$2:$D$103,$A6,'Interacciones'!$E$2:$E$103,$B6,'Interacciones'!$F$2:$F$103,"Failed")</f>
        <v>3</v>
      </c>
      <c r="F6" s="0">
        <f>COUNTIFS('Interacciones'!$D$2:$D$103,$A6,'Interacciones'!$E$2:$E$103,$B6,'Interacciones'!$F$2:$F$103,"Missed")</f>
        <v>3</v>
      </c>
      <c r="G6" s="3">
        <f>IFERROR(D6/C6,0)</f>
        <v>0.5</v>
      </c>
      <c r="H6" s="4" t="str">
        <f>IFERROR(AVERAGEIFS('Interacciones'!$K$2:$K$103,'Interacciones'!$D$2:$D$103,$A6,'Interacciones'!$E$2:$E$103,$B6),"")</f>
        <v/>
      </c>
      <c r="I6" s="4" t="str">
        <f>IFERROR(AVERAGEIFS('Interacciones'!$L$2:$L$103,'Interacciones'!$D$2:$D$103,$A6,'Interacciones'!$E$2:$E$103,$B6),"")</f>
        <v/>
      </c>
    </row>
    <row r="7" ht="17" customHeight="1">
      <c r="A7" s="6" t="inlineStr">
        <is>
          <t>Danniel</t>
        </is>
      </c>
      <c r="B7" s="6" t="inlineStr">
        <is>
          <t>GunShoot</t>
        </is>
      </c>
      <c r="C7" s="6">
        <f>COUNTIFS('Interacciones'!$D$2:$D$103,$A7,'Interacciones'!$E$2:$E$103,$B7)</f>
        <v>13</v>
      </c>
      <c r="D7" s="6">
        <f>COUNTIFS('Interacciones'!$D$2:$D$103,$A7,'Interacciones'!$E$2:$E$103,$B7,'Interacciones'!$F$2:$F$103,"Success")</f>
        <v>10</v>
      </c>
      <c r="E7" s="6">
        <f>COUNTIFS('Interacciones'!$D$2:$D$103,$A7,'Interacciones'!$E$2:$E$103,$B7,'Interacciones'!$F$2:$F$103,"Failed")</f>
        <v>2</v>
      </c>
      <c r="F7" s="6">
        <f>COUNTIFS('Interacciones'!$D$2:$D$103,$A7,'Interacciones'!$E$2:$E$103,$B7,'Interacciones'!$F$2:$F$103,"Missed")</f>
        <v>1</v>
      </c>
      <c r="G7" s="3">
        <f>IFERROR(D7/C7,0)</f>
        <v>0.7692307692307693</v>
      </c>
      <c r="H7" s="4">
        <f>IFERROR(AVERAGEIFS('Interacciones'!$K$2:$K$103,'Interacciones'!$D$2:$D$103,$A7,'Interacciones'!$E$2:$E$103,$B7),"")</f>
        <v>0.08613</v>
      </c>
      <c r="I7" s="4" t="str">
        <f>IFERROR(AVERAGEIFS('Interacciones'!$L$2:$L$103,'Interacciones'!$D$2:$D$103,$A7,'Interacciones'!$E$2:$E$103,$B7),"")</f>
        <v/>
      </c>
    </row>
    <row r="8" ht="17" customHeight="1">
      <c r="A8" s="0" t="inlineStr">
        <is>
          <t>Danniel</t>
        </is>
      </c>
      <c r="B8" s="0" t="inlineStr">
        <is>
          <t>PlayerHit</t>
        </is>
      </c>
      <c r="C8" s="0">
        <f>COUNTIFS('Interacciones'!$D$2:$D$103,$A8,'Interacciones'!$E$2:$E$103,$B8)</f>
        <v>2</v>
      </c>
      <c r="D8" s="0">
        <f>COUNTIFS('Interacciones'!$D$2:$D$103,$A8,'Interacciones'!$E$2:$E$103,$B8,'Interacciones'!$F$2:$F$103,"Success")</f>
        <v>0</v>
      </c>
      <c r="E8" s="0">
        <f>COUNTIFS('Interacciones'!$D$2:$D$103,$A8,'Interacciones'!$E$2:$E$103,$B8,'Interacciones'!$F$2:$F$103,"Failed")</f>
        <v>2</v>
      </c>
      <c r="F8" s="0">
        <f>COUNTIFS('Interacciones'!$D$2:$D$103,$A8,'Interacciones'!$E$2:$E$103,$B8,'Interacciones'!$F$2:$F$103,"Missed")</f>
        <v>0</v>
      </c>
      <c r="G8" s="3">
        <f>IFERROR(D8/C8,0)</f>
        <v>0.0</v>
      </c>
      <c r="H8" s="4" t="str">
        <f>IFERROR(AVERAGEIFS('Interacciones'!$K$2:$K$103,'Interacciones'!$D$2:$D$103,$A8,'Interacciones'!$E$2:$E$103,$B8),"")</f>
        <v/>
      </c>
      <c r="I8" s="4" t="str">
        <f>IFERROR(AVERAGEIFS('Interacciones'!$L$2:$L$103,'Interacciones'!$D$2:$D$103,$A8,'Interacciones'!$E$2:$E$103,$B8),"")</f>
        <v/>
      </c>
    </row>
    <row r="9" ht="17" customHeight="1">
      <c r="A9" s="6" t="inlineStr">
        <is>
          <t>Jeremy</t>
        </is>
      </c>
      <c r="B9" s="6" t="inlineStr">
        <is>
          <t>SwordCut</t>
        </is>
      </c>
      <c r="C9" s="6">
        <f>COUNTIFS('Interacciones'!$D$2:$D$103,$A9,'Interacciones'!$E$2:$E$103,$B9)</f>
        <v>7</v>
      </c>
      <c r="D9" s="6">
        <f>COUNTIFS('Interacciones'!$D$2:$D$103,$A9,'Interacciones'!$E$2:$E$103,$B9,'Interacciones'!$F$2:$F$103,"Success")</f>
        <v>5</v>
      </c>
      <c r="E9" s="6">
        <f>COUNTIFS('Interacciones'!$D$2:$D$103,$A9,'Interacciones'!$E$2:$E$103,$B9,'Interacciones'!$F$2:$F$103,"Failed")</f>
        <v>1</v>
      </c>
      <c r="F9" s="6">
        <f>COUNTIFS('Interacciones'!$D$2:$D$103,$A9,'Interacciones'!$E$2:$E$103,$B9,'Interacciones'!$F$2:$F$103,"Missed")</f>
        <v>1</v>
      </c>
      <c r="G9" s="3">
        <f>IFERROR(D9/C9,0)</f>
        <v>0.7142857142857143</v>
      </c>
      <c r="H9" s="4">
        <f>IFERROR(AVERAGEIFS('Interacciones'!$K$2:$K$103,'Interacciones'!$D$2:$D$103,$A9,'Interacciones'!$E$2:$E$103,$B9),"")</f>
        <v>0.25661666666666666</v>
      </c>
      <c r="I9" s="4" t="str">
        <f>IFERROR(AVERAGEIFS('Interacciones'!$L$2:$L$103,'Interacciones'!$D$2:$D$103,$A9,'Interacciones'!$E$2:$E$103,$B9),"")</f>
        <v/>
      </c>
    </row>
    <row r="10" ht="17" customHeight="1">
      <c r="A10" s="0" t="inlineStr">
        <is>
          <t>Joaquin</t>
        </is>
      </c>
      <c r="B10" s="0" t="inlineStr">
        <is>
          <t>GuitarHit</t>
        </is>
      </c>
      <c r="C10" s="0">
        <f>COUNTIFS('Interacciones'!$D$2:$D$103,$A10,'Interacciones'!$E$2:$E$103,$B10)</f>
        <v>12</v>
      </c>
      <c r="D10" s="0">
        <f>COUNTIFS('Interacciones'!$D$2:$D$103,$A10,'Interacciones'!$E$2:$E$103,$B10,'Interacciones'!$F$2:$F$103,"Success")</f>
        <v>12</v>
      </c>
      <c r="E10" s="0">
        <f>COUNTIFS('Interacciones'!$D$2:$D$103,$A10,'Interacciones'!$E$2:$E$103,$B10,'Interacciones'!$F$2:$F$103,"Failed")</f>
        <v>0</v>
      </c>
      <c r="F10" s="0">
        <f>COUNTIFS('Interacciones'!$D$2:$D$103,$A10,'Interacciones'!$E$2:$E$103,$B10,'Interacciones'!$F$2:$F$103,"Missed")</f>
        <v>0</v>
      </c>
      <c r="G10" s="3">
        <f>IFERROR(D10/C10,0)</f>
        <v>1.0</v>
      </c>
      <c r="H10" s="4">
        <f>IFERROR(AVERAGEIFS('Interacciones'!$K$2:$K$103,'Interacciones'!$D$2:$D$103,$A10,'Interacciones'!$E$2:$E$103,$B10),"")</f>
        <v>0.09245833333333334</v>
      </c>
      <c r="I10" s="4" t="str">
        <f>IFERROR(AVERAGEIFS('Interacciones'!$L$2:$L$103,'Interacciones'!$D$2:$D$103,$A10,'Interacciones'!$E$2:$E$103,$B10),"")</f>
        <v/>
      </c>
    </row>
    <row r="11" ht="17" customHeight="1">
      <c r="A11" s="6" t="inlineStr">
        <is>
          <t>JuanAndres</t>
        </is>
      </c>
      <c r="B11" s="6" t="inlineStr">
        <is>
          <t>GroomStroke</t>
        </is>
      </c>
      <c r="C11" s="6">
        <f>COUNTIFS('Interacciones'!$D$2:$D$103,$A11,'Interacciones'!$E$2:$E$103,$B11)</f>
        <v>15</v>
      </c>
      <c r="D11" s="6">
        <f>COUNTIFS('Interacciones'!$D$2:$D$103,$A11,'Interacciones'!$E$2:$E$103,$B11,'Interacciones'!$F$2:$F$103,"Success")</f>
        <v>6</v>
      </c>
      <c r="E11" s="6">
        <f>COUNTIFS('Interacciones'!$D$2:$D$103,$A11,'Interacciones'!$E$2:$E$103,$B11,'Interacciones'!$F$2:$F$103,"Failed")</f>
        <v>8</v>
      </c>
      <c r="F11" s="6">
        <f>COUNTIFS('Interacciones'!$D$2:$D$103,$A11,'Interacciones'!$E$2:$E$103,$B11,'Interacciones'!$F$2:$F$103,"Missed")</f>
        <v>1</v>
      </c>
      <c r="G11" s="3">
        <f>IFERROR(D11/C11,0)</f>
        <v>0.4</v>
      </c>
      <c r="H11" s="4">
        <f>IFERROR(AVERAGEIFS('Interacciones'!$K$2:$K$103,'Interacciones'!$D$2:$D$103,$A11,'Interacciones'!$E$2:$E$103,$B11),"")</f>
        <v>1.041807142857143</v>
      </c>
      <c r="I11" s="4" t="str">
        <f>IFERROR(AVERAGEIFS('Interacciones'!$L$2:$L$103,'Interacciones'!$D$2:$D$103,$A11,'Interacciones'!$E$2:$E$103,$B11),"")</f>
        <v/>
      </c>
    </row>
    <row r="12" ht="17" customHeight="1">
      <c r="A12" s="0" t="inlineStr">
        <is>
          <t>Shipi</t>
        </is>
      </c>
      <c r="B12" s="0" t="inlineStr">
        <is>
          <t>FoodCut</t>
        </is>
      </c>
      <c r="C12" s="0">
        <f>COUNTIFS('Interacciones'!$D$2:$D$103,$A12,'Interacciones'!$E$2:$E$103,$B12)</f>
        <v>16</v>
      </c>
      <c r="D12" s="0">
        <f>COUNTIFS('Interacciones'!$D$2:$D$103,$A12,'Interacciones'!$E$2:$E$103,$B12,'Interacciones'!$F$2:$F$103,"Success")</f>
        <v>8</v>
      </c>
      <c r="E12" s="0">
        <f>COUNTIFS('Interacciones'!$D$2:$D$103,$A12,'Interacciones'!$E$2:$E$103,$B12,'Interacciones'!$F$2:$F$103,"Failed")</f>
        <v>8</v>
      </c>
      <c r="F12" s="0">
        <f>COUNTIFS('Interacciones'!$D$2:$D$103,$A12,'Interacciones'!$E$2:$E$103,$B12,'Interacciones'!$F$2:$F$103,"Missed")</f>
        <v>0</v>
      </c>
      <c r="G12" s="3">
        <f>IFERROR(D12/C12,0)</f>
        <v>0.5</v>
      </c>
      <c r="H12" s="4">
        <f>IFERROR(AVERAGEIFS('Interacciones'!$K$2:$K$103,'Interacciones'!$D$2:$D$103,$A12,'Interacciones'!$E$2:$E$103,$B12),"")</f>
        <v>0.34650714285714285</v>
      </c>
      <c r="I12" s="4">
        <f>IFERROR(AVERAGEIFS('Interacciones'!$L$2:$L$103,'Interacciones'!$D$2:$D$103,$A12,'Interacciones'!$E$2:$E$103,$B12),"")</f>
        <v>0.72695</v>
      </c>
    </row>
  </sheetData>
  <autoFilter ref="A4:I12"/>
  <pageMargins left="0.4" right="0.4" top="0.7" bottom="0.7" header="0.3" footer="0.3"/>
</worksheet>
</file>

<file path=xl/worksheets/sheet4.xml><?xml version="1.0" encoding="utf-8"?>
<worksheet xmlns="http://schemas.openxmlformats.org/spreadsheetml/2006/main">
  <dimension ref="A1:P103"/>
  <sheetViews>
    <sheetView workbookViewId="0">
      <pane ySplit="1" topLeftCell="A2" activePane="bottomLeft" state="frozen"/>
    </sheetView>
  </sheetViews>
  <sheetFormatPr defaultRowHeight="17"/>
  <cols>
    <col min="1" max="1" width="12" customWidth="1"/>
    <col min="2" max="2" width="17" customWidth="1"/>
    <col min="3" max="3" width="27" customWidth="1"/>
    <col min="4" max="4" width="20" customWidth="1"/>
    <col min="5" max="5" width="21" customWidth="1"/>
    <col min="6" max="6" width="14" customWidth="1"/>
    <col min="7" max="7" width="14" customWidth="1"/>
    <col min="8" max="8" width="21" customWidth="1"/>
    <col min="9" max="9" width="19" customWidth="1"/>
    <col min="10" max="10" width="21" customWidth="1"/>
    <col min="11" max="11" width="20" customWidth="1"/>
    <col min="12" max="12" width="20" customWidth="1"/>
    <col min="13" max="13" width="20" customWidth="1"/>
    <col min="14" max="14" width="22" customWidth="1"/>
    <col min="15" max="15" width="17" customWidth="1"/>
    <col min="16" max="16" width="17" customWidth="1"/>
  </cols>
  <sheetData>
    <row r="1" ht="22" customHeight="1">
      <c r="A1" s="1" t="inlineStr">
        <is>
          <t>IdEvento</t>
        </is>
      </c>
      <c r="B1" s="1" t="inlineStr">
        <is>
          <t>Participante</t>
        </is>
      </c>
      <c r="C1" s="1" t="inlineStr">
        <is>
          <t>FechaHora</t>
        </is>
      </c>
      <c r="D1" s="1" t="inlineStr">
        <is>
          <t>Minijuego</t>
        </is>
      </c>
      <c r="E1" s="1" t="inlineStr">
        <is>
          <t>TipoAccion</t>
        </is>
      </c>
      <c r="F1" s="1" t="inlineStr">
        <is>
          <t>Resultado</t>
        </is>
      </c>
      <c r="G1" s="1" t="inlineStr">
        <is>
          <t>Dificultad</t>
        </is>
      </c>
      <c r="H1" s="1" t="inlineStr">
        <is>
          <t>TiempoEsperado_s</t>
        </is>
      </c>
      <c r="I1" s="1" t="inlineStr">
        <is>
          <t>TiempoReal_s</t>
        </is>
      </c>
      <c r="J1" s="1" t="inlineStr">
        <is>
          <t>DesfaseTiming_s</t>
        </is>
      </c>
      <c r="K1" s="1" t="inlineStr">
        <is>
          <t>ErrorTiming_s</t>
        </is>
      </c>
      <c r="L1" s="1" t="inlineStr">
        <is>
          <t>TiempoReaccion_s</t>
        </is>
      </c>
      <c r="M1" s="1" t="inlineStr">
        <is>
          <t>PrecisionEspacial</t>
        </is>
      </c>
      <c r="N1" s="1" t="inlineStr">
        <is>
          <t>PrecisionDireccion</t>
        </is>
      </c>
      <c r="O1" s="1" t="inlineStr">
        <is>
          <t>ManoCorrecta</t>
        </is>
      </c>
      <c r="P1" s="1" t="inlineStr">
        <is>
          <t>LineaOrigen</t>
        </is>
      </c>
    </row>
    <row r="2" ht="17" customHeight="1">
      <c r="A2" s="0">
        <v>2</v>
      </c>
      <c r="B2" s="0" t="inlineStr">
        <is>
          <t>P014</t>
        </is>
      </c>
      <c r="C2" s="0" t="inlineStr">
        <is>
          <t>2026-10-02 14:36:26.950</t>
        </is>
      </c>
      <c r="D2" s="0" t="inlineStr">
        <is>
          <t>Alex</t>
        </is>
      </c>
      <c r="E2" s="0" t="inlineStr">
        <is>
          <t>HammerTouch</t>
        </is>
      </c>
      <c r="F2" s="0" t="inlineStr">
        <is>
          <t>Success</t>
        </is>
      </c>
      <c r="G2" s="0" t="inlineStr">
        <is>
          <t>Normal</t>
        </is>
      </c>
      <c r="H2" s="4">
        <v>0.896</v>
      </c>
      <c r="P2" s="0">
        <v>7</v>
      </c>
    </row>
    <row r="3" ht="17" customHeight="1">
      <c r="A3" s="6">
        <v>4</v>
      </c>
      <c r="B3" s="6" t="inlineStr">
        <is>
          <t>P014</t>
        </is>
      </c>
      <c r="C3" s="6" t="inlineStr">
        <is>
          <t>2026-10-02 14:36:27.700</t>
        </is>
      </c>
      <c r="D3" s="6" t="inlineStr">
        <is>
          <t>Alex</t>
        </is>
      </c>
      <c r="E3" s="6" t="inlineStr">
        <is>
          <t>HammerHit</t>
        </is>
      </c>
      <c r="F3" s="6" t="inlineStr">
        <is>
          <t>Success</t>
        </is>
      </c>
      <c r="G3" s="6" t="inlineStr">
        <is>
          <t>Normal</t>
        </is>
      </c>
      <c r="H3" s="4">
        <v>1.664</v>
      </c>
      <c r="I3" s="4">
        <v>1.6842</v>
      </c>
      <c r="J3" s="4">
        <v>0.0202</v>
      </c>
      <c r="K3" s="4">
        <v>0.0202</v>
      </c>
      <c r="P3" s="6">
        <v>9</v>
      </c>
    </row>
    <row r="4" ht="17" customHeight="1">
      <c r="A4" s="0">
        <v>5</v>
      </c>
      <c r="B4" s="0" t="inlineStr">
        <is>
          <t>P014</t>
        </is>
      </c>
      <c r="C4" s="0" t="inlineStr">
        <is>
          <t>2026-10-02 14:36:27.705</t>
        </is>
      </c>
      <c r="D4" s="0" t="inlineStr">
        <is>
          <t>Alex</t>
        </is>
      </c>
      <c r="E4" s="0" t="inlineStr">
        <is>
          <t>HammerHit</t>
        </is>
      </c>
      <c r="F4" s="0" t="inlineStr">
        <is>
          <t>Failed</t>
        </is>
      </c>
      <c r="G4" s="0" t="inlineStr">
        <is>
          <t>Normal</t>
        </is>
      </c>
      <c r="H4" s="4">
        <v>1.664</v>
      </c>
      <c r="I4" s="4">
        <v>1.6842</v>
      </c>
      <c r="J4" s="4">
        <v>0.0202</v>
      </c>
      <c r="K4" s="4">
        <v>0.0202</v>
      </c>
      <c r="P4" s="0">
        <v>10</v>
      </c>
    </row>
    <row r="5" ht="17" customHeight="1">
      <c r="A5" s="6">
        <v>6</v>
      </c>
      <c r="B5" s="6" t="inlineStr">
        <is>
          <t>P014</t>
        </is>
      </c>
      <c r="C5" s="6" t="inlineStr">
        <is>
          <t>2026-10-02 14:36:28.787</t>
        </is>
      </c>
      <c r="D5" s="6" t="inlineStr">
        <is>
          <t>Alex</t>
        </is>
      </c>
      <c r="E5" s="6" t="inlineStr">
        <is>
          <t>HammerTouch</t>
        </is>
      </c>
      <c r="F5" s="6" t="inlineStr">
        <is>
          <t>Missed</t>
        </is>
      </c>
      <c r="G5" s="6" t="inlineStr">
        <is>
          <t>Normal</t>
        </is>
      </c>
      <c r="H5" s="4">
        <v>2.432</v>
      </c>
      <c r="P5" s="6">
        <v>11</v>
      </c>
    </row>
    <row r="6" ht="17" customHeight="1">
      <c r="A6" s="0">
        <v>7</v>
      </c>
      <c r="B6" s="0" t="inlineStr">
        <is>
          <t>P014</t>
        </is>
      </c>
      <c r="C6" s="0" t="inlineStr">
        <is>
          <t>2026-10-02 14:36:29.246</t>
        </is>
      </c>
      <c r="D6" s="0" t="inlineStr">
        <is>
          <t>Alex</t>
        </is>
      </c>
      <c r="E6" s="0" t="inlineStr">
        <is>
          <t>HammerTouch</t>
        </is>
      </c>
      <c r="F6" s="0" t="inlineStr">
        <is>
          <t>Success</t>
        </is>
      </c>
      <c r="G6" s="0" t="inlineStr">
        <is>
          <t>Normal</t>
        </is>
      </c>
      <c r="H6" s="4">
        <v>3.2</v>
      </c>
      <c r="P6" s="0">
        <v>12</v>
      </c>
    </row>
    <row r="7" ht="17" customHeight="1">
      <c r="A7" s="6">
        <v>8</v>
      </c>
      <c r="B7" s="6" t="inlineStr">
        <is>
          <t>P014</t>
        </is>
      </c>
      <c r="C7" s="6" t="inlineStr">
        <is>
          <t>2026-10-02 14:36:29.552</t>
        </is>
      </c>
      <c r="D7" s="6" t="inlineStr">
        <is>
          <t>Alex</t>
        </is>
      </c>
      <c r="E7" s="6" t="inlineStr">
        <is>
          <t>HammerTouch</t>
        </is>
      </c>
      <c r="F7" s="6" t="inlineStr">
        <is>
          <t>Missed</t>
        </is>
      </c>
      <c r="G7" s="6" t="inlineStr">
        <is>
          <t>Normal</t>
        </is>
      </c>
      <c r="H7" s="4">
        <v>3.2</v>
      </c>
      <c r="P7" s="6">
        <v>13</v>
      </c>
    </row>
    <row r="8" ht="17" customHeight="1">
      <c r="A8" s="0">
        <v>9</v>
      </c>
      <c r="B8" s="0" t="inlineStr">
        <is>
          <t>P014</t>
        </is>
      </c>
      <c r="C8" s="0" t="inlineStr">
        <is>
          <t>2026-10-02 14:36:30.027</t>
        </is>
      </c>
      <c r="D8" s="0" t="inlineStr">
        <is>
          <t>Alex</t>
        </is>
      </c>
      <c r="E8" s="0" t="inlineStr">
        <is>
          <t>HammerTouch</t>
        </is>
      </c>
      <c r="F8" s="0" t="inlineStr">
        <is>
          <t>Success</t>
        </is>
      </c>
      <c r="G8" s="0" t="inlineStr">
        <is>
          <t>Normal</t>
        </is>
      </c>
      <c r="H8" s="4">
        <v>3.968</v>
      </c>
      <c r="P8" s="0">
        <v>14</v>
      </c>
    </row>
    <row r="9" ht="17" customHeight="1">
      <c r="A9" s="6">
        <v>10</v>
      </c>
      <c r="B9" s="6" t="inlineStr">
        <is>
          <t>P014</t>
        </is>
      </c>
      <c r="C9" s="6" t="inlineStr">
        <is>
          <t>2026-10-02 14:36:30.751</t>
        </is>
      </c>
      <c r="D9" s="6" t="inlineStr">
        <is>
          <t>Alex</t>
        </is>
      </c>
      <c r="E9" s="6" t="inlineStr">
        <is>
          <t>HammerHit</t>
        </is>
      </c>
      <c r="F9" s="6" t="inlineStr">
        <is>
          <t>Failed</t>
        </is>
      </c>
      <c r="G9" s="6" t="inlineStr">
        <is>
          <t>Normal</t>
        </is>
      </c>
      <c r="H9" s="4">
        <v>4.736</v>
      </c>
      <c r="I9" s="4">
        <v>4.72</v>
      </c>
      <c r="J9" s="4">
        <v>-0.016</v>
      </c>
      <c r="K9" s="4">
        <v>0.016</v>
      </c>
      <c r="P9" s="6">
        <v>15</v>
      </c>
    </row>
    <row r="10" ht="17" customHeight="1">
      <c r="A10" s="0">
        <v>11</v>
      </c>
      <c r="B10" s="0" t="inlineStr">
        <is>
          <t>P014</t>
        </is>
      </c>
      <c r="C10" s="0" t="inlineStr">
        <is>
          <t>2026-10-02 14:36:30.751</t>
        </is>
      </c>
      <c r="D10" s="0" t="inlineStr">
        <is>
          <t>Alex</t>
        </is>
      </c>
      <c r="E10" s="0" t="inlineStr">
        <is>
          <t>HammerHit</t>
        </is>
      </c>
      <c r="F10" s="0" t="inlineStr">
        <is>
          <t>Success</t>
        </is>
      </c>
      <c r="G10" s="0" t="inlineStr">
        <is>
          <t>Normal</t>
        </is>
      </c>
      <c r="H10" s="4">
        <v>4.736</v>
      </c>
      <c r="I10" s="4">
        <v>4.7339</v>
      </c>
      <c r="J10" s="4">
        <v>-0.0021</v>
      </c>
      <c r="K10" s="4">
        <v>0.0021</v>
      </c>
      <c r="P10" s="0">
        <v>16</v>
      </c>
    </row>
    <row r="11" ht="17" customHeight="1">
      <c r="A11" s="6">
        <v>12</v>
      </c>
      <c r="B11" s="6" t="inlineStr">
        <is>
          <t>P014</t>
        </is>
      </c>
      <c r="C11" s="6" t="inlineStr">
        <is>
          <t>2026-10-02 14:36:31.544</t>
        </is>
      </c>
      <c r="D11" s="6" t="inlineStr">
        <is>
          <t>Alex</t>
        </is>
      </c>
      <c r="E11" s="6" t="inlineStr">
        <is>
          <t>HammerHit</t>
        </is>
      </c>
      <c r="F11" s="6" t="inlineStr">
        <is>
          <t>Failed</t>
        </is>
      </c>
      <c r="G11" s="6" t="inlineStr">
        <is>
          <t>Normal</t>
        </is>
      </c>
      <c r="H11" s="4">
        <v>5.504</v>
      </c>
      <c r="I11" s="4">
        <v>5.5133</v>
      </c>
      <c r="J11" s="4">
        <v>0.0093</v>
      </c>
      <c r="K11" s="4">
        <v>0.0093</v>
      </c>
      <c r="P11" s="6">
        <v>17</v>
      </c>
    </row>
    <row r="12" ht="17" customHeight="1">
      <c r="A12" s="0">
        <v>16</v>
      </c>
      <c r="B12" s="0" t="inlineStr">
        <is>
          <t>P014</t>
        </is>
      </c>
      <c r="C12" s="0" t="inlineStr">
        <is>
          <t>2026-10-02 14:36:33.076</t>
        </is>
      </c>
      <c r="D12" s="0" t="inlineStr">
        <is>
          <t>Alex</t>
        </is>
      </c>
      <c r="E12" s="0" t="inlineStr">
        <is>
          <t>HammerTouch</t>
        </is>
      </c>
      <c r="F12" s="0" t="inlineStr">
        <is>
          <t>Failed</t>
        </is>
      </c>
      <c r="G12" s="0" t="inlineStr">
        <is>
          <t>Easy</t>
        </is>
      </c>
      <c r="H12" s="4">
        <v>7.04</v>
      </c>
      <c r="P12" s="0">
        <v>21</v>
      </c>
    </row>
    <row r="13" ht="17" customHeight="1">
      <c r="A13" s="6">
        <v>17</v>
      </c>
      <c r="B13" s="6" t="inlineStr">
        <is>
          <t>P014</t>
        </is>
      </c>
      <c r="C13" s="6" t="inlineStr">
        <is>
          <t>2026-10-02 14:36:33.088</t>
        </is>
      </c>
      <c r="D13" s="6" t="inlineStr">
        <is>
          <t>Alex</t>
        </is>
      </c>
      <c r="E13" s="6" t="inlineStr">
        <is>
          <t>HammerTouch</t>
        </is>
      </c>
      <c r="F13" s="6" t="inlineStr">
        <is>
          <t>Success</t>
        </is>
      </c>
      <c r="G13" s="6" t="inlineStr">
        <is>
          <t>Easy</t>
        </is>
      </c>
      <c r="H13" s="4">
        <v>7.04</v>
      </c>
      <c r="P13" s="6">
        <v>22</v>
      </c>
    </row>
    <row r="14" ht="17" customHeight="1">
      <c r="A14" s="0">
        <v>18</v>
      </c>
      <c r="B14" s="0" t="inlineStr">
        <is>
          <t>P014</t>
        </is>
      </c>
      <c r="C14" s="0" t="inlineStr">
        <is>
          <t>2026-10-02 14:36:34.607</t>
        </is>
      </c>
      <c r="D14" s="0" t="inlineStr">
        <is>
          <t>Alex</t>
        </is>
      </c>
      <c r="E14" s="0" t="inlineStr">
        <is>
          <t>HammerHit</t>
        </is>
      </c>
      <c r="F14" s="0" t="inlineStr">
        <is>
          <t>Success</t>
        </is>
      </c>
      <c r="G14" s="0" t="inlineStr">
        <is>
          <t>Easy</t>
        </is>
      </c>
      <c r="H14" s="4">
        <v>8.576</v>
      </c>
      <c r="I14" s="4">
        <v>8.5779</v>
      </c>
      <c r="J14" s="4">
        <v>0.0019</v>
      </c>
      <c r="K14" s="4">
        <v>0.0019</v>
      </c>
      <c r="P14" s="0">
        <v>23</v>
      </c>
    </row>
    <row r="15" ht="17" customHeight="1">
      <c r="A15" s="6">
        <v>19</v>
      </c>
      <c r="B15" s="6" t="inlineStr">
        <is>
          <t>P014</t>
        </is>
      </c>
      <c r="C15" s="6" t="inlineStr">
        <is>
          <t>2026-10-02 14:36:34.662</t>
        </is>
      </c>
      <c r="D15" s="6" t="inlineStr">
        <is>
          <t>Alex</t>
        </is>
      </c>
      <c r="E15" s="6" t="inlineStr">
        <is>
          <t>HammerTouch</t>
        </is>
      </c>
      <c r="F15" s="6" t="inlineStr">
        <is>
          <t>Success</t>
        </is>
      </c>
      <c r="G15" s="6" t="inlineStr">
        <is>
          <t>Easy</t>
        </is>
      </c>
      <c r="H15" s="4">
        <v>8.576</v>
      </c>
      <c r="P15" s="6">
        <v>24</v>
      </c>
    </row>
    <row r="16" ht="17" customHeight="1">
      <c r="A16" s="0">
        <v>20</v>
      </c>
      <c r="B16" s="0" t="inlineStr">
        <is>
          <t>P014</t>
        </is>
      </c>
      <c r="C16" s="0" t="inlineStr">
        <is>
          <t>2026-10-02 14:36:36.124</t>
        </is>
      </c>
      <c r="D16" s="0" t="inlineStr">
        <is>
          <t>Alex</t>
        </is>
      </c>
      <c r="E16" s="0" t="inlineStr">
        <is>
          <t>HammerHit</t>
        </is>
      </c>
      <c r="F16" s="0" t="inlineStr">
        <is>
          <t>Failed</t>
        </is>
      </c>
      <c r="G16" s="0" t="inlineStr">
        <is>
          <t>Easy</t>
        </is>
      </c>
      <c r="H16" s="4">
        <v>10.112</v>
      </c>
      <c r="I16" s="4">
        <v>10.0942</v>
      </c>
      <c r="J16" s="4">
        <v>-0.0178</v>
      </c>
      <c r="K16" s="4">
        <v>0.0178</v>
      </c>
      <c r="P16" s="0">
        <v>25</v>
      </c>
    </row>
    <row r="17" ht="17" customHeight="1">
      <c r="A17" s="6">
        <v>21</v>
      </c>
      <c r="B17" s="6" t="inlineStr">
        <is>
          <t>P014</t>
        </is>
      </c>
      <c r="C17" s="6" t="inlineStr">
        <is>
          <t>2026-10-02 14:36:36.444</t>
        </is>
      </c>
      <c r="D17" s="6" t="inlineStr">
        <is>
          <t>Alex</t>
        </is>
      </c>
      <c r="E17" s="6" t="inlineStr">
        <is>
          <t>HammerTouch</t>
        </is>
      </c>
      <c r="F17" s="6" t="inlineStr">
        <is>
          <t>Missed</t>
        </is>
      </c>
      <c r="G17" s="6" t="inlineStr">
        <is>
          <t>Easy</t>
        </is>
      </c>
      <c r="H17" s="4">
        <v>10.112</v>
      </c>
      <c r="P17" s="6">
        <v>26</v>
      </c>
    </row>
    <row r="18" ht="17" customHeight="1">
      <c r="A18" s="0">
        <v>22</v>
      </c>
      <c r="B18" s="0" t="inlineStr">
        <is>
          <t>P014</t>
        </is>
      </c>
      <c r="C18" s="0" t="inlineStr">
        <is>
          <t>2026-10-02 14:36:37.643</t>
        </is>
      </c>
      <c r="D18" s="0" t="inlineStr">
        <is>
          <t>Alex</t>
        </is>
      </c>
      <c r="E18" s="0" t="inlineStr">
        <is>
          <t>HammerHit</t>
        </is>
      </c>
      <c r="F18" s="0" t="inlineStr">
        <is>
          <t>Success</t>
        </is>
      </c>
      <c r="G18" s="0" t="inlineStr">
        <is>
          <t>Easy</t>
        </is>
      </c>
      <c r="H18" s="4">
        <v>11.648</v>
      </c>
      <c r="I18" s="4">
        <v>11.6261</v>
      </c>
      <c r="J18" s="4">
        <v>-0.0219</v>
      </c>
      <c r="K18" s="4">
        <v>0.0219</v>
      </c>
      <c r="P18" s="0">
        <v>27</v>
      </c>
    </row>
    <row r="19" ht="17" customHeight="1">
      <c r="A19" s="6">
        <v>23</v>
      </c>
      <c r="B19" s="6" t="inlineStr">
        <is>
          <t>P014</t>
        </is>
      </c>
      <c r="C19" s="6" t="inlineStr">
        <is>
          <t>2026-10-02 14:36:39.147</t>
        </is>
      </c>
      <c r="D19" s="6" t="inlineStr">
        <is>
          <t>Alex</t>
        </is>
      </c>
      <c r="E19" s="6" t="inlineStr">
        <is>
          <t>HammerTouch</t>
        </is>
      </c>
      <c r="F19" s="6" t="inlineStr">
        <is>
          <t>Failed</t>
        </is>
      </c>
      <c r="G19" s="6" t="inlineStr">
        <is>
          <t>Easy</t>
        </is>
      </c>
      <c r="H19" s="4">
        <v>13.184</v>
      </c>
      <c r="P19" s="6">
        <v>28</v>
      </c>
    </row>
    <row r="20" ht="17" customHeight="1">
      <c r="A20" s="0">
        <v>24</v>
      </c>
      <c r="B20" s="0" t="inlineStr">
        <is>
          <t>P014</t>
        </is>
      </c>
      <c r="C20" s="0" t="inlineStr">
        <is>
          <t>2026-10-02 14:36:39.187</t>
        </is>
      </c>
      <c r="D20" s="0" t="inlineStr">
        <is>
          <t>Alex</t>
        </is>
      </c>
      <c r="E20" s="0" t="inlineStr">
        <is>
          <t>HammerTouch</t>
        </is>
      </c>
      <c r="F20" s="0" t="inlineStr">
        <is>
          <t>Success</t>
        </is>
      </c>
      <c r="G20" s="0" t="inlineStr">
        <is>
          <t>Easy</t>
        </is>
      </c>
      <c r="H20" s="4">
        <v>13.184</v>
      </c>
      <c r="P20" s="0">
        <v>29</v>
      </c>
    </row>
    <row r="21" ht="17" customHeight="1">
      <c r="A21" s="6">
        <v>25</v>
      </c>
      <c r="B21" s="6" t="inlineStr">
        <is>
          <t>P014</t>
        </is>
      </c>
      <c r="C21" s="6" t="inlineStr">
        <is>
          <t>2026-10-02 14:36:40.691</t>
        </is>
      </c>
      <c r="D21" s="6" t="inlineStr">
        <is>
          <t>Alex</t>
        </is>
      </c>
      <c r="E21" s="6" t="inlineStr">
        <is>
          <t>HammerHit</t>
        </is>
      </c>
      <c r="F21" s="6" t="inlineStr">
        <is>
          <t>Success</t>
        </is>
      </c>
      <c r="G21" s="6" t="inlineStr">
        <is>
          <t>Easy</t>
        </is>
      </c>
      <c r="H21" s="4">
        <v>14.72</v>
      </c>
      <c r="I21" s="4">
        <v>14.6748</v>
      </c>
      <c r="J21" s="4">
        <v>-0.0452</v>
      </c>
      <c r="K21" s="4">
        <v>0.0452</v>
      </c>
      <c r="P21" s="6">
        <v>30</v>
      </c>
    </row>
    <row r="22" ht="17" customHeight="1">
      <c r="A22" s="0">
        <v>26</v>
      </c>
      <c r="B22" s="0" t="inlineStr">
        <is>
          <t>P014</t>
        </is>
      </c>
      <c r="C22" s="0" t="inlineStr">
        <is>
          <t>2026-10-02 14:36:40.747</t>
        </is>
      </c>
      <c r="D22" s="0" t="inlineStr">
        <is>
          <t>Alex</t>
        </is>
      </c>
      <c r="E22" s="0" t="inlineStr">
        <is>
          <t>HammerHit</t>
        </is>
      </c>
      <c r="F22" s="0" t="inlineStr">
        <is>
          <t>Failed</t>
        </is>
      </c>
      <c r="G22" s="0" t="inlineStr">
        <is>
          <t>Easy</t>
        </is>
      </c>
      <c r="H22" s="4">
        <v>14.72</v>
      </c>
      <c r="P22" s="0">
        <v>31</v>
      </c>
    </row>
    <row r="23" ht="17" customHeight="1">
      <c r="A23" s="6">
        <v>27</v>
      </c>
      <c r="B23" s="6" t="inlineStr">
        <is>
          <t>P014</t>
        </is>
      </c>
      <c r="C23" s="6" t="inlineStr">
        <is>
          <t>2026-10-02 14:36:42.251</t>
        </is>
      </c>
      <c r="D23" s="6" t="inlineStr">
        <is>
          <t>Alex</t>
        </is>
      </c>
      <c r="E23" s="6" t="inlineStr">
        <is>
          <t>HammerHit</t>
        </is>
      </c>
      <c r="F23" s="6" t="inlineStr">
        <is>
          <t>Success</t>
        </is>
      </c>
      <c r="G23" s="6" t="inlineStr">
        <is>
          <t>Easy</t>
        </is>
      </c>
      <c r="H23" s="4">
        <v>16.256</v>
      </c>
      <c r="I23" s="4">
        <v>16.2346</v>
      </c>
      <c r="J23" s="4">
        <v>-0.0214</v>
      </c>
      <c r="K23" s="4">
        <v>0.0214</v>
      </c>
      <c r="P23" s="6">
        <v>32</v>
      </c>
    </row>
    <row r="24" ht="17" customHeight="1">
      <c r="A24" s="0">
        <v>28</v>
      </c>
      <c r="B24" s="0" t="inlineStr">
        <is>
          <t>P014</t>
        </is>
      </c>
      <c r="C24" s="0" t="inlineStr">
        <is>
          <t>2026-10-02 14:36:42.253</t>
        </is>
      </c>
      <c r="D24" s="0" t="inlineStr">
        <is>
          <t>Alex</t>
        </is>
      </c>
      <c r="E24" s="0" t="inlineStr">
        <is>
          <t>HammerHit</t>
        </is>
      </c>
      <c r="F24" s="0" t="inlineStr">
        <is>
          <t>Failed</t>
        </is>
      </c>
      <c r="G24" s="0" t="inlineStr">
        <is>
          <t>Easy</t>
        </is>
      </c>
      <c r="H24" s="4">
        <v>16.256</v>
      </c>
      <c r="I24" s="4">
        <v>16.2346</v>
      </c>
      <c r="J24" s="4">
        <v>-0.0214</v>
      </c>
      <c r="K24" s="4">
        <v>0.0214</v>
      </c>
      <c r="P24" s="0">
        <v>33</v>
      </c>
    </row>
    <row r="25" ht="17" customHeight="1">
      <c r="A25" s="6">
        <v>29</v>
      </c>
      <c r="B25" s="6" t="inlineStr">
        <is>
          <t>P014</t>
        </is>
      </c>
      <c r="C25" s="6" t="inlineStr">
        <is>
          <t>2026-10-02 14:36:43.783</t>
        </is>
      </c>
      <c r="D25" s="6" t="inlineStr">
        <is>
          <t>Alex</t>
        </is>
      </c>
      <c r="E25" s="6" t="inlineStr">
        <is>
          <t>HammerHit</t>
        </is>
      </c>
      <c r="F25" s="6" t="inlineStr">
        <is>
          <t>Failed</t>
        </is>
      </c>
      <c r="G25" s="6" t="inlineStr">
        <is>
          <t>Easy</t>
        </is>
      </c>
      <c r="H25" s="4">
        <v>17.792</v>
      </c>
      <c r="I25" s="4">
        <v>17.7662</v>
      </c>
      <c r="J25" s="4">
        <v>-0.0258</v>
      </c>
      <c r="K25" s="4">
        <v>0.0258</v>
      </c>
      <c r="P25" s="6">
        <v>34</v>
      </c>
    </row>
    <row r="26" ht="17" customHeight="1">
      <c r="A26" s="0">
        <v>30</v>
      </c>
      <c r="B26" s="0" t="inlineStr">
        <is>
          <t>P014</t>
        </is>
      </c>
      <c r="C26" s="0" t="inlineStr">
        <is>
          <t>2026-10-02 14:36:45.343</t>
        </is>
      </c>
      <c r="D26" s="0" t="inlineStr">
        <is>
          <t>Alex</t>
        </is>
      </c>
      <c r="E26" s="0" t="inlineStr">
        <is>
          <t>HammerHit</t>
        </is>
      </c>
      <c r="F26" s="0" t="inlineStr">
        <is>
          <t>Success</t>
        </is>
      </c>
      <c r="G26" s="0" t="inlineStr">
        <is>
          <t>Easy</t>
        </is>
      </c>
      <c r="H26" s="4">
        <v>19.328</v>
      </c>
      <c r="I26" s="4">
        <v>19.3255</v>
      </c>
      <c r="J26" s="4">
        <v>-0.0025</v>
      </c>
      <c r="K26" s="4">
        <v>0.0025</v>
      </c>
      <c r="P26" s="0">
        <v>35</v>
      </c>
    </row>
    <row r="27" ht="17" customHeight="1">
      <c r="A27" s="6">
        <v>31</v>
      </c>
      <c r="B27" s="6" t="inlineStr">
        <is>
          <t>P014</t>
        </is>
      </c>
      <c r="C27" s="6" t="inlineStr">
        <is>
          <t>2026-10-02 14:36:45.343</t>
        </is>
      </c>
      <c r="D27" s="6" t="inlineStr">
        <is>
          <t>Alex</t>
        </is>
      </c>
      <c r="E27" s="6" t="inlineStr">
        <is>
          <t>HammerHit</t>
        </is>
      </c>
      <c r="F27" s="6" t="inlineStr">
        <is>
          <t>Failed</t>
        </is>
      </c>
      <c r="G27" s="6" t="inlineStr">
        <is>
          <t>Easy</t>
        </is>
      </c>
      <c r="H27" s="4">
        <v>19.328</v>
      </c>
      <c r="I27" s="4">
        <v>19.3255</v>
      </c>
      <c r="J27" s="4">
        <v>-0.0025</v>
      </c>
      <c r="K27" s="4">
        <v>0.0025</v>
      </c>
      <c r="P27" s="6">
        <v>36</v>
      </c>
    </row>
    <row r="28" ht="17" customHeight="1">
      <c r="A28" s="0">
        <v>32</v>
      </c>
      <c r="B28" s="0" t="inlineStr">
        <is>
          <t>P014</t>
        </is>
      </c>
      <c r="C28" s="0" t="inlineStr">
        <is>
          <t>2026-10-02 14:36:46.860</t>
        </is>
      </c>
      <c r="D28" s="0" t="inlineStr">
        <is>
          <t>Alex</t>
        </is>
      </c>
      <c r="E28" s="0" t="inlineStr">
        <is>
          <t>HammerHit</t>
        </is>
      </c>
      <c r="F28" s="0" t="inlineStr">
        <is>
          <t>Failed</t>
        </is>
      </c>
      <c r="G28" s="0" t="inlineStr">
        <is>
          <t>Easy</t>
        </is>
      </c>
      <c r="H28" s="4">
        <v>20.864</v>
      </c>
      <c r="I28" s="4">
        <v>20.8431</v>
      </c>
      <c r="J28" s="4">
        <v>-0.0209</v>
      </c>
      <c r="K28" s="4">
        <v>0.0209</v>
      </c>
      <c r="P28" s="0">
        <v>37</v>
      </c>
    </row>
    <row r="29" ht="17" customHeight="1">
      <c r="A29" s="6">
        <v>34</v>
      </c>
      <c r="B29" s="6" t="inlineStr">
        <is>
          <t>P014</t>
        </is>
      </c>
      <c r="C29" s="6" t="inlineStr">
        <is>
          <t>2026-10-02 14:36:48.433</t>
        </is>
      </c>
      <c r="D29" s="6" t="inlineStr">
        <is>
          <t>Alex</t>
        </is>
      </c>
      <c r="E29" s="6" t="inlineStr">
        <is>
          <t>HammerHit</t>
        </is>
      </c>
      <c r="F29" s="6" t="inlineStr">
        <is>
          <t>Success</t>
        </is>
      </c>
      <c r="G29" s="6" t="inlineStr">
        <is>
          <t>Easy</t>
        </is>
      </c>
      <c r="H29" s="4">
        <v>22.4</v>
      </c>
      <c r="I29" s="4">
        <v>22.4024</v>
      </c>
      <c r="J29" s="4">
        <v>0.0024</v>
      </c>
      <c r="K29" s="4">
        <v>0.0024</v>
      </c>
      <c r="P29" s="6">
        <v>39</v>
      </c>
    </row>
    <row r="30" ht="17" customHeight="1">
      <c r="A30" s="0">
        <v>35</v>
      </c>
      <c r="B30" s="0" t="inlineStr">
        <is>
          <t>P014</t>
        </is>
      </c>
      <c r="C30" s="0" t="inlineStr">
        <is>
          <t>2026-10-02 14:36:48.434</t>
        </is>
      </c>
      <c r="D30" s="0" t="inlineStr">
        <is>
          <t>Alex</t>
        </is>
      </c>
      <c r="E30" s="0" t="inlineStr">
        <is>
          <t>HammerHit</t>
        </is>
      </c>
      <c r="F30" s="0" t="inlineStr">
        <is>
          <t>Failed</t>
        </is>
      </c>
      <c r="G30" s="0" t="inlineStr">
        <is>
          <t>Easy</t>
        </is>
      </c>
      <c r="H30" s="4">
        <v>22.4</v>
      </c>
      <c r="I30" s="4">
        <v>22.4161</v>
      </c>
      <c r="J30" s="4">
        <v>0.0161</v>
      </c>
      <c r="K30" s="4">
        <v>0.0161</v>
      </c>
      <c r="P30" s="0">
        <v>40</v>
      </c>
    </row>
    <row r="31" ht="17" customHeight="1">
      <c r="A31" s="6">
        <v>36</v>
      </c>
      <c r="B31" s="6" t="inlineStr">
        <is>
          <t>P014</t>
        </is>
      </c>
      <c r="C31" s="6" t="inlineStr">
        <is>
          <t>2026-10-02 14:36:49.922</t>
        </is>
      </c>
      <c r="D31" s="6" t="inlineStr">
        <is>
          <t>Alex</t>
        </is>
      </c>
      <c r="E31" s="6" t="inlineStr">
        <is>
          <t>HammerTouch</t>
        </is>
      </c>
      <c r="F31" s="6" t="inlineStr">
        <is>
          <t>Failed</t>
        </is>
      </c>
      <c r="G31" s="6" t="inlineStr">
        <is>
          <t>Easy</t>
        </is>
      </c>
      <c r="H31" s="4">
        <v>23.936</v>
      </c>
      <c r="P31" s="6">
        <v>41</v>
      </c>
    </row>
    <row r="32" ht="17" customHeight="1">
      <c r="A32" s="0">
        <v>37</v>
      </c>
      <c r="B32" s="0" t="inlineStr">
        <is>
          <t>P014</t>
        </is>
      </c>
      <c r="C32" s="0" t="inlineStr">
        <is>
          <t>2026-10-02 14:36:49.924</t>
        </is>
      </c>
      <c r="D32" s="0" t="inlineStr">
        <is>
          <t>Alex</t>
        </is>
      </c>
      <c r="E32" s="0" t="inlineStr">
        <is>
          <t>HammerHit</t>
        </is>
      </c>
      <c r="F32" s="0" t="inlineStr">
        <is>
          <t>Failed</t>
        </is>
      </c>
      <c r="G32" s="0" t="inlineStr">
        <is>
          <t>Easy</t>
        </is>
      </c>
      <c r="H32" s="4">
        <v>23.936</v>
      </c>
      <c r="I32" s="4">
        <v>23.9056</v>
      </c>
      <c r="J32" s="4">
        <v>-0.0304</v>
      </c>
      <c r="K32" s="4">
        <v>0.0304</v>
      </c>
      <c r="P32" s="0">
        <v>42</v>
      </c>
    </row>
    <row r="33" ht="17" customHeight="1">
      <c r="A33" s="6">
        <v>38</v>
      </c>
      <c r="B33" s="6" t="inlineStr">
        <is>
          <t>P014</t>
        </is>
      </c>
      <c r="C33" s="6" t="inlineStr">
        <is>
          <t>2026-10-02 14:36:51.482</t>
        </is>
      </c>
      <c r="D33" s="6" t="inlineStr">
        <is>
          <t>Alex</t>
        </is>
      </c>
      <c r="E33" s="6" t="inlineStr">
        <is>
          <t>HammerHit</t>
        </is>
      </c>
      <c r="F33" s="6" t="inlineStr">
        <is>
          <t>Success</t>
        </is>
      </c>
      <c r="G33" s="6" t="inlineStr">
        <is>
          <t>Easy</t>
        </is>
      </c>
      <c r="H33" s="4">
        <v>25.472</v>
      </c>
      <c r="I33" s="4">
        <v>25.4651</v>
      </c>
      <c r="J33" s="4">
        <v>-0.0069</v>
      </c>
      <c r="K33" s="4">
        <v>0.0069</v>
      </c>
      <c r="P33" s="6">
        <v>43</v>
      </c>
    </row>
    <row r="34" ht="17" customHeight="1">
      <c r="A34" s="0">
        <v>39</v>
      </c>
      <c r="B34" s="0" t="inlineStr">
        <is>
          <t>P014</t>
        </is>
      </c>
      <c r="C34" s="0" t="inlineStr">
        <is>
          <t>2026-10-02 14:36:51.483</t>
        </is>
      </c>
      <c r="D34" s="0" t="inlineStr">
        <is>
          <t>Alex</t>
        </is>
      </c>
      <c r="E34" s="0" t="inlineStr">
        <is>
          <t>HammerHit</t>
        </is>
      </c>
      <c r="F34" s="0" t="inlineStr">
        <is>
          <t>Success</t>
        </is>
      </c>
      <c r="G34" s="0" t="inlineStr">
        <is>
          <t>Easy</t>
        </is>
      </c>
      <c r="H34" s="4">
        <v>25.472</v>
      </c>
      <c r="I34" s="4">
        <v>25.4651</v>
      </c>
      <c r="J34" s="4">
        <v>-0.0069</v>
      </c>
      <c r="K34" s="4">
        <v>0.0069</v>
      </c>
      <c r="P34" s="0">
        <v>44</v>
      </c>
    </row>
    <row r="35" ht="17" customHeight="1">
      <c r="A35" s="6">
        <v>40</v>
      </c>
      <c r="B35" s="6" t="inlineStr">
        <is>
          <t>P014</t>
        </is>
      </c>
      <c r="C35" s="6" t="inlineStr">
        <is>
          <t>2026-10-02 14:36:53.014</t>
        </is>
      </c>
      <c r="D35" s="6" t="inlineStr">
        <is>
          <t>Alex</t>
        </is>
      </c>
      <c r="E35" s="6" t="inlineStr">
        <is>
          <t>HammerHit</t>
        </is>
      </c>
      <c r="F35" s="6" t="inlineStr">
        <is>
          <t>Failed</t>
        </is>
      </c>
      <c r="G35" s="6" t="inlineStr">
        <is>
          <t>Easy</t>
        </is>
      </c>
      <c r="H35" s="4">
        <v>27.008</v>
      </c>
      <c r="I35" s="4">
        <v>26.9969</v>
      </c>
      <c r="J35" s="4">
        <v>-0.0111</v>
      </c>
      <c r="K35" s="4">
        <v>0.0111</v>
      </c>
      <c r="P35" s="6">
        <v>45</v>
      </c>
    </row>
    <row r="36" ht="17" customHeight="1">
      <c r="A36" s="0">
        <v>41</v>
      </c>
      <c r="B36" s="0" t="inlineStr">
        <is>
          <t>P014</t>
        </is>
      </c>
      <c r="C36" s="0" t="inlineStr">
        <is>
          <t>2026-10-02 14:36:54.532</t>
        </is>
      </c>
      <c r="D36" s="0" t="inlineStr">
        <is>
          <t>Alex</t>
        </is>
      </c>
      <c r="E36" s="0" t="inlineStr">
        <is>
          <t>HammerHit</t>
        </is>
      </c>
      <c r="F36" s="0" t="inlineStr">
        <is>
          <t>Success</t>
        </is>
      </c>
      <c r="G36" s="0" t="inlineStr">
        <is>
          <t>Easy</t>
        </is>
      </c>
      <c r="H36" s="4">
        <v>28.544</v>
      </c>
      <c r="I36" s="4">
        <v>28.5143</v>
      </c>
      <c r="J36" s="4">
        <v>-0.0297</v>
      </c>
      <c r="K36" s="4">
        <v>0.0297</v>
      </c>
      <c r="P36" s="0">
        <v>46</v>
      </c>
    </row>
    <row r="37" ht="17" customHeight="1">
      <c r="A37" s="6">
        <v>42</v>
      </c>
      <c r="B37" s="6" t="inlineStr">
        <is>
          <t>P014</t>
        </is>
      </c>
      <c r="C37" s="6" t="inlineStr">
        <is>
          <t>2026-10-02 14:36:54.532</t>
        </is>
      </c>
      <c r="D37" s="6" t="inlineStr">
        <is>
          <t>Alex</t>
        </is>
      </c>
      <c r="E37" s="6" t="inlineStr">
        <is>
          <t>HammerHit</t>
        </is>
      </c>
      <c r="F37" s="6" t="inlineStr">
        <is>
          <t>Failed</t>
        </is>
      </c>
      <c r="G37" s="6" t="inlineStr">
        <is>
          <t>Easy</t>
        </is>
      </c>
      <c r="H37" s="4">
        <v>28.544</v>
      </c>
      <c r="I37" s="4">
        <v>28.5143</v>
      </c>
      <c r="J37" s="4">
        <v>-0.0297</v>
      </c>
      <c r="K37" s="4">
        <v>0.0297</v>
      </c>
      <c r="P37" s="6">
        <v>47</v>
      </c>
    </row>
    <row r="38" ht="17" customHeight="1">
      <c r="A38" s="0">
        <v>43</v>
      </c>
      <c r="B38" s="0" t="inlineStr">
        <is>
          <t>P014</t>
        </is>
      </c>
      <c r="C38" s="0" t="inlineStr">
        <is>
          <t>2026-10-02 14:36:56.090</t>
        </is>
      </c>
      <c r="D38" s="0" t="inlineStr">
        <is>
          <t>Alex</t>
        </is>
      </c>
      <c r="E38" s="0" t="inlineStr">
        <is>
          <t>HammerHit</t>
        </is>
      </c>
      <c r="F38" s="0" t="inlineStr">
        <is>
          <t>Failed</t>
        </is>
      </c>
      <c r="G38" s="0" t="inlineStr">
        <is>
          <t>Easy</t>
        </is>
      </c>
      <c r="H38" s="4">
        <v>30.08</v>
      </c>
      <c r="I38" s="4">
        <v>30.0739</v>
      </c>
      <c r="J38" s="4">
        <v>-0.0061</v>
      </c>
      <c r="K38" s="4">
        <v>0.0061</v>
      </c>
      <c r="P38" s="0">
        <v>48</v>
      </c>
    </row>
    <row r="39" ht="17" customHeight="1">
      <c r="A39" s="6">
        <v>44</v>
      </c>
      <c r="B39" s="6" t="inlineStr">
        <is>
          <t>P014</t>
        </is>
      </c>
      <c r="C39" s="6" t="inlineStr">
        <is>
          <t>2026-10-02 14:37:00.072</t>
        </is>
      </c>
      <c r="D39" s="6" t="inlineStr">
        <is>
          <t>Joaquin</t>
        </is>
      </c>
      <c r="E39" s="6" t="inlineStr">
        <is>
          <t>GuitarHit</t>
        </is>
      </c>
      <c r="F39" s="6" t="inlineStr">
        <is>
          <t>Success</t>
        </is>
      </c>
      <c r="G39" s="6" t="inlineStr">
        <is>
          <t>Easy</t>
        </is>
      </c>
      <c r="H39" s="4">
        <v>33.92</v>
      </c>
      <c r="I39" s="4">
        <v>34.0406</v>
      </c>
      <c r="J39" s="4">
        <v>0.1206</v>
      </c>
      <c r="K39" s="4">
        <v>0.1206</v>
      </c>
      <c r="P39" s="6">
        <v>49</v>
      </c>
    </row>
    <row r="40" ht="17" customHeight="1">
      <c r="A40" s="0">
        <v>46</v>
      </c>
      <c r="B40" s="0" t="inlineStr">
        <is>
          <t>P014</t>
        </is>
      </c>
      <c r="C40" s="0" t="inlineStr">
        <is>
          <t>2026-10-02 14:37:03.370</t>
        </is>
      </c>
      <c r="D40" s="0" t="inlineStr">
        <is>
          <t>Joaquin</t>
        </is>
      </c>
      <c r="E40" s="0" t="inlineStr">
        <is>
          <t>GuitarHit</t>
        </is>
      </c>
      <c r="F40" s="0" t="inlineStr">
        <is>
          <t>Success</t>
        </is>
      </c>
      <c r="G40" s="0" t="inlineStr">
        <is>
          <t>Easy</t>
        </is>
      </c>
      <c r="H40" s="4">
        <v>37.376</v>
      </c>
      <c r="I40" s="4">
        <v>37.3398</v>
      </c>
      <c r="J40" s="4">
        <v>-0.0362</v>
      </c>
      <c r="K40" s="4">
        <v>0.0362</v>
      </c>
      <c r="P40" s="0">
        <v>51</v>
      </c>
    </row>
    <row r="41" ht="17" customHeight="1">
      <c r="A41" s="6">
        <v>47</v>
      </c>
      <c r="B41" s="6" t="inlineStr">
        <is>
          <t>P014</t>
        </is>
      </c>
      <c r="C41" s="6" t="inlineStr">
        <is>
          <t>2026-10-02 14:37:15.316</t>
        </is>
      </c>
      <c r="D41" s="6" t="inlineStr">
        <is>
          <t>Joaquin</t>
        </is>
      </c>
      <c r="E41" s="6" t="inlineStr">
        <is>
          <t>GuitarHit</t>
        </is>
      </c>
      <c r="F41" s="6" t="inlineStr">
        <is>
          <t>Success</t>
        </is>
      </c>
      <c r="G41" s="6" t="inlineStr">
        <is>
          <t>Easy</t>
        </is>
      </c>
      <c r="H41" s="4">
        <v>40.064</v>
      </c>
      <c r="I41" s="4">
        <v>39.9166</v>
      </c>
      <c r="J41" s="4">
        <v>-0.1474</v>
      </c>
      <c r="K41" s="4">
        <v>0.1474</v>
      </c>
      <c r="P41" s="6">
        <v>52</v>
      </c>
    </row>
    <row r="42" ht="17" customHeight="1">
      <c r="A42" s="0">
        <v>48</v>
      </c>
      <c r="B42" s="0" t="inlineStr">
        <is>
          <t>P014</t>
        </is>
      </c>
      <c r="C42" s="0" t="inlineStr">
        <is>
          <t>2026-10-02 14:37:17.613</t>
        </is>
      </c>
      <c r="D42" s="0" t="inlineStr">
        <is>
          <t>Joaquin</t>
        </is>
      </c>
      <c r="E42" s="0" t="inlineStr">
        <is>
          <t>GuitarHit</t>
        </is>
      </c>
      <c r="F42" s="0" t="inlineStr">
        <is>
          <t>Success</t>
        </is>
      </c>
      <c r="G42" s="0" t="inlineStr">
        <is>
          <t>Easy</t>
        </is>
      </c>
      <c r="H42" s="4">
        <v>42.368</v>
      </c>
      <c r="I42" s="4">
        <v>42.2133</v>
      </c>
      <c r="J42" s="4">
        <v>-0.1547</v>
      </c>
      <c r="K42" s="4">
        <v>0.1547</v>
      </c>
      <c r="P42" s="0">
        <v>53</v>
      </c>
    </row>
    <row r="43" ht="17" customHeight="1">
      <c r="A43" s="6">
        <v>49</v>
      </c>
      <c r="B43" s="6" t="inlineStr">
        <is>
          <t>P014</t>
        </is>
      </c>
      <c r="C43" s="6" t="inlineStr">
        <is>
          <t>2026-10-02 14:37:20.537</t>
        </is>
      </c>
      <c r="D43" s="6" t="inlineStr">
        <is>
          <t>Joaquin</t>
        </is>
      </c>
      <c r="E43" s="6" t="inlineStr">
        <is>
          <t>GuitarHit</t>
        </is>
      </c>
      <c r="F43" s="6" t="inlineStr">
        <is>
          <t>Success</t>
        </is>
      </c>
      <c r="G43" s="6" t="inlineStr">
        <is>
          <t>Easy</t>
        </is>
      </c>
      <c r="H43" s="4">
        <v>45.056</v>
      </c>
      <c r="I43" s="4">
        <v>45.1376</v>
      </c>
      <c r="J43" s="4">
        <v>0.0816</v>
      </c>
      <c r="K43" s="4">
        <v>0.0816</v>
      </c>
      <c r="P43" s="6">
        <v>54</v>
      </c>
    </row>
    <row r="44" ht="17" customHeight="1">
      <c r="A44" s="0">
        <v>50</v>
      </c>
      <c r="B44" s="0" t="inlineStr">
        <is>
          <t>P014</t>
        </is>
      </c>
      <c r="C44" s="0" t="inlineStr">
        <is>
          <t>2026-10-02 14:37:23.683</t>
        </is>
      </c>
      <c r="D44" s="0" t="inlineStr">
        <is>
          <t>Joaquin</t>
        </is>
      </c>
      <c r="E44" s="0" t="inlineStr">
        <is>
          <t>GuitarHit</t>
        </is>
      </c>
      <c r="F44" s="0" t="inlineStr">
        <is>
          <t>Success</t>
        </is>
      </c>
      <c r="G44" s="0" t="inlineStr">
        <is>
          <t>Easy</t>
        </is>
      </c>
      <c r="H44" s="4">
        <v>48.128</v>
      </c>
      <c r="I44" s="4">
        <v>48.2827</v>
      </c>
      <c r="J44" s="4">
        <v>0.1547</v>
      </c>
      <c r="K44" s="4">
        <v>0.1547</v>
      </c>
      <c r="P44" s="0">
        <v>55</v>
      </c>
    </row>
    <row r="45" ht="17" customHeight="1">
      <c r="A45" s="6">
        <v>51</v>
      </c>
      <c r="B45" s="6" t="inlineStr">
        <is>
          <t>P014</t>
        </is>
      </c>
      <c r="C45" s="6" t="inlineStr">
        <is>
          <t>2026-10-02 14:37:25.841</t>
        </is>
      </c>
      <c r="D45" s="6" t="inlineStr">
        <is>
          <t>Joaquin</t>
        </is>
      </c>
      <c r="E45" s="6" t="inlineStr">
        <is>
          <t>GuitarHit</t>
        </is>
      </c>
      <c r="F45" s="6" t="inlineStr">
        <is>
          <t>Success</t>
        </is>
      </c>
      <c r="G45" s="6" t="inlineStr">
        <is>
          <t>Easy</t>
        </is>
      </c>
      <c r="H45" s="4">
        <v>50.432</v>
      </c>
      <c r="I45" s="4">
        <v>50.4414</v>
      </c>
      <c r="J45" s="4">
        <v>0.0094</v>
      </c>
      <c r="K45" s="4">
        <v>0.0094</v>
      </c>
      <c r="P45" s="6">
        <v>56</v>
      </c>
    </row>
    <row r="46" ht="17" customHeight="1">
      <c r="A46" s="0">
        <v>52</v>
      </c>
      <c r="B46" s="0" t="inlineStr">
        <is>
          <t>P014</t>
        </is>
      </c>
      <c r="C46" s="0" t="inlineStr">
        <is>
          <t>2026-10-02 14:37:28.236</t>
        </is>
      </c>
      <c r="D46" s="0" t="inlineStr">
        <is>
          <t>Joaquin</t>
        </is>
      </c>
      <c r="E46" s="0" t="inlineStr">
        <is>
          <t>GuitarHit</t>
        </is>
      </c>
      <c r="F46" s="0" t="inlineStr">
        <is>
          <t>Success</t>
        </is>
      </c>
      <c r="G46" s="0" t="inlineStr">
        <is>
          <t>Easy</t>
        </is>
      </c>
      <c r="H46" s="4">
        <v>52.736</v>
      </c>
      <c r="I46" s="4">
        <v>52.8363</v>
      </c>
      <c r="J46" s="4">
        <v>0.1003</v>
      </c>
      <c r="K46" s="4">
        <v>0.1003</v>
      </c>
      <c r="P46" s="0">
        <v>57</v>
      </c>
    </row>
    <row r="47" ht="17" customHeight="1">
      <c r="A47" s="6">
        <v>54</v>
      </c>
      <c r="B47" s="6" t="inlineStr">
        <is>
          <t>P014</t>
        </is>
      </c>
      <c r="C47" s="6" t="inlineStr">
        <is>
          <t>2026-10-02 14:37:28.501</t>
        </is>
      </c>
      <c r="D47" s="6" t="inlineStr">
        <is>
          <t>Joaquin</t>
        </is>
      </c>
      <c r="E47" s="6" t="inlineStr">
        <is>
          <t>GuitarHit</t>
        </is>
      </c>
      <c r="F47" s="6" t="inlineStr">
        <is>
          <t>Success</t>
        </is>
      </c>
      <c r="G47" s="6" t="inlineStr">
        <is>
          <t>Normal</t>
        </is>
      </c>
      <c r="H47" s="4">
        <v>53.12</v>
      </c>
      <c r="I47" s="4">
        <v>53.1012</v>
      </c>
      <c r="J47" s="4">
        <v>-0.0188</v>
      </c>
      <c r="K47" s="4">
        <v>0.0188</v>
      </c>
      <c r="P47" s="6">
        <v>59</v>
      </c>
    </row>
    <row r="48" ht="17" customHeight="1">
      <c r="A48" s="0">
        <v>55</v>
      </c>
      <c r="B48" s="0" t="inlineStr">
        <is>
          <t>P014</t>
        </is>
      </c>
      <c r="C48" s="0" t="inlineStr">
        <is>
          <t>2026-10-02 14:37:30.910</t>
        </is>
      </c>
      <c r="D48" s="0" t="inlineStr">
        <is>
          <t>Joaquin</t>
        </is>
      </c>
      <c r="E48" s="0" t="inlineStr">
        <is>
          <t>GuitarHit</t>
        </is>
      </c>
      <c r="F48" s="0" t="inlineStr">
        <is>
          <t>Success</t>
        </is>
      </c>
      <c r="G48" s="0" t="inlineStr">
        <is>
          <t>Normal</t>
        </is>
      </c>
      <c r="H48" s="4">
        <v>55.424</v>
      </c>
      <c r="I48" s="4">
        <v>55.5095</v>
      </c>
      <c r="J48" s="4">
        <v>0.0855</v>
      </c>
      <c r="K48" s="4">
        <v>0.0855</v>
      </c>
      <c r="P48" s="0">
        <v>60</v>
      </c>
    </row>
    <row r="49" ht="17" customHeight="1">
      <c r="A49" s="6">
        <v>56</v>
      </c>
      <c r="B49" s="6" t="inlineStr">
        <is>
          <t>P014</t>
        </is>
      </c>
      <c r="C49" s="6" t="inlineStr">
        <is>
          <t>2026-10-02 14:37:33.221</t>
        </is>
      </c>
      <c r="D49" s="6" t="inlineStr">
        <is>
          <t>Joaquin</t>
        </is>
      </c>
      <c r="E49" s="6" t="inlineStr">
        <is>
          <t>GuitarHit</t>
        </is>
      </c>
      <c r="F49" s="6" t="inlineStr">
        <is>
          <t>Success</t>
        </is>
      </c>
      <c r="G49" s="6" t="inlineStr">
        <is>
          <t>Normal</t>
        </is>
      </c>
      <c r="H49" s="4">
        <v>57.728</v>
      </c>
      <c r="I49" s="4">
        <v>57.8215</v>
      </c>
      <c r="J49" s="4">
        <v>0.0935</v>
      </c>
      <c r="K49" s="4">
        <v>0.0935</v>
      </c>
      <c r="P49" s="6">
        <v>61</v>
      </c>
    </row>
    <row r="50" ht="17" customHeight="1">
      <c r="A50" s="0">
        <v>57</v>
      </c>
      <c r="B50" s="0" t="inlineStr">
        <is>
          <t>P014</t>
        </is>
      </c>
      <c r="C50" s="0" t="inlineStr">
        <is>
          <t>2026-10-02 14:37:35.923</t>
        </is>
      </c>
      <c r="D50" s="0" t="inlineStr">
        <is>
          <t>Joaquin</t>
        </is>
      </c>
      <c r="E50" s="0" t="inlineStr">
        <is>
          <t>GuitarHit</t>
        </is>
      </c>
      <c r="F50" s="0" t="inlineStr">
        <is>
          <t>Success</t>
        </is>
      </c>
      <c r="G50" s="0" t="inlineStr">
        <is>
          <t>Normal</t>
        </is>
      </c>
      <c r="H50" s="4">
        <v>60.416</v>
      </c>
      <c r="I50" s="4">
        <v>60.5228</v>
      </c>
      <c r="J50" s="4">
        <v>0.1068</v>
      </c>
      <c r="K50" s="4">
        <v>0.1068</v>
      </c>
      <c r="P50" s="0">
        <v>62</v>
      </c>
    </row>
    <row r="51" ht="17" customHeight="1">
      <c r="A51" s="6">
        <v>59</v>
      </c>
      <c r="B51" s="6" t="inlineStr">
        <is>
          <t>P014</t>
        </is>
      </c>
      <c r="C51" s="6" t="inlineStr">
        <is>
          <t>2026-10-02 14:37:42.092</t>
        </is>
      </c>
      <c r="D51" s="6" t="inlineStr">
        <is>
          <t>Shipi</t>
        </is>
      </c>
      <c r="E51" s="6" t="inlineStr">
        <is>
          <t>FoodCut</t>
        </is>
      </c>
      <c r="F51" s="6" t="inlineStr">
        <is>
          <t>Success</t>
        </is>
      </c>
      <c r="G51" s="6" t="inlineStr">
        <is>
          <t>Normal</t>
        </is>
      </c>
      <c r="H51" s="4">
        <v>66.2528</v>
      </c>
      <c r="I51" s="4">
        <v>66.6918</v>
      </c>
      <c r="J51" s="4">
        <v>0.439</v>
      </c>
      <c r="K51" s="4">
        <v>0.439</v>
      </c>
      <c r="L51" s="4">
        <v>1.2838</v>
      </c>
      <c r="N51" s="4">
        <v>1.0</v>
      </c>
      <c r="P51" s="6">
        <v>64</v>
      </c>
    </row>
    <row r="52" ht="17" customHeight="1">
      <c r="A52" s="0">
        <v>61</v>
      </c>
      <c r="B52" s="0" t="inlineStr">
        <is>
          <t>P014</t>
        </is>
      </c>
      <c r="C52" s="0" t="inlineStr">
        <is>
          <t>2026-10-02 14:37:42.940</t>
        </is>
      </c>
      <c r="D52" s="0" t="inlineStr">
        <is>
          <t>Shipi</t>
        </is>
      </c>
      <c r="E52" s="0" t="inlineStr">
        <is>
          <t>FoodCut</t>
        </is>
      </c>
      <c r="F52" s="0" t="inlineStr">
        <is>
          <t>Success</t>
        </is>
      </c>
      <c r="G52" s="0" t="inlineStr">
        <is>
          <t>Normal</t>
        </is>
      </c>
      <c r="H52" s="4">
        <v>67.7888</v>
      </c>
      <c r="I52" s="4">
        <v>67.5409</v>
      </c>
      <c r="J52" s="4">
        <v>-0.2479</v>
      </c>
      <c r="K52" s="4">
        <v>0.2479</v>
      </c>
      <c r="L52" s="4">
        <v>0.5969</v>
      </c>
      <c r="N52" s="4">
        <v>1.0</v>
      </c>
      <c r="P52" s="0">
        <v>66</v>
      </c>
    </row>
    <row r="53" ht="17" customHeight="1">
      <c r="A53" s="6">
        <v>62</v>
      </c>
      <c r="B53" s="6" t="inlineStr">
        <is>
          <t>P014</t>
        </is>
      </c>
      <c r="C53" s="6" t="inlineStr">
        <is>
          <t>2026-10-02 14:37:44.319</t>
        </is>
      </c>
      <c r="D53" s="6" t="inlineStr">
        <is>
          <t>Shipi</t>
        </is>
      </c>
      <c r="E53" s="6" t="inlineStr">
        <is>
          <t>FoodCut</t>
        </is>
      </c>
      <c r="F53" s="6" t="inlineStr">
        <is>
          <t>Failed</t>
        </is>
      </c>
      <c r="G53" s="6" t="inlineStr">
        <is>
          <t>Normal</t>
        </is>
      </c>
      <c r="H53" s="4">
        <v>69.3248</v>
      </c>
      <c r="P53" s="6">
        <v>67</v>
      </c>
    </row>
    <row r="54" ht="17" customHeight="1">
      <c r="A54" s="0">
        <v>63</v>
      </c>
      <c r="B54" s="0" t="inlineStr">
        <is>
          <t>P014</t>
        </is>
      </c>
      <c r="C54" s="0" t="inlineStr">
        <is>
          <t>2026-10-02 14:37:46.017</t>
        </is>
      </c>
      <c r="D54" s="0" t="inlineStr">
        <is>
          <t>Shipi</t>
        </is>
      </c>
      <c r="E54" s="0" t="inlineStr">
        <is>
          <t>FoodCut</t>
        </is>
      </c>
      <c r="F54" s="0" t="inlineStr">
        <is>
          <t>Failed</t>
        </is>
      </c>
      <c r="G54" s="0" t="inlineStr">
        <is>
          <t>Normal</t>
        </is>
      </c>
      <c r="H54" s="4">
        <v>70.8608</v>
      </c>
      <c r="P54" s="0">
        <v>68</v>
      </c>
    </row>
    <row r="55" ht="17" customHeight="1">
      <c r="A55" s="6">
        <v>64</v>
      </c>
      <c r="B55" s="6" t="inlineStr">
        <is>
          <t>P014</t>
        </is>
      </c>
      <c r="C55" s="6" t="inlineStr">
        <is>
          <t>2026-10-02 14:37:47.577</t>
        </is>
      </c>
      <c r="D55" s="6" t="inlineStr">
        <is>
          <t>Shipi</t>
        </is>
      </c>
      <c r="E55" s="6" t="inlineStr">
        <is>
          <t>FoodCut</t>
        </is>
      </c>
      <c r="F55" s="6" t="inlineStr">
        <is>
          <t>Failed</t>
        </is>
      </c>
      <c r="G55" s="6" t="inlineStr">
        <is>
          <t>Normal</t>
        </is>
      </c>
      <c r="H55" s="4">
        <v>72.3968</v>
      </c>
      <c r="I55" s="4">
        <v>72.1776</v>
      </c>
      <c r="J55" s="4">
        <v>-0.2192</v>
      </c>
      <c r="K55" s="4">
        <v>0.2192</v>
      </c>
      <c r="L55" s="4">
        <v>0.6256</v>
      </c>
      <c r="N55" s="4">
        <v>0.0</v>
      </c>
      <c r="P55" s="6">
        <v>69</v>
      </c>
    </row>
    <row r="56" ht="17" customHeight="1">
      <c r="A56" s="0">
        <v>68</v>
      </c>
      <c r="B56" s="0" t="inlineStr">
        <is>
          <t>P014</t>
        </is>
      </c>
      <c r="C56" s="0" t="inlineStr">
        <is>
          <t>2026-10-02 14:37:49.652</t>
        </is>
      </c>
      <c r="D56" s="0" t="inlineStr">
        <is>
          <t>Shipi</t>
        </is>
      </c>
      <c r="E56" s="0" t="inlineStr">
        <is>
          <t>FoodCut</t>
        </is>
      </c>
      <c r="F56" s="0" t="inlineStr">
        <is>
          <t>Failed</t>
        </is>
      </c>
      <c r="G56" s="0" t="inlineStr">
        <is>
          <t>Normal</t>
        </is>
      </c>
      <c r="H56" s="4">
        <v>74.528</v>
      </c>
      <c r="I56" s="4">
        <v>74.2516</v>
      </c>
      <c r="J56" s="4">
        <v>-0.2764</v>
      </c>
      <c r="K56" s="4">
        <v>0.2764</v>
      </c>
      <c r="L56" s="4">
        <v>0.7796</v>
      </c>
      <c r="N56" s="4">
        <v>0.0</v>
      </c>
      <c r="P56" s="0">
        <v>73</v>
      </c>
    </row>
    <row r="57" ht="17" customHeight="1">
      <c r="A57" s="6">
        <v>69</v>
      </c>
      <c r="B57" s="6" t="inlineStr">
        <is>
          <t>P014</t>
        </is>
      </c>
      <c r="C57" s="6" t="inlineStr">
        <is>
          <t>2026-10-02 14:37:51.642</t>
        </is>
      </c>
      <c r="D57" s="6" t="inlineStr">
        <is>
          <t>Shipi</t>
        </is>
      </c>
      <c r="E57" s="6" t="inlineStr">
        <is>
          <t>FoodCut</t>
        </is>
      </c>
      <c r="F57" s="6" t="inlineStr">
        <is>
          <t>Failed</t>
        </is>
      </c>
      <c r="G57" s="6" t="inlineStr">
        <is>
          <t>Normal</t>
        </is>
      </c>
      <c r="H57" s="4">
        <v>76.448</v>
      </c>
      <c r="I57" s="4">
        <v>76.2429</v>
      </c>
      <c r="J57" s="4">
        <v>-0.2051</v>
      </c>
      <c r="K57" s="4">
        <v>0.2051</v>
      </c>
      <c r="L57" s="4">
        <v>0.8509</v>
      </c>
      <c r="N57" s="4">
        <v>0.0</v>
      </c>
      <c r="P57" s="6">
        <v>74</v>
      </c>
    </row>
    <row r="58" ht="17" customHeight="1">
      <c r="A58" s="0">
        <v>71</v>
      </c>
      <c r="B58" s="0" t="inlineStr">
        <is>
          <t>P014</t>
        </is>
      </c>
      <c r="C58" s="0" t="inlineStr">
        <is>
          <t>2026-10-02 14:37:53.230</t>
        </is>
      </c>
      <c r="D58" s="0" t="inlineStr">
        <is>
          <t>Shipi</t>
        </is>
      </c>
      <c r="E58" s="0" t="inlineStr">
        <is>
          <t>FoodCut</t>
        </is>
      </c>
      <c r="F58" s="0" t="inlineStr">
        <is>
          <t>Success</t>
        </is>
      </c>
      <c r="G58" s="0" t="inlineStr">
        <is>
          <t>Easy</t>
        </is>
      </c>
      <c r="H58" s="4">
        <v>78.368</v>
      </c>
      <c r="I58" s="4">
        <v>77.8299</v>
      </c>
      <c r="J58" s="4">
        <v>-0.5381</v>
      </c>
      <c r="K58" s="4">
        <v>0.5381</v>
      </c>
      <c r="L58" s="4">
        <v>0.5179</v>
      </c>
      <c r="N58" s="4">
        <v>1.0</v>
      </c>
      <c r="P58" s="0">
        <v>76</v>
      </c>
    </row>
    <row r="59" ht="17" customHeight="1">
      <c r="A59" s="6">
        <v>73</v>
      </c>
      <c r="B59" s="6" t="inlineStr">
        <is>
          <t>P014</t>
        </is>
      </c>
      <c r="C59" s="6" t="inlineStr">
        <is>
          <t>2026-10-02 14:37:55.109</t>
        </is>
      </c>
      <c r="D59" s="6" t="inlineStr">
        <is>
          <t>Shipi</t>
        </is>
      </c>
      <c r="E59" s="6" t="inlineStr">
        <is>
          <t>FoodCut</t>
        </is>
      </c>
      <c r="F59" s="6" t="inlineStr">
        <is>
          <t>Failed</t>
        </is>
      </c>
      <c r="G59" s="6" t="inlineStr">
        <is>
          <t>Easy</t>
        </is>
      </c>
      <c r="H59" s="4">
        <v>80.288</v>
      </c>
      <c r="I59" s="4">
        <v>79.7095</v>
      </c>
      <c r="J59" s="4">
        <v>-0.5785</v>
      </c>
      <c r="K59" s="4">
        <v>0.5785</v>
      </c>
      <c r="L59" s="4">
        <v>0.4775</v>
      </c>
      <c r="N59" s="4">
        <v>0.0</v>
      </c>
      <c r="P59" s="6">
        <v>78</v>
      </c>
    </row>
    <row r="60" ht="17" customHeight="1">
      <c r="A60" s="0">
        <v>74</v>
      </c>
      <c r="B60" s="0" t="inlineStr">
        <is>
          <t>P014</t>
        </is>
      </c>
      <c r="C60" s="0" t="inlineStr">
        <is>
          <t>2026-10-02 14:37:57.114</t>
        </is>
      </c>
      <c r="D60" s="0" t="inlineStr">
        <is>
          <t>Shipi</t>
        </is>
      </c>
      <c r="E60" s="0" t="inlineStr">
        <is>
          <t>FoodCut</t>
        </is>
      </c>
      <c r="F60" s="0" t="inlineStr">
        <is>
          <t>Failed</t>
        </is>
      </c>
      <c r="G60" s="0" t="inlineStr">
        <is>
          <t>Easy</t>
        </is>
      </c>
      <c r="H60" s="4">
        <v>82.208</v>
      </c>
      <c r="I60" s="4">
        <v>81.7138</v>
      </c>
      <c r="J60" s="4">
        <v>-0.4942</v>
      </c>
      <c r="K60" s="4">
        <v>0.4942</v>
      </c>
      <c r="L60" s="4">
        <v>0.5618</v>
      </c>
      <c r="N60" s="4">
        <v>0.0</v>
      </c>
      <c r="P60" s="0">
        <v>79</v>
      </c>
    </row>
    <row r="61" ht="17" customHeight="1">
      <c r="A61" s="6">
        <v>75</v>
      </c>
      <c r="B61" s="6" t="inlineStr">
        <is>
          <t>P014</t>
        </is>
      </c>
      <c r="C61" s="6" t="inlineStr">
        <is>
          <t>2026-10-02 14:37:59.272</t>
        </is>
      </c>
      <c r="D61" s="6" t="inlineStr">
        <is>
          <t>Shipi</t>
        </is>
      </c>
      <c r="E61" s="6" t="inlineStr">
        <is>
          <t>FoodCut</t>
        </is>
      </c>
      <c r="F61" s="6" t="inlineStr">
        <is>
          <t>Success</t>
        </is>
      </c>
      <c r="G61" s="6" t="inlineStr">
        <is>
          <t>Easy</t>
        </is>
      </c>
      <c r="H61" s="4">
        <v>84.128</v>
      </c>
      <c r="I61" s="4">
        <v>83.8718</v>
      </c>
      <c r="J61" s="4">
        <v>-0.2562</v>
      </c>
      <c r="K61" s="4">
        <v>0.2562</v>
      </c>
      <c r="L61" s="4">
        <v>0.7998</v>
      </c>
      <c r="N61" s="4">
        <v>1.0</v>
      </c>
      <c r="P61" s="6">
        <v>80</v>
      </c>
    </row>
    <row r="62" ht="17" customHeight="1">
      <c r="A62" s="0">
        <v>76</v>
      </c>
      <c r="B62" s="0" t="inlineStr">
        <is>
          <t>P014</t>
        </is>
      </c>
      <c r="C62" s="0" t="inlineStr">
        <is>
          <t>2026-10-02 14:38:00.956</t>
        </is>
      </c>
      <c r="D62" s="0" t="inlineStr">
        <is>
          <t>Shipi</t>
        </is>
      </c>
      <c r="E62" s="0" t="inlineStr">
        <is>
          <t>FoodCut</t>
        </is>
      </c>
      <c r="F62" s="0" t="inlineStr">
        <is>
          <t>Success</t>
        </is>
      </c>
      <c r="G62" s="0" t="inlineStr">
        <is>
          <t>Easy</t>
        </is>
      </c>
      <c r="H62" s="4">
        <v>86.048</v>
      </c>
      <c r="I62" s="4">
        <v>85.5562</v>
      </c>
      <c r="J62" s="4">
        <v>-0.4918</v>
      </c>
      <c r="K62" s="4">
        <v>0.4918</v>
      </c>
      <c r="L62" s="4">
        <v>0.5642</v>
      </c>
      <c r="N62" s="4">
        <v>1.0</v>
      </c>
      <c r="P62" s="0">
        <v>81</v>
      </c>
    </row>
    <row r="63" ht="17" customHeight="1">
      <c r="A63" s="6">
        <v>77</v>
      </c>
      <c r="B63" s="6" t="inlineStr">
        <is>
          <t>P014</t>
        </is>
      </c>
      <c r="C63" s="6" t="inlineStr">
        <is>
          <t>2026-10-02 14:38:03.170</t>
        </is>
      </c>
      <c r="D63" s="6" t="inlineStr">
        <is>
          <t>Shipi</t>
        </is>
      </c>
      <c r="E63" s="6" t="inlineStr">
        <is>
          <t>FoodCut</t>
        </is>
      </c>
      <c r="F63" s="6" t="inlineStr">
        <is>
          <t>Success</t>
        </is>
      </c>
      <c r="G63" s="6" t="inlineStr">
        <is>
          <t>Easy</t>
        </is>
      </c>
      <c r="H63" s="4">
        <v>87.968</v>
      </c>
      <c r="I63" s="4">
        <v>87.7695</v>
      </c>
      <c r="J63" s="4">
        <v>-0.1985</v>
      </c>
      <c r="K63" s="4">
        <v>0.1985</v>
      </c>
      <c r="L63" s="4">
        <v>0.8575</v>
      </c>
      <c r="N63" s="4">
        <v>1.0</v>
      </c>
      <c r="P63" s="6">
        <v>82</v>
      </c>
    </row>
    <row r="64" ht="17" customHeight="1">
      <c r="A64" s="0">
        <v>78</v>
      </c>
      <c r="B64" s="0" t="inlineStr">
        <is>
          <t>P014</t>
        </is>
      </c>
      <c r="C64" s="0" t="inlineStr">
        <is>
          <t>2026-10-02 14:38:04.896</t>
        </is>
      </c>
      <c r="D64" s="0" t="inlineStr">
        <is>
          <t>Shipi</t>
        </is>
      </c>
      <c r="E64" s="0" t="inlineStr">
        <is>
          <t>FoodCut</t>
        </is>
      </c>
      <c r="F64" s="0" t="inlineStr">
        <is>
          <t>Failed</t>
        </is>
      </c>
      <c r="G64" s="0" t="inlineStr">
        <is>
          <t>Easy</t>
        </is>
      </c>
      <c r="H64" s="4">
        <v>89.888</v>
      </c>
      <c r="I64" s="4">
        <v>89.4965</v>
      </c>
      <c r="J64" s="4">
        <v>-0.3915</v>
      </c>
      <c r="K64" s="4">
        <v>0.3915</v>
      </c>
      <c r="L64" s="4">
        <v>0.6645</v>
      </c>
      <c r="N64" s="4">
        <v>0.0</v>
      </c>
      <c r="P64" s="0">
        <v>83</v>
      </c>
    </row>
    <row r="65" ht="17" customHeight="1">
      <c r="A65" s="6">
        <v>79</v>
      </c>
      <c r="B65" s="6" t="inlineStr">
        <is>
          <t>P014</t>
        </is>
      </c>
      <c r="C65" s="6" t="inlineStr">
        <is>
          <t>2026-10-02 14:38:07.082</t>
        </is>
      </c>
      <c r="D65" s="6" t="inlineStr">
        <is>
          <t>Shipi</t>
        </is>
      </c>
      <c r="E65" s="6" t="inlineStr">
        <is>
          <t>FoodCut</t>
        </is>
      </c>
      <c r="F65" s="6" t="inlineStr">
        <is>
          <t>Success</t>
        </is>
      </c>
      <c r="G65" s="6" t="inlineStr">
        <is>
          <t>Easy</t>
        </is>
      </c>
      <c r="H65" s="4">
        <v>91.808</v>
      </c>
      <c r="I65" s="4">
        <v>91.682</v>
      </c>
      <c r="J65" s="4">
        <v>-0.126</v>
      </c>
      <c r="K65" s="4">
        <v>0.126</v>
      </c>
      <c r="L65" s="4">
        <v>0.93</v>
      </c>
      <c r="N65" s="4">
        <v>1.0</v>
      </c>
      <c r="P65" s="6">
        <v>84</v>
      </c>
    </row>
    <row r="66" ht="17" customHeight="1">
      <c r="A66" s="0">
        <v>80</v>
      </c>
      <c r="B66" s="0" t="inlineStr">
        <is>
          <t>P014</t>
        </is>
      </c>
      <c r="C66" s="0" t="inlineStr">
        <is>
          <t>2026-10-02 14:38:08.738</t>
        </is>
      </c>
      <c r="D66" s="0" t="inlineStr">
        <is>
          <t>Shipi</t>
        </is>
      </c>
      <c r="E66" s="0" t="inlineStr">
        <is>
          <t>FoodCut</t>
        </is>
      </c>
      <c r="F66" s="0" t="inlineStr">
        <is>
          <t>Success</t>
        </is>
      </c>
      <c r="G66" s="0" t="inlineStr">
        <is>
          <t>Easy</t>
        </is>
      </c>
      <c r="H66" s="4">
        <v>93.728</v>
      </c>
      <c r="I66" s="4">
        <v>93.3393</v>
      </c>
      <c r="J66" s="4">
        <v>-0.3887</v>
      </c>
      <c r="K66" s="4">
        <v>0.3887</v>
      </c>
      <c r="L66" s="4">
        <v>0.6673</v>
      </c>
      <c r="N66" s="4">
        <v>1.0</v>
      </c>
      <c r="P66" s="0">
        <v>85</v>
      </c>
    </row>
    <row r="67" ht="17" customHeight="1">
      <c r="A67" s="6">
        <v>81</v>
      </c>
      <c r="B67" s="6" t="inlineStr">
        <is>
          <t>P014</t>
        </is>
      </c>
      <c r="C67" s="6" t="inlineStr">
        <is>
          <t>2026-10-02 14:38:11.397</t>
        </is>
      </c>
      <c r="D67" s="6" t="inlineStr">
        <is>
          <t>JuanAndres</t>
        </is>
      </c>
      <c r="E67" s="6" t="inlineStr">
        <is>
          <t>GroomStroke</t>
        </is>
      </c>
      <c r="F67" s="6" t="inlineStr">
        <is>
          <t>Failed</t>
        </is>
      </c>
      <c r="G67" s="6" t="inlineStr">
        <is>
          <t>Easy</t>
        </is>
      </c>
      <c r="H67" s="4">
        <v>94.976</v>
      </c>
      <c r="I67" s="4">
        <v>95.6922</v>
      </c>
      <c r="J67" s="4">
        <v>0.7162</v>
      </c>
      <c r="K67" s="4">
        <v>0.7162</v>
      </c>
      <c r="N67" s="4">
        <v>0.0</v>
      </c>
      <c r="O67" s="6" t="b">
        <v>1</v>
      </c>
      <c r="P67" s="6">
        <v>86</v>
      </c>
    </row>
    <row r="68" ht="17" customHeight="1">
      <c r="A68" s="0">
        <v>82</v>
      </c>
      <c r="B68" s="0" t="inlineStr">
        <is>
          <t>P014</t>
        </is>
      </c>
      <c r="C68" s="0" t="inlineStr">
        <is>
          <t>2026-10-02 14:38:13.500</t>
        </is>
      </c>
      <c r="D68" s="0" t="inlineStr">
        <is>
          <t>JuanAndres</t>
        </is>
      </c>
      <c r="E68" s="0" t="inlineStr">
        <is>
          <t>GroomStroke</t>
        </is>
      </c>
      <c r="F68" s="0" t="inlineStr">
        <is>
          <t>Failed</t>
        </is>
      </c>
      <c r="G68" s="0" t="inlineStr">
        <is>
          <t>Easy</t>
        </is>
      </c>
      <c r="H68" s="4">
        <v>96.128</v>
      </c>
      <c r="I68" s="4">
        <v>97.6547</v>
      </c>
      <c r="J68" s="4">
        <v>1.5267</v>
      </c>
      <c r="K68" s="4">
        <v>1.5267</v>
      </c>
      <c r="N68" s="4">
        <v>1.0</v>
      </c>
      <c r="O68" s="0" t="b">
        <v>0</v>
      </c>
      <c r="P68" s="0">
        <v>87</v>
      </c>
    </row>
    <row r="69" ht="17" customHeight="1">
      <c r="A69" s="6">
        <v>83</v>
      </c>
      <c r="B69" s="6" t="inlineStr">
        <is>
          <t>P014</t>
        </is>
      </c>
      <c r="C69" s="6" t="inlineStr">
        <is>
          <t>2026-10-02 14:38:14.362</t>
        </is>
      </c>
      <c r="D69" s="6" t="inlineStr">
        <is>
          <t>JuanAndres</t>
        </is>
      </c>
      <c r="E69" s="6" t="inlineStr">
        <is>
          <t>GroomStroke</t>
        </is>
      </c>
      <c r="F69" s="6" t="inlineStr">
        <is>
          <t>Success</t>
        </is>
      </c>
      <c r="G69" s="6" t="inlineStr">
        <is>
          <t>Easy</t>
        </is>
      </c>
      <c r="H69" s="4">
        <v>97.664</v>
      </c>
      <c r="I69" s="4">
        <v>98.6291</v>
      </c>
      <c r="J69" s="4">
        <v>0.9651</v>
      </c>
      <c r="K69" s="4">
        <v>0.9651</v>
      </c>
      <c r="N69" s="4">
        <v>1.0</v>
      </c>
      <c r="O69" s="6" t="b">
        <v>1</v>
      </c>
      <c r="P69" s="6">
        <v>88</v>
      </c>
    </row>
    <row r="70" ht="17" customHeight="1">
      <c r="A70" s="0">
        <v>84</v>
      </c>
      <c r="B70" s="0" t="inlineStr">
        <is>
          <t>P014</t>
        </is>
      </c>
      <c r="C70" s="0" t="inlineStr">
        <is>
          <t>2026-10-02 14:38:17.621</t>
        </is>
      </c>
      <c r="D70" s="0" t="inlineStr">
        <is>
          <t>JuanAndres</t>
        </is>
      </c>
      <c r="E70" s="0" t="inlineStr">
        <is>
          <t>GroomStroke</t>
        </is>
      </c>
      <c r="F70" s="0" t="inlineStr">
        <is>
          <t>Success</t>
        </is>
      </c>
      <c r="G70" s="0" t="inlineStr">
        <is>
          <t>Easy</t>
        </is>
      </c>
      <c r="H70" s="4">
        <v>101.12</v>
      </c>
      <c r="I70" s="4">
        <v>102.013</v>
      </c>
      <c r="J70" s="4">
        <v>0.893</v>
      </c>
      <c r="K70" s="4">
        <v>0.893</v>
      </c>
      <c r="N70" s="4">
        <v>1.0</v>
      </c>
      <c r="O70" s="0" t="b">
        <v>1</v>
      </c>
      <c r="P70" s="0">
        <v>89</v>
      </c>
    </row>
    <row r="71" ht="17" customHeight="1">
      <c r="A71" s="6">
        <v>85</v>
      </c>
      <c r="B71" s="6" t="inlineStr">
        <is>
          <t>P014</t>
        </is>
      </c>
      <c r="C71" s="6" t="inlineStr">
        <is>
          <t>2026-10-02 14:38:18.137</t>
        </is>
      </c>
      <c r="D71" s="6" t="inlineStr">
        <is>
          <t>JuanAndres</t>
        </is>
      </c>
      <c r="E71" s="6" t="inlineStr">
        <is>
          <t>GroomStroke</t>
        </is>
      </c>
      <c r="F71" s="6" t="inlineStr">
        <is>
          <t>Failed</t>
        </is>
      </c>
      <c r="G71" s="6" t="inlineStr">
        <is>
          <t>Easy</t>
        </is>
      </c>
      <c r="H71" s="4">
        <v>102.656</v>
      </c>
      <c r="I71" s="4">
        <v>102.25</v>
      </c>
      <c r="J71" s="4">
        <v>-0.406</v>
      </c>
      <c r="K71" s="4">
        <v>0.406</v>
      </c>
      <c r="N71" s="4">
        <v>0.0</v>
      </c>
      <c r="O71" s="6" t="b">
        <v>0</v>
      </c>
      <c r="P71" s="6">
        <v>90</v>
      </c>
    </row>
    <row r="72" ht="17" customHeight="1">
      <c r="A72" s="0">
        <v>88</v>
      </c>
      <c r="B72" s="0" t="inlineStr">
        <is>
          <t>P014</t>
        </is>
      </c>
      <c r="C72" s="0" t="inlineStr">
        <is>
          <t>2026-10-02 14:38:24.723</t>
        </is>
      </c>
      <c r="D72" s="0" t="inlineStr">
        <is>
          <t>JuanAndres</t>
        </is>
      </c>
      <c r="E72" s="0" t="inlineStr">
        <is>
          <t>GroomStroke</t>
        </is>
      </c>
      <c r="F72" s="0" t="inlineStr">
        <is>
          <t>Failed</t>
        </is>
      </c>
      <c r="G72" s="0" t="inlineStr">
        <is>
          <t>Easy</t>
        </is>
      </c>
      <c r="H72" s="4">
        <v>104.192</v>
      </c>
      <c r="I72" s="4">
        <v>106.3009</v>
      </c>
      <c r="J72" s="4">
        <v>2.1089</v>
      </c>
      <c r="K72" s="4">
        <v>2.1089</v>
      </c>
      <c r="N72" s="4">
        <v>0.0</v>
      </c>
      <c r="O72" s="0" t="b">
        <v>1</v>
      </c>
      <c r="P72" s="0">
        <v>93</v>
      </c>
    </row>
    <row r="73" ht="17" customHeight="1">
      <c r="A73" s="6">
        <v>90</v>
      </c>
      <c r="B73" s="6" t="inlineStr">
        <is>
          <t>P014</t>
        </is>
      </c>
      <c r="C73" s="6" t="inlineStr">
        <is>
          <t>2026-10-02 14:38:26.365</t>
        </is>
      </c>
      <c r="D73" s="6" t="inlineStr">
        <is>
          <t>JuanAndres</t>
        </is>
      </c>
      <c r="E73" s="6" t="inlineStr">
        <is>
          <t>GroomStroke</t>
        </is>
      </c>
      <c r="F73" s="6" t="inlineStr">
        <is>
          <t>Missed</t>
        </is>
      </c>
      <c r="G73" s="6" t="inlineStr">
        <is>
          <t>Easy</t>
        </is>
      </c>
      <c r="H73" s="4">
        <v>104.96</v>
      </c>
      <c r="P73" s="6">
        <v>95</v>
      </c>
    </row>
    <row r="74" ht="17" customHeight="1">
      <c r="A74" s="0">
        <v>91</v>
      </c>
      <c r="B74" s="0" t="inlineStr">
        <is>
          <t>P014</t>
        </is>
      </c>
      <c r="C74" s="0" t="inlineStr">
        <is>
          <t>2026-10-02 14:38:28.120</t>
        </is>
      </c>
      <c r="D74" s="0" t="inlineStr">
        <is>
          <t>JuanAndres</t>
        </is>
      </c>
      <c r="E74" s="0" t="inlineStr">
        <is>
          <t>GroomStroke</t>
        </is>
      </c>
      <c r="F74" s="0" t="inlineStr">
        <is>
          <t>Failed</t>
        </is>
      </c>
      <c r="G74" s="0" t="inlineStr">
        <is>
          <t>Easy</t>
        </is>
      </c>
      <c r="H74" s="4">
        <v>111.104</v>
      </c>
      <c r="I74" s="4">
        <v>112.6361</v>
      </c>
      <c r="J74" s="4">
        <v>1.5321</v>
      </c>
      <c r="K74" s="4">
        <v>1.5321</v>
      </c>
      <c r="N74" s="4">
        <v>0.0</v>
      </c>
      <c r="O74" s="0" t="b">
        <v>1</v>
      </c>
      <c r="P74" s="0">
        <v>96</v>
      </c>
    </row>
    <row r="75" ht="17" customHeight="1">
      <c r="A75" s="6">
        <v>92</v>
      </c>
      <c r="B75" s="6" t="inlineStr">
        <is>
          <t>P014</t>
        </is>
      </c>
      <c r="C75" s="6" t="inlineStr">
        <is>
          <t>2026-10-02 14:38:29.790</t>
        </is>
      </c>
      <c r="D75" s="6" t="inlineStr">
        <is>
          <t>JuanAndres</t>
        </is>
      </c>
      <c r="E75" s="6" t="inlineStr">
        <is>
          <t>GroomStroke</t>
        </is>
      </c>
      <c r="F75" s="6" t="inlineStr">
        <is>
          <t>Failed</t>
        </is>
      </c>
      <c r="G75" s="6" t="inlineStr">
        <is>
          <t>Easy</t>
        </is>
      </c>
      <c r="H75" s="4">
        <v>113.792</v>
      </c>
      <c r="I75" s="4">
        <v>114.1954</v>
      </c>
      <c r="J75" s="4">
        <v>0.4034</v>
      </c>
      <c r="K75" s="4">
        <v>0.4034</v>
      </c>
      <c r="N75" s="4">
        <v>0.0</v>
      </c>
      <c r="O75" s="6" t="b">
        <v>1</v>
      </c>
      <c r="P75" s="6">
        <v>97</v>
      </c>
    </row>
    <row r="76" ht="17" customHeight="1">
      <c r="A76" s="0">
        <v>93</v>
      </c>
      <c r="B76" s="0" t="inlineStr">
        <is>
          <t>P014</t>
        </is>
      </c>
      <c r="C76" s="0" t="inlineStr">
        <is>
          <t>2026-10-02 14:38:29.901</t>
        </is>
      </c>
      <c r="D76" s="0" t="inlineStr">
        <is>
          <t>JuanAndres</t>
        </is>
      </c>
      <c r="E76" s="0" t="inlineStr">
        <is>
          <t>GroomStroke</t>
        </is>
      </c>
      <c r="F76" s="0" t="inlineStr">
        <is>
          <t>Failed</t>
        </is>
      </c>
      <c r="G76" s="0" t="inlineStr">
        <is>
          <t>Easy</t>
        </is>
      </c>
      <c r="H76" s="4">
        <v>113.024</v>
      </c>
      <c r="I76" s="4">
        <v>114.2929</v>
      </c>
      <c r="J76" s="4">
        <v>1.2689</v>
      </c>
      <c r="K76" s="4">
        <v>1.2689</v>
      </c>
      <c r="N76" s="4">
        <v>0.0</v>
      </c>
      <c r="O76" s="0" t="b">
        <v>1</v>
      </c>
      <c r="P76" s="0">
        <v>98</v>
      </c>
    </row>
    <row r="77" ht="17" customHeight="1">
      <c r="A77" s="6">
        <v>95</v>
      </c>
      <c r="B77" s="6" t="inlineStr">
        <is>
          <t>P014</t>
        </is>
      </c>
      <c r="C77" s="6" t="inlineStr">
        <is>
          <t>2026-10-02 14:38:32.142</t>
        </is>
      </c>
      <c r="D77" s="6" t="inlineStr">
        <is>
          <t>JuanAndres</t>
        </is>
      </c>
      <c r="E77" s="6" t="inlineStr">
        <is>
          <t>GroomStroke</t>
        </is>
      </c>
      <c r="F77" s="6" t="inlineStr">
        <is>
          <t>Failed</t>
        </is>
      </c>
      <c r="G77" s="6" t="inlineStr">
        <is>
          <t>Easy</t>
        </is>
      </c>
      <c r="H77" s="4">
        <v>116.096</v>
      </c>
      <c r="I77" s="4">
        <v>116.576</v>
      </c>
      <c r="J77" s="4">
        <v>0.48</v>
      </c>
      <c r="K77" s="4">
        <v>0.48</v>
      </c>
      <c r="N77" s="4">
        <v>0.0</v>
      </c>
      <c r="O77" s="6" t="b">
        <v>1</v>
      </c>
      <c r="P77" s="6">
        <v>100</v>
      </c>
    </row>
    <row r="78" ht="17" customHeight="1">
      <c r="A78" s="0">
        <v>96</v>
      </c>
      <c r="B78" s="0" t="inlineStr">
        <is>
          <t>P014</t>
        </is>
      </c>
      <c r="C78" s="0" t="inlineStr">
        <is>
          <t>2026-10-02 14:38:32.922</t>
        </is>
      </c>
      <c r="D78" s="0" t="inlineStr">
        <is>
          <t>JuanAndres</t>
        </is>
      </c>
      <c r="E78" s="0" t="inlineStr">
        <is>
          <t>GroomStroke</t>
        </is>
      </c>
      <c r="F78" s="0" t="inlineStr">
        <is>
          <t>Success</t>
        </is>
      </c>
      <c r="G78" s="0" t="inlineStr">
        <is>
          <t>Easy</t>
        </is>
      </c>
      <c r="H78" s="4">
        <v>117.248</v>
      </c>
      <c r="I78" s="4">
        <v>117.2718</v>
      </c>
      <c r="J78" s="4">
        <v>0.0238</v>
      </c>
      <c r="K78" s="4">
        <v>0.0238</v>
      </c>
      <c r="N78" s="4">
        <v>1.0</v>
      </c>
      <c r="O78" s="0" t="b">
        <v>1</v>
      </c>
      <c r="P78" s="0">
        <v>101</v>
      </c>
    </row>
    <row r="79" ht="17" customHeight="1">
      <c r="A79" s="6">
        <v>97</v>
      </c>
      <c r="B79" s="6" t="inlineStr">
        <is>
          <t>P014</t>
        </is>
      </c>
      <c r="C79" s="6" t="inlineStr">
        <is>
          <t>2026-10-02 14:38:36.082</t>
        </is>
      </c>
      <c r="D79" s="6" t="inlineStr">
        <is>
          <t>JuanAndres</t>
        </is>
      </c>
      <c r="E79" s="6" t="inlineStr">
        <is>
          <t>GroomStroke</t>
        </is>
      </c>
      <c r="F79" s="6" t="inlineStr">
        <is>
          <t>Success</t>
        </is>
      </c>
      <c r="G79" s="6" t="inlineStr">
        <is>
          <t>Easy</t>
        </is>
      </c>
      <c r="H79" s="4">
        <v>119.936</v>
      </c>
      <c r="I79" s="4">
        <v>120.4181</v>
      </c>
      <c r="J79" s="4">
        <v>0.4821</v>
      </c>
      <c r="K79" s="4">
        <v>0.4821</v>
      </c>
      <c r="N79" s="4">
        <v>1.0</v>
      </c>
      <c r="O79" s="6" t="b">
        <v>1</v>
      </c>
      <c r="P79" s="6">
        <v>102</v>
      </c>
    </row>
    <row r="80" ht="17" customHeight="1">
      <c r="A80" s="0">
        <v>98</v>
      </c>
      <c r="B80" s="0" t="inlineStr">
        <is>
          <t>P014</t>
        </is>
      </c>
      <c r="C80" s="0" t="inlineStr">
        <is>
          <t>2026-10-02 14:38:37.321</t>
        </is>
      </c>
      <c r="D80" s="0" t="inlineStr">
        <is>
          <t>JuanAndres</t>
        </is>
      </c>
      <c r="E80" s="0" t="inlineStr">
        <is>
          <t>GroomStroke</t>
        </is>
      </c>
      <c r="F80" s="0" t="inlineStr">
        <is>
          <t>Success</t>
        </is>
      </c>
      <c r="G80" s="0" t="inlineStr">
        <is>
          <t>Easy</t>
        </is>
      </c>
      <c r="H80" s="4">
        <v>118.4</v>
      </c>
      <c r="I80" s="4">
        <v>121.6159</v>
      </c>
      <c r="J80" s="4">
        <v>3.2159</v>
      </c>
      <c r="K80" s="4">
        <v>3.2159</v>
      </c>
      <c r="N80" s="4">
        <v>1.0</v>
      </c>
      <c r="O80" s="0" t="b">
        <v>1</v>
      </c>
      <c r="P80" s="0">
        <v>103</v>
      </c>
    </row>
    <row r="81" ht="17" customHeight="1">
      <c r="A81" s="6">
        <v>99</v>
      </c>
      <c r="B81" s="6" t="inlineStr">
        <is>
          <t>P014</t>
        </is>
      </c>
      <c r="C81" s="6" t="inlineStr">
        <is>
          <t>2026-10-02 14:38:39.493</t>
        </is>
      </c>
      <c r="D81" s="6" t="inlineStr">
        <is>
          <t>JuanAndres</t>
        </is>
      </c>
      <c r="E81" s="6" t="inlineStr">
        <is>
          <t>GroomStroke</t>
        </is>
      </c>
      <c r="F81" s="6" t="inlineStr">
        <is>
          <t>Success</t>
        </is>
      </c>
      <c r="G81" s="6" t="inlineStr">
        <is>
          <t>Easy</t>
        </is>
      </c>
      <c r="H81" s="4">
        <v>123.392</v>
      </c>
      <c r="I81" s="4">
        <v>123.9552</v>
      </c>
      <c r="J81" s="4">
        <v>0.5632</v>
      </c>
      <c r="K81" s="4">
        <v>0.5632</v>
      </c>
      <c r="N81" s="4">
        <v>1.0</v>
      </c>
      <c r="O81" s="6" t="b">
        <v>1</v>
      </c>
      <c r="P81" s="6">
        <v>104</v>
      </c>
    </row>
    <row r="82" ht="17" customHeight="1">
      <c r="A82" s="0">
        <v>100</v>
      </c>
      <c r="B82" s="0" t="inlineStr">
        <is>
          <t>P014</t>
        </is>
      </c>
      <c r="C82" s="0" t="inlineStr">
        <is>
          <t>2026-10-02 14:38:42.190</t>
        </is>
      </c>
      <c r="D82" s="0" t="inlineStr">
        <is>
          <t>Danniel</t>
        </is>
      </c>
      <c r="E82" s="0" t="inlineStr">
        <is>
          <t>GunShoot</t>
        </is>
      </c>
      <c r="F82" s="0" t="inlineStr">
        <is>
          <t>Success</t>
        </is>
      </c>
      <c r="G82" s="0" t="inlineStr">
        <is>
          <t>Easy</t>
        </is>
      </c>
      <c r="H82" s="4">
        <v>126.464</v>
      </c>
      <c r="I82" s="4">
        <v>126.5125</v>
      </c>
      <c r="J82" s="4">
        <v>0.0485</v>
      </c>
      <c r="K82" s="4">
        <v>0.0485</v>
      </c>
      <c r="P82" s="0">
        <v>105</v>
      </c>
    </row>
    <row r="83" ht="17" customHeight="1">
      <c r="A83" s="6">
        <v>102</v>
      </c>
      <c r="B83" s="6" t="inlineStr">
        <is>
          <t>P014</t>
        </is>
      </c>
      <c r="C83" s="6" t="inlineStr">
        <is>
          <t>2026-10-02 14:38:44.837</t>
        </is>
      </c>
      <c r="D83" s="6" t="inlineStr">
        <is>
          <t>Danniel</t>
        </is>
      </c>
      <c r="E83" s="6" t="inlineStr">
        <is>
          <t>GunShoot</t>
        </is>
      </c>
      <c r="F83" s="6" t="inlineStr">
        <is>
          <t>Success</t>
        </is>
      </c>
      <c r="G83" s="6" t="inlineStr">
        <is>
          <t>Easy</t>
        </is>
      </c>
      <c r="H83" s="4">
        <v>129.152</v>
      </c>
      <c r="I83" s="4">
        <v>129.0472</v>
      </c>
      <c r="J83" s="4">
        <v>-0.1048</v>
      </c>
      <c r="K83" s="4">
        <v>0.1048</v>
      </c>
      <c r="P83" s="6">
        <v>107</v>
      </c>
    </row>
    <row r="84" ht="17" customHeight="1">
      <c r="A84" s="0">
        <v>103</v>
      </c>
      <c r="B84" s="0" t="inlineStr">
        <is>
          <t>P014</t>
        </is>
      </c>
      <c r="C84" s="0" t="inlineStr">
        <is>
          <t>2026-10-02 14:38:46.173</t>
        </is>
      </c>
      <c r="D84" s="0" t="inlineStr">
        <is>
          <t>Danniel</t>
        </is>
      </c>
      <c r="E84" s="0" t="inlineStr">
        <is>
          <t>PlayerHit</t>
        </is>
      </c>
      <c r="F84" s="0" t="inlineStr">
        <is>
          <t>Failed</t>
        </is>
      </c>
      <c r="G84" s="0" t="inlineStr">
        <is>
          <t>Easy</t>
        </is>
      </c>
      <c r="H84" s="4">
        <v>130.7733</v>
      </c>
      <c r="P84" s="0">
        <v>108</v>
      </c>
    </row>
    <row r="85" ht="17" customHeight="1">
      <c r="A85" s="6">
        <v>104</v>
      </c>
      <c r="B85" s="6" t="inlineStr">
        <is>
          <t>P014</t>
        </is>
      </c>
      <c r="C85" s="6" t="inlineStr">
        <is>
          <t>2026-10-02 14:38:46.800</t>
        </is>
      </c>
      <c r="D85" s="6" t="inlineStr">
        <is>
          <t>Danniel</t>
        </is>
      </c>
      <c r="E85" s="6" t="inlineStr">
        <is>
          <t>GunShoot</t>
        </is>
      </c>
      <c r="F85" s="6" t="inlineStr">
        <is>
          <t>Success</t>
        </is>
      </c>
      <c r="G85" s="6" t="inlineStr">
        <is>
          <t>Easy</t>
        </is>
      </c>
      <c r="H85" s="4">
        <v>130.688</v>
      </c>
      <c r="I85" s="4">
        <v>130.7455</v>
      </c>
      <c r="J85" s="4">
        <v>0.0575</v>
      </c>
      <c r="K85" s="4">
        <v>0.0575</v>
      </c>
      <c r="P85" s="6">
        <v>109</v>
      </c>
    </row>
    <row r="86" ht="17" customHeight="1">
      <c r="A86" s="0">
        <v>105</v>
      </c>
      <c r="B86" s="0" t="inlineStr">
        <is>
          <t>P014</t>
        </is>
      </c>
      <c r="C86" s="0" t="inlineStr">
        <is>
          <t>2026-10-02 14:38:50.154</t>
        </is>
      </c>
      <c r="D86" s="0" t="inlineStr">
        <is>
          <t>Danniel</t>
        </is>
      </c>
      <c r="E86" s="0" t="inlineStr">
        <is>
          <t>GunShoot</t>
        </is>
      </c>
      <c r="F86" s="0" t="inlineStr">
        <is>
          <t>Success</t>
        </is>
      </c>
      <c r="G86" s="0" t="inlineStr">
        <is>
          <t>Easy</t>
        </is>
      </c>
      <c r="H86" s="4">
        <v>133.76</v>
      </c>
      <c r="I86" s="4">
        <v>133.6557</v>
      </c>
      <c r="J86" s="4">
        <v>-0.1043</v>
      </c>
      <c r="K86" s="4">
        <v>0.1043</v>
      </c>
      <c r="P86" s="0">
        <v>110</v>
      </c>
    </row>
    <row r="87" ht="17" customHeight="1">
      <c r="A87" s="6">
        <v>106</v>
      </c>
      <c r="B87" s="6" t="inlineStr">
        <is>
          <t>P014</t>
        </is>
      </c>
      <c r="C87" s="6" t="inlineStr">
        <is>
          <t>2026-10-02 14:38:51.102</t>
        </is>
      </c>
      <c r="D87" s="6" t="inlineStr">
        <is>
          <t>Danniel</t>
        </is>
      </c>
      <c r="E87" s="6" t="inlineStr">
        <is>
          <t>GunShoot</t>
        </is>
      </c>
      <c r="F87" s="6" t="inlineStr">
        <is>
          <t>Failed</t>
        </is>
      </c>
      <c r="G87" s="6" t="inlineStr">
        <is>
          <t>Easy</t>
        </is>
      </c>
      <c r="H87" s="4">
        <v>135.7021</v>
      </c>
      <c r="P87" s="6">
        <v>111</v>
      </c>
    </row>
    <row r="88" ht="17" customHeight="1">
      <c r="A88" s="0">
        <v>107</v>
      </c>
      <c r="B88" s="0" t="inlineStr">
        <is>
          <t>P014</t>
        </is>
      </c>
      <c r="C88" s="0" t="inlineStr">
        <is>
          <t>2026-10-02 14:38:54.262</t>
        </is>
      </c>
      <c r="D88" s="0" t="inlineStr">
        <is>
          <t>Danniel</t>
        </is>
      </c>
      <c r="E88" s="0" t="inlineStr">
        <is>
          <t>GunShoot</t>
        </is>
      </c>
      <c r="F88" s="0" t="inlineStr">
        <is>
          <t>Success</t>
        </is>
      </c>
      <c r="G88" s="0" t="inlineStr">
        <is>
          <t>Easy</t>
        </is>
      </c>
      <c r="H88" s="4">
        <v>137.984</v>
      </c>
      <c r="I88" s="4">
        <v>138.0689</v>
      </c>
      <c r="J88" s="4">
        <v>0.0849</v>
      </c>
      <c r="K88" s="4">
        <v>0.0849</v>
      </c>
      <c r="P88" s="0">
        <v>112</v>
      </c>
    </row>
    <row r="89" ht="17" customHeight="1">
      <c r="A89" s="6">
        <v>108</v>
      </c>
      <c r="B89" s="6" t="inlineStr">
        <is>
          <t>P014</t>
        </is>
      </c>
      <c r="C89" s="6" t="inlineStr">
        <is>
          <t>2026-10-02 14:38:55.223</t>
        </is>
      </c>
      <c r="D89" s="6" t="inlineStr">
        <is>
          <t>Danniel</t>
        </is>
      </c>
      <c r="E89" s="6" t="inlineStr">
        <is>
          <t>GunShoot</t>
        </is>
      </c>
      <c r="F89" s="6" t="inlineStr">
        <is>
          <t>Failed</t>
        </is>
      </c>
      <c r="G89" s="6" t="inlineStr">
        <is>
          <t>Easy</t>
        </is>
      </c>
      <c r="H89" s="4">
        <v>139.8221</v>
      </c>
      <c r="P89" s="6">
        <v>113</v>
      </c>
    </row>
    <row r="90" ht="17" customHeight="1">
      <c r="A90" s="0">
        <v>109</v>
      </c>
      <c r="B90" s="0" t="inlineStr">
        <is>
          <t>P014</t>
        </is>
      </c>
      <c r="C90" s="0" t="inlineStr">
        <is>
          <t>2026-10-02 14:38:56.922</t>
        </is>
      </c>
      <c r="D90" s="0" t="inlineStr">
        <is>
          <t>Danniel</t>
        </is>
      </c>
      <c r="E90" s="0" t="inlineStr">
        <is>
          <t>GunShoot</t>
        </is>
      </c>
      <c r="F90" s="0" t="inlineStr">
        <is>
          <t>Success</t>
        </is>
      </c>
      <c r="G90" s="0" t="inlineStr">
        <is>
          <t>Easy</t>
        </is>
      </c>
      <c r="H90" s="4">
        <v>140.672</v>
      </c>
      <c r="I90" s="4">
        <v>140.6722</v>
      </c>
      <c r="J90" s="4">
        <v>0.0002</v>
      </c>
      <c r="K90" s="4">
        <v>0.0002</v>
      </c>
      <c r="P90" s="0">
        <v>114</v>
      </c>
    </row>
    <row r="91" ht="17" customHeight="1">
      <c r="A91" s="6">
        <v>110</v>
      </c>
      <c r="B91" s="6" t="inlineStr">
        <is>
          <t>P014</t>
        </is>
      </c>
      <c r="C91" s="6" t="inlineStr">
        <is>
          <t>2026-10-02 14:38:59.539</t>
        </is>
      </c>
      <c r="D91" s="6" t="inlineStr">
        <is>
          <t>Danniel</t>
        </is>
      </c>
      <c r="E91" s="6" t="inlineStr">
        <is>
          <t>GunShoot</t>
        </is>
      </c>
      <c r="F91" s="6" t="inlineStr">
        <is>
          <t>Success</t>
        </is>
      </c>
      <c r="G91" s="6" t="inlineStr">
        <is>
          <t>Easy</t>
        </is>
      </c>
      <c r="H91" s="4">
        <v>143.744</v>
      </c>
      <c r="I91" s="4">
        <v>143.5688</v>
      </c>
      <c r="J91" s="4">
        <v>-0.1752</v>
      </c>
      <c r="K91" s="4">
        <v>0.1752</v>
      </c>
      <c r="P91" s="6">
        <v>115</v>
      </c>
    </row>
    <row r="92" ht="17" customHeight="1">
      <c r="A92" s="0">
        <v>111</v>
      </c>
      <c r="B92" s="0" t="inlineStr">
        <is>
          <t>P014</t>
        </is>
      </c>
      <c r="C92" s="0" t="inlineStr">
        <is>
          <t>2026-10-02 14:39:00.457</t>
        </is>
      </c>
      <c r="D92" s="0" t="inlineStr">
        <is>
          <t>Danniel</t>
        </is>
      </c>
      <c r="E92" s="0" t="inlineStr">
        <is>
          <t>PlayerHit</t>
        </is>
      </c>
      <c r="F92" s="0" t="inlineStr">
        <is>
          <t>Failed</t>
        </is>
      </c>
      <c r="G92" s="0" t="inlineStr">
        <is>
          <t>Easy</t>
        </is>
      </c>
      <c r="H92" s="4">
        <v>145.0582</v>
      </c>
      <c r="P92" s="0">
        <v>116</v>
      </c>
    </row>
    <row r="93" ht="17" customHeight="1">
      <c r="A93" s="6">
        <v>113</v>
      </c>
      <c r="B93" s="6" t="inlineStr">
        <is>
          <t>P014</t>
        </is>
      </c>
      <c r="C93" s="6" t="inlineStr">
        <is>
          <t>2026-10-02 14:39:05.650</t>
        </is>
      </c>
      <c r="D93" s="6" t="inlineStr">
        <is>
          <t>Danniel</t>
        </is>
      </c>
      <c r="E93" s="6" t="inlineStr">
        <is>
          <t>GunShoot</t>
        </is>
      </c>
      <c r="F93" s="6" t="inlineStr">
        <is>
          <t>Success</t>
        </is>
      </c>
      <c r="G93" s="6" t="inlineStr">
        <is>
          <t>Easy</t>
        </is>
      </c>
      <c r="H93" s="4">
        <v>149.504</v>
      </c>
      <c r="I93" s="4">
        <v>149.5967</v>
      </c>
      <c r="J93" s="4">
        <v>0.0927</v>
      </c>
      <c r="K93" s="4">
        <v>0.0927</v>
      </c>
      <c r="P93" s="6">
        <v>118</v>
      </c>
    </row>
    <row r="94" ht="17" customHeight="1">
      <c r="A94" s="0">
        <v>115</v>
      </c>
      <c r="B94" s="0" t="inlineStr">
        <is>
          <t>P014</t>
        </is>
      </c>
      <c r="C94" s="0" t="inlineStr">
        <is>
          <t>2026-10-02 14:39:08.324</t>
        </is>
      </c>
      <c r="D94" s="0" t="inlineStr">
        <is>
          <t>Danniel</t>
        </is>
      </c>
      <c r="E94" s="0" t="inlineStr">
        <is>
          <t>GunShoot</t>
        </is>
      </c>
      <c r="F94" s="0" t="inlineStr">
        <is>
          <t>Missed</t>
        </is>
      </c>
      <c r="G94" s="0" t="inlineStr">
        <is>
          <t>Easy</t>
        </is>
      </c>
      <c r="H94" s="4">
        <v>152.9241</v>
      </c>
      <c r="P94" s="0">
        <v>120</v>
      </c>
    </row>
    <row r="95" ht="17" customHeight="1">
      <c r="A95" s="6">
        <v>116</v>
      </c>
      <c r="B95" s="6" t="inlineStr">
        <is>
          <t>P014</t>
        </is>
      </c>
      <c r="C95" s="6" t="inlineStr">
        <is>
          <t>2026-10-02 14:39:09.117</t>
        </is>
      </c>
      <c r="D95" s="6" t="inlineStr">
        <is>
          <t>Danniel</t>
        </is>
      </c>
      <c r="E95" s="6" t="inlineStr">
        <is>
          <t>GunShoot</t>
        </is>
      </c>
      <c r="F95" s="6" t="inlineStr">
        <is>
          <t>Success</t>
        </is>
      </c>
      <c r="G95" s="6" t="inlineStr">
        <is>
          <t>Easy</t>
        </is>
      </c>
      <c r="H95" s="4">
        <v>153.344</v>
      </c>
      <c r="I95" s="4">
        <v>153.3546</v>
      </c>
      <c r="J95" s="4">
        <v>0.0106</v>
      </c>
      <c r="K95" s="4">
        <v>0.0106</v>
      </c>
      <c r="P95" s="6">
        <v>121</v>
      </c>
    </row>
    <row r="96" ht="17" customHeight="1">
      <c r="A96" s="0">
        <v>117</v>
      </c>
      <c r="B96" s="0" t="inlineStr">
        <is>
          <t>P014</t>
        </is>
      </c>
      <c r="C96" s="0" t="inlineStr">
        <is>
          <t>2026-10-02 14:39:10.941</t>
        </is>
      </c>
      <c r="D96" s="0" t="inlineStr">
        <is>
          <t>Danniel</t>
        </is>
      </c>
      <c r="E96" s="0" t="inlineStr">
        <is>
          <t>GunShoot</t>
        </is>
      </c>
      <c r="F96" s="0" t="inlineStr">
        <is>
          <t>Success</t>
        </is>
      </c>
      <c r="G96" s="0" t="inlineStr">
        <is>
          <t>Easy</t>
        </is>
      </c>
      <c r="H96" s="4">
        <v>155.264</v>
      </c>
      <c r="I96" s="4">
        <v>155.0814</v>
      </c>
      <c r="J96" s="4">
        <v>-0.1826</v>
      </c>
      <c r="K96" s="4">
        <v>0.1826</v>
      </c>
      <c r="P96" s="0">
        <v>122</v>
      </c>
    </row>
    <row r="97" ht="17" customHeight="1">
      <c r="A97" s="6">
        <v>119</v>
      </c>
      <c r="B97" s="6" t="inlineStr">
        <is>
          <t>P014</t>
        </is>
      </c>
      <c r="C97" s="6" t="inlineStr">
        <is>
          <t>2026-10-02 14:39:23.181</t>
        </is>
      </c>
      <c r="D97" s="6" t="inlineStr">
        <is>
          <t>Jeremy</t>
        </is>
      </c>
      <c r="E97" s="6" t="inlineStr">
        <is>
          <t>SwordCut</t>
        </is>
      </c>
      <c r="F97" s="6" t="inlineStr">
        <is>
          <t>Success</t>
        </is>
      </c>
      <c r="G97" s="6" t="inlineStr">
        <is>
          <t>Easy</t>
        </is>
      </c>
      <c r="H97" s="4">
        <v>167.7061</v>
      </c>
      <c r="I97" s="4">
        <v>167.782</v>
      </c>
      <c r="J97" s="4">
        <v>0.0759</v>
      </c>
      <c r="K97" s="4">
        <v>0.0759</v>
      </c>
      <c r="N97" s="4">
        <v>1.0</v>
      </c>
      <c r="O97" s="6" t="b">
        <v>1</v>
      </c>
      <c r="P97" s="6">
        <v>124</v>
      </c>
    </row>
    <row r="98" ht="17" customHeight="1">
      <c r="A98" s="0">
        <v>121</v>
      </c>
      <c r="B98" s="0" t="inlineStr">
        <is>
          <t>P014</t>
        </is>
      </c>
      <c r="C98" s="0" t="inlineStr">
        <is>
          <t>2026-10-02 14:39:26.050</t>
        </is>
      </c>
      <c r="D98" s="0" t="inlineStr">
        <is>
          <t>Jeremy</t>
        </is>
      </c>
      <c r="E98" s="0" t="inlineStr">
        <is>
          <t>SwordCut</t>
        </is>
      </c>
      <c r="F98" s="0" t="inlineStr">
        <is>
          <t>Missed</t>
        </is>
      </c>
      <c r="G98" s="0" t="inlineStr">
        <is>
          <t>Easy</t>
        </is>
      </c>
      <c r="H98" s="4">
        <v>170.0049</v>
      </c>
      <c r="P98" s="0">
        <v>126</v>
      </c>
    </row>
    <row r="99" ht="17" customHeight="1">
      <c r="A99" s="6">
        <v>122</v>
      </c>
      <c r="B99" s="6" t="inlineStr">
        <is>
          <t>P014</t>
        </is>
      </c>
      <c r="C99" s="6" t="inlineStr">
        <is>
          <t>2026-10-02 14:39:27.999</t>
        </is>
      </c>
      <c r="D99" s="6" t="inlineStr">
        <is>
          <t>Jeremy</t>
        </is>
      </c>
      <c r="E99" s="6" t="inlineStr">
        <is>
          <t>SwordCut</t>
        </is>
      </c>
      <c r="F99" s="6" t="inlineStr">
        <is>
          <t>Failed</t>
        </is>
      </c>
      <c r="G99" s="6" t="inlineStr">
        <is>
          <t>Easy</t>
        </is>
      </c>
      <c r="H99" s="4">
        <v>172.3037</v>
      </c>
      <c r="I99" s="4">
        <v>172.5993</v>
      </c>
      <c r="J99" s="4">
        <v>0.2956</v>
      </c>
      <c r="K99" s="4">
        <v>0.2956</v>
      </c>
      <c r="N99" s="4">
        <v>0.0</v>
      </c>
      <c r="O99" s="6" t="b">
        <v>1</v>
      </c>
      <c r="P99" s="6">
        <v>127</v>
      </c>
    </row>
    <row r="100" ht="17" customHeight="1">
      <c r="A100" s="0">
        <v>123</v>
      </c>
      <c r="B100" s="0" t="inlineStr">
        <is>
          <t>P014</t>
        </is>
      </c>
      <c r="C100" s="0" t="inlineStr">
        <is>
          <t>2026-10-02 14:39:30.283</t>
        </is>
      </c>
      <c r="D100" s="0" t="inlineStr">
        <is>
          <t>Jeremy</t>
        </is>
      </c>
      <c r="E100" s="0" t="inlineStr">
        <is>
          <t>SwordCut</t>
        </is>
      </c>
      <c r="F100" s="0" t="inlineStr">
        <is>
          <t>Success</t>
        </is>
      </c>
      <c r="G100" s="0" t="inlineStr">
        <is>
          <t>Easy</t>
        </is>
      </c>
      <c r="H100" s="4">
        <v>174.6024</v>
      </c>
      <c r="I100" s="4">
        <v>174.8828</v>
      </c>
      <c r="J100" s="4">
        <v>0.2804</v>
      </c>
      <c r="K100" s="4">
        <v>0.2804</v>
      </c>
      <c r="N100" s="4">
        <v>1.0</v>
      </c>
      <c r="O100" s="0" t="b">
        <v>1</v>
      </c>
      <c r="P100" s="0">
        <v>128</v>
      </c>
    </row>
    <row r="101" ht="17" customHeight="1">
      <c r="A101" s="6">
        <v>124</v>
      </c>
      <c r="B101" s="6" t="inlineStr">
        <is>
          <t>P014</t>
        </is>
      </c>
      <c r="C101" s="6" t="inlineStr">
        <is>
          <t>2026-10-02 14:39:32.635</t>
        </is>
      </c>
      <c r="D101" s="6" t="inlineStr">
        <is>
          <t>Jeremy</t>
        </is>
      </c>
      <c r="E101" s="6" t="inlineStr">
        <is>
          <t>SwordCut</t>
        </is>
      </c>
      <c r="F101" s="6" t="inlineStr">
        <is>
          <t>Success</t>
        </is>
      </c>
      <c r="G101" s="6" t="inlineStr">
        <is>
          <t>Easy</t>
        </is>
      </c>
      <c r="H101" s="4">
        <v>176.9012</v>
      </c>
      <c r="I101" s="4">
        <v>177.236</v>
      </c>
      <c r="J101" s="4">
        <v>0.3348</v>
      </c>
      <c r="K101" s="4">
        <v>0.3348</v>
      </c>
      <c r="N101" s="4">
        <v>1.0</v>
      </c>
      <c r="O101" s="6" t="b">
        <v>1</v>
      </c>
      <c r="P101" s="6">
        <v>129</v>
      </c>
    </row>
    <row r="102" ht="17" customHeight="1">
      <c r="A102" s="0">
        <v>125</v>
      </c>
      <c r="B102" s="0" t="inlineStr">
        <is>
          <t>P014</t>
        </is>
      </c>
      <c r="C102" s="0" t="inlineStr">
        <is>
          <t>2026-10-02 14:39:34.890</t>
        </is>
      </c>
      <c r="D102" s="0" t="inlineStr">
        <is>
          <t>Jeremy</t>
        </is>
      </c>
      <c r="E102" s="0" t="inlineStr">
        <is>
          <t>SwordCut</t>
        </is>
      </c>
      <c r="F102" s="0" t="inlineStr">
        <is>
          <t>Success</t>
        </is>
      </c>
      <c r="G102" s="0" t="inlineStr">
        <is>
          <t>Easy</t>
        </is>
      </c>
      <c r="H102" s="4">
        <v>179.2</v>
      </c>
      <c r="I102" s="4">
        <v>179.4914</v>
      </c>
      <c r="J102" s="4">
        <v>0.2914</v>
      </c>
      <c r="K102" s="4">
        <v>0.2914</v>
      </c>
      <c r="N102" s="4">
        <v>1.0</v>
      </c>
      <c r="O102" s="0" t="b">
        <v>1</v>
      </c>
      <c r="P102" s="0">
        <v>130</v>
      </c>
    </row>
    <row r="103" ht="17" customHeight="1">
      <c r="A103" s="6">
        <v>126</v>
      </c>
      <c r="B103" s="6" t="inlineStr">
        <is>
          <t>P014</t>
        </is>
      </c>
      <c r="C103" s="6" t="inlineStr">
        <is>
          <t>2026-10-02 14:39:37.160</t>
        </is>
      </c>
      <c r="D103" s="6" t="inlineStr">
        <is>
          <t>Jeremy</t>
        </is>
      </c>
      <c r="E103" s="6" t="inlineStr">
        <is>
          <t>SwordCut</t>
        </is>
      </c>
      <c r="F103" s="6" t="inlineStr">
        <is>
          <t>Success</t>
        </is>
      </c>
      <c r="G103" s="6" t="inlineStr">
        <is>
          <t>Easy</t>
        </is>
      </c>
      <c r="H103" s="4">
        <v>181.4988</v>
      </c>
      <c r="I103" s="4">
        <v>181.7604</v>
      </c>
      <c r="J103" s="4">
        <v>0.2616</v>
      </c>
      <c r="K103" s="4">
        <v>0.2616</v>
      </c>
      <c r="N103" s="4">
        <v>1.0</v>
      </c>
      <c r="O103" s="6" t="b">
        <v>1</v>
      </c>
      <c r="P103" s="6">
        <v>131</v>
      </c>
    </row>
  </sheetData>
  <autoFilter ref="A1:P103"/>
  <pageMargins left="0.4" right="0.4" top="0.7" bottom="0.7" header="0.3" footer="0.3"/>
</worksheet>
</file>

<file path=xl/worksheets/sheet5.xml><?xml version="1.0" encoding="utf-8"?>
<worksheet xmlns="http://schemas.openxmlformats.org/spreadsheetml/2006/main">
  <dimension ref="A1:I4"/>
  <sheetViews>
    <sheetView workbookViewId="0">
      <pane ySplit="1" topLeftCell="A2" activePane="bottomLeft" state="frozen"/>
    </sheetView>
  </sheetViews>
  <sheetFormatPr defaultRowHeight="17"/>
  <cols>
    <col min="1" max="1" width="12" customWidth="1"/>
    <col min="2" max="2" width="27" customWidth="1"/>
    <col min="3" max="3" width="20" customWidth="1"/>
    <col min="4" max="4" width="21" customWidth="1"/>
    <col min="5" max="5" width="19" customWidth="1"/>
    <col min="6" max="6" width="31" customWidth="1"/>
    <col min="7" max="7" width="21" customWidth="1"/>
    <col min="8" max="8" width="18" customWidth="1"/>
    <col min="9" max="9" width="16" customWidth="1"/>
  </cols>
  <sheetData>
    <row r="1" ht="22" customHeight="1">
      <c r="A1" s="1" t="inlineStr">
        <is>
          <t>IdEvento</t>
        </is>
      </c>
      <c r="B1" s="1" t="inlineStr">
        <is>
          <t>FechaHora</t>
        </is>
      </c>
      <c r="C1" s="1" t="inlineStr">
        <is>
          <t>Minijuego</t>
        </is>
      </c>
      <c r="D1" s="1" t="inlineStr">
        <is>
          <t>DificultadAnterior</t>
        </is>
      </c>
      <c r="E1" s="1" t="inlineStr">
        <is>
          <t>DificultadNueva</t>
        </is>
      </c>
      <c r="F1" s="1" t="inlineStr">
        <is>
          <t>Motivo</t>
        </is>
      </c>
      <c r="G1" s="1" t="inlineStr">
        <is>
          <t>TasaExitoReciente</t>
        </is>
      </c>
      <c r="H1" s="1" t="inlineStr">
        <is>
          <t>TasaExito</t>
        </is>
      </c>
      <c r="I1" s="1" t="inlineStr">
        <is>
          <t>LineaOrigen</t>
        </is>
      </c>
    </row>
    <row r="2" ht="17" customHeight="1">
      <c r="A2" s="0">
        <v>14</v>
      </c>
      <c r="B2" s="0" t="inlineStr">
        <is>
          <t>2026-10-02 14:36:31.546</t>
        </is>
      </c>
      <c r="C2" s="0" t="inlineStr">
        <is>
          <t>Alex</t>
        </is>
      </c>
      <c r="D2" s="0" t="inlineStr">
        <is>
          <t>Normal</t>
        </is>
      </c>
      <c r="E2" s="0" t="inlineStr">
        <is>
          <t>Easy</t>
        </is>
      </c>
      <c r="F2" s="0" t="inlineStr">
        <is>
          <t>PlayerState: Overloaded</t>
        </is>
      </c>
      <c r="G2" s="3">
        <v>0.5</v>
      </c>
      <c r="I2" s="0">
        <v>19</v>
      </c>
    </row>
    <row r="3" ht="17" customHeight="1">
      <c r="A3" s="6">
        <v>53</v>
      </c>
      <c r="B3" s="6" t="inlineStr">
        <is>
          <t>2026-10-02 14:37:28.236</t>
        </is>
      </c>
      <c r="C3" s="6" t="inlineStr">
        <is>
          <t>Joaquin</t>
        </is>
      </c>
      <c r="D3" s="6" t="inlineStr">
        <is>
          <t>Easy</t>
        </is>
      </c>
      <c r="E3" s="6" t="inlineStr">
        <is>
          <t>Normal</t>
        </is>
      </c>
      <c r="F3" s="6" t="inlineStr">
        <is>
          <t>High recent performance</t>
        </is>
      </c>
      <c r="H3" s="3">
        <v>1.0</v>
      </c>
      <c r="I3" s="6">
        <v>58</v>
      </c>
    </row>
    <row r="4" ht="17" customHeight="1">
      <c r="A4" s="0">
        <v>66</v>
      </c>
      <c r="B4" s="0" t="inlineStr">
        <is>
          <t>2026-10-02 14:37:47.578</t>
        </is>
      </c>
      <c r="C4" s="0" t="inlineStr">
        <is>
          <t>Shipi</t>
        </is>
      </c>
      <c r="D4" s="0" t="inlineStr">
        <is>
          <t>Normal</t>
        </is>
      </c>
      <c r="E4" s="0" t="inlineStr">
        <is>
          <t>Easy</t>
        </is>
      </c>
      <c r="F4" s="0" t="inlineStr">
        <is>
          <t>PlayerState: Overloaded</t>
        </is>
      </c>
      <c r="G4" s="3">
        <v>0.5</v>
      </c>
      <c r="I4" s="0">
        <v>71</v>
      </c>
    </row>
  </sheetData>
  <autoFilter ref="A1:I4"/>
  <pageMargins left="0.4" right="0.4" top="0.7" bottom="0.7" header="0.3" footer="0.3"/>
</worksheet>
</file>

<file path=xl/worksheets/sheet6.xml><?xml version="1.0" encoding="utf-8"?>
<worksheet xmlns="http://schemas.openxmlformats.org/spreadsheetml/2006/main">
  <dimension ref="A1:D23"/>
  <sheetViews>
    <sheetView workbookViewId="0">
      <pane ySplit="1" topLeftCell="A2" activePane="bottomLeft" state="frozen"/>
    </sheetView>
  </sheetViews>
  <sheetFormatPr defaultRowHeight="17"/>
  <cols>
    <col min="1" max="1" width="13" customWidth="1"/>
    <col min="2" max="2" width="27" customWidth="1"/>
    <col min="3" max="3" width="23" customWidth="1"/>
    <col min="4" max="4" width="17" customWidth="1"/>
  </cols>
  <sheetData>
    <row r="1" ht="22" customHeight="1">
      <c r="A1" s="1" t="inlineStr">
        <is>
          <t>IdEvento</t>
        </is>
      </c>
      <c r="B1" s="1" t="inlineStr">
        <is>
          <t>FechaHora</t>
        </is>
      </c>
      <c r="C1" s="1" t="inlineStr">
        <is>
          <t>EstadoJugador</t>
        </is>
      </c>
      <c r="D1" s="1" t="inlineStr">
        <is>
          <t>LineaOrigen</t>
        </is>
      </c>
    </row>
    <row r="2" ht="17" customHeight="1">
      <c r="A2" s="0">
        <v>1</v>
      </c>
      <c r="B2" s="0" t="inlineStr">
        <is>
          <t>2026-10-02 14:36:26.031</t>
        </is>
      </c>
      <c r="C2" s="0" t="inlineStr">
        <is>
          <t>Idle</t>
        </is>
      </c>
      <c r="D2" s="0">
        <v>6</v>
      </c>
    </row>
    <row r="3" ht="17" customHeight="1">
      <c r="A3" s="6">
        <v>3</v>
      </c>
      <c r="B3" s="6" t="inlineStr">
        <is>
          <t>2026-10-02 14:36:26.950</t>
        </is>
      </c>
      <c r="C3" s="6" t="inlineStr">
        <is>
          <t>Engaged</t>
        </is>
      </c>
      <c r="D3" s="6">
        <v>8</v>
      </c>
    </row>
    <row r="4" ht="17" customHeight="1">
      <c r="A4" s="0">
        <v>13</v>
      </c>
      <c r="B4" s="0" t="inlineStr">
        <is>
          <t>2026-10-02 14:36:31.544</t>
        </is>
      </c>
      <c r="C4" s="0" t="inlineStr">
        <is>
          <t>Overloaded</t>
        </is>
      </c>
      <c r="D4" s="0">
        <v>18</v>
      </c>
    </row>
    <row r="5" ht="17" customHeight="1">
      <c r="A5" s="6">
        <v>15</v>
      </c>
      <c r="B5" s="6" t="inlineStr">
        <is>
          <t>2026-10-02 14:36:31.546</t>
        </is>
      </c>
      <c r="C5" s="6" t="inlineStr">
        <is>
          <t>Engaged</t>
        </is>
      </c>
      <c r="D5" s="6">
        <v>20</v>
      </c>
    </row>
    <row r="6" ht="17" customHeight="1">
      <c r="A6" s="0">
        <v>33</v>
      </c>
      <c r="B6" s="0" t="inlineStr">
        <is>
          <t>2026-10-02 14:36:46.860</t>
        </is>
      </c>
      <c r="C6" s="0" t="inlineStr">
        <is>
          <t>Overloaded</t>
        </is>
      </c>
      <c r="D6" s="0">
        <v>38</v>
      </c>
    </row>
    <row r="7" ht="17" customHeight="1">
      <c r="A7" s="6">
        <v>45</v>
      </c>
      <c r="B7" s="6" t="inlineStr">
        <is>
          <t>2026-10-02 14:37:00.072</t>
        </is>
      </c>
      <c r="C7" s="6" t="inlineStr">
        <is>
          <t>Engaged</t>
        </is>
      </c>
      <c r="D7" s="6">
        <v>50</v>
      </c>
    </row>
    <row r="8" ht="17" customHeight="1">
      <c r="A8" s="0">
        <v>58</v>
      </c>
      <c r="B8" s="0" t="inlineStr">
        <is>
          <t>2026-10-02 14:37:40.921</t>
        </is>
      </c>
      <c r="C8" s="0" t="inlineStr">
        <is>
          <t>Idle</t>
        </is>
      </c>
      <c r="D8" s="0">
        <v>63</v>
      </c>
    </row>
    <row r="9" ht="17" customHeight="1">
      <c r="A9" s="6">
        <v>60</v>
      </c>
      <c r="B9" s="6" t="inlineStr">
        <is>
          <t>2026-10-02 14:37:42.092</t>
        </is>
      </c>
      <c r="C9" s="6" t="inlineStr">
        <is>
          <t>Engaged</t>
        </is>
      </c>
      <c r="D9" s="6">
        <v>65</v>
      </c>
    </row>
    <row r="10" ht="17" customHeight="1">
      <c r="A10" s="0">
        <v>65</v>
      </c>
      <c r="B10" s="0" t="inlineStr">
        <is>
          <t>2026-10-02 14:37:47.578</t>
        </is>
      </c>
      <c r="C10" s="0" t="inlineStr">
        <is>
          <t>Overloaded</t>
        </is>
      </c>
      <c r="D10" s="0">
        <v>70</v>
      </c>
    </row>
    <row r="11" ht="17" customHeight="1">
      <c r="A11" s="6">
        <v>67</v>
      </c>
      <c r="B11" s="6" t="inlineStr">
        <is>
          <t>2026-10-02 14:37:47.580</t>
        </is>
      </c>
      <c r="C11" s="6" t="inlineStr">
        <is>
          <t>Engaged</t>
        </is>
      </c>
      <c r="D11" s="6">
        <v>72</v>
      </c>
    </row>
    <row r="12" ht="17" customHeight="1">
      <c r="A12" s="0">
        <v>70</v>
      </c>
      <c r="B12" s="0" t="inlineStr">
        <is>
          <t>2026-10-02 14:37:52.574</t>
        </is>
      </c>
      <c r="C12" s="0" t="inlineStr">
        <is>
          <t>Idle</t>
        </is>
      </c>
      <c r="D12" s="0">
        <v>75</v>
      </c>
    </row>
    <row r="13" ht="17" customHeight="1">
      <c r="A13" s="6">
        <v>72</v>
      </c>
      <c r="B13" s="6" t="inlineStr">
        <is>
          <t>2026-10-02 14:37:53.230</t>
        </is>
      </c>
      <c r="C13" s="6" t="inlineStr">
        <is>
          <t>Engaged</t>
        </is>
      </c>
      <c r="D13" s="6">
        <v>77</v>
      </c>
    </row>
    <row r="14" ht="17" customHeight="1">
      <c r="A14" s="0">
        <v>86</v>
      </c>
      <c r="B14" s="0" t="inlineStr">
        <is>
          <t>2026-10-02 14:38:18.138</t>
        </is>
      </c>
      <c r="C14" s="0" t="inlineStr">
        <is>
          <t>Overloaded</t>
        </is>
      </c>
      <c r="D14" s="0">
        <v>91</v>
      </c>
    </row>
    <row r="15" ht="17" customHeight="1">
      <c r="A15" s="6">
        <v>87</v>
      </c>
      <c r="B15" s="6" t="inlineStr">
        <is>
          <t>2026-10-02 14:38:23.136</t>
        </is>
      </c>
      <c r="C15" s="6" t="inlineStr">
        <is>
          <t>Idle</t>
        </is>
      </c>
      <c r="D15" s="6">
        <v>92</v>
      </c>
    </row>
    <row r="16" ht="17" customHeight="1">
      <c r="A16" s="0">
        <v>89</v>
      </c>
      <c r="B16" s="0" t="inlineStr">
        <is>
          <t>2026-10-02 14:38:24.723</t>
        </is>
      </c>
      <c r="C16" s="0" t="inlineStr">
        <is>
          <t>Engaged</t>
        </is>
      </c>
      <c r="D16" s="0">
        <v>94</v>
      </c>
    </row>
    <row r="17" ht="17" customHeight="1">
      <c r="A17" s="6">
        <v>94</v>
      </c>
      <c r="B17" s="6" t="inlineStr">
        <is>
          <t>2026-10-02 14:38:29.903</t>
        </is>
      </c>
      <c r="C17" s="6" t="inlineStr">
        <is>
          <t>Overloaded</t>
        </is>
      </c>
      <c r="D17" s="6">
        <v>99</v>
      </c>
    </row>
    <row r="18" ht="17" customHeight="1">
      <c r="A18" s="0">
        <v>101</v>
      </c>
      <c r="B18" s="0" t="inlineStr">
        <is>
          <t>2026-10-02 14:38:42.192</t>
        </is>
      </c>
      <c r="C18" s="0" t="inlineStr">
        <is>
          <t>Engaged</t>
        </is>
      </c>
      <c r="D18" s="0">
        <v>106</v>
      </c>
    </row>
    <row r="19" ht="17" customHeight="1">
      <c r="A19" s="6">
        <v>112</v>
      </c>
      <c r="B19" s="6" t="inlineStr">
        <is>
          <t>2026-10-02 14:39:04.538</t>
        </is>
      </c>
      <c r="C19" s="6" t="inlineStr">
        <is>
          <t>Idle</t>
        </is>
      </c>
      <c r="D19" s="6">
        <v>117</v>
      </c>
    </row>
    <row r="20" ht="17" customHeight="1">
      <c r="A20" s="0">
        <v>114</v>
      </c>
      <c r="B20" s="0" t="inlineStr">
        <is>
          <t>2026-10-02 14:39:05.651</t>
        </is>
      </c>
      <c r="C20" s="0" t="inlineStr">
        <is>
          <t>Engaged</t>
        </is>
      </c>
      <c r="D20" s="0">
        <v>119</v>
      </c>
    </row>
    <row r="21" ht="17" customHeight="1">
      <c r="A21" s="6">
        <v>118</v>
      </c>
      <c r="B21" s="6" t="inlineStr">
        <is>
          <t>2026-10-02 14:39:15.942</t>
        </is>
      </c>
      <c r="C21" s="6" t="inlineStr">
        <is>
          <t>Idle</t>
        </is>
      </c>
      <c r="D21" s="6">
        <v>123</v>
      </c>
    </row>
    <row r="22" ht="17" customHeight="1">
      <c r="A22" s="0">
        <v>120</v>
      </c>
      <c r="B22" s="0" t="inlineStr">
        <is>
          <t>2026-10-02 14:39:23.183</t>
        </is>
      </c>
      <c r="C22" s="0" t="inlineStr">
        <is>
          <t>Engaged</t>
        </is>
      </c>
      <c r="D22" s="0">
        <v>125</v>
      </c>
    </row>
    <row r="23" ht="17" customHeight="1">
      <c r="A23" s="6">
        <v>127</v>
      </c>
      <c r="B23" s="6" t="inlineStr">
        <is>
          <t>2026-10-02 14:39:42.159</t>
        </is>
      </c>
      <c r="C23" s="6" t="inlineStr">
        <is>
          <t>Idle</t>
        </is>
      </c>
      <c r="D23" s="6">
        <v>132</v>
      </c>
    </row>
  </sheetData>
  <autoFilter ref="A1:D23"/>
  <pageMargins left="0.4" right="0.4" top="0.7" bottom="0.7" header="0.3" footer="0.3"/>
</worksheet>
</file>

<file path=xl/worksheets/sheet7.xml><?xml version="1.0" encoding="utf-8"?>
<worksheet xmlns="http://schemas.openxmlformats.org/spreadsheetml/2006/main">
  <dimension ref="A1:N128"/>
  <sheetViews>
    <sheetView workbookViewId="0">
      <pane ySplit="1" topLeftCell="A2" activePane="bottomLeft" state="frozen"/>
    </sheetView>
  </sheetViews>
  <sheetFormatPr defaultRowHeight="17"/>
  <cols>
    <col min="1" max="1" width="13" customWidth="1"/>
    <col min="2" max="2" width="26" customWidth="1"/>
    <col min="3" max="3" width="20" customWidth="1"/>
    <col min="4" max="4" width="20" customWidth="1"/>
    <col min="5" max="5" width="21" customWidth="1"/>
    <col min="6" max="6" width="16" customWidth="1"/>
    <col min="7" max="7" width="17" customWidth="1"/>
    <col min="8" max="8" width="18" customWidth="1"/>
    <col min="9" max="9" width="23" customWidth="1"/>
    <col min="10" max="10" width="30" customWidth="1"/>
    <col min="11" max="11" width="20" customWidth="1"/>
    <col min="12" max="12" width="20" customWidth="1"/>
    <col min="13" max="13" width="17" customWidth="1"/>
    <col min="14" max="14" width="90" customWidth="1"/>
  </cols>
  <sheetData>
    <row r="1" ht="22" customHeight="1">
      <c r="A1" s="1" t="inlineStr">
        <is>
          <t>IdEvento</t>
        </is>
      </c>
      <c r="B1" s="1" t="inlineStr">
        <is>
          <t>FechaHora</t>
        </is>
      </c>
      <c r="C1" s="1" t="inlineStr">
        <is>
          <t>Categoria</t>
        </is>
      </c>
      <c r="D1" s="1" t="inlineStr">
        <is>
          <t>Minijuego</t>
        </is>
      </c>
      <c r="E1" s="1" t="inlineStr">
        <is>
          <t>TipoAccion</t>
        </is>
      </c>
      <c r="F1" s="1" t="inlineStr">
        <is>
          <t>Resultado</t>
        </is>
      </c>
      <c r="G1" s="1" t="inlineStr">
        <is>
          <t>Dificultad</t>
        </is>
      </c>
      <c r="H1" s="1" t="inlineStr">
        <is>
          <t>EstadoJugador</t>
        </is>
      </c>
      <c r="I1" s="1" t="inlineStr">
        <is>
          <t>CambioDificultad</t>
        </is>
      </c>
      <c r="J1" s="1" t="inlineStr">
        <is>
          <t>Motivo</t>
        </is>
      </c>
      <c r="K1" s="1" t="inlineStr">
        <is>
          <t>ErrorTiming_s</t>
        </is>
      </c>
      <c r="L1" s="1" t="inlineStr">
        <is>
          <t>TiempoReaccion_s</t>
        </is>
      </c>
      <c r="M1" s="1" t="inlineStr">
        <is>
          <t>LineaOrigen</t>
        </is>
      </c>
      <c r="N1" s="1" t="inlineStr">
        <is>
          <t>TextoOriginal</t>
        </is>
      </c>
    </row>
    <row r="2" ht="17" customHeight="1">
      <c r="A2" s="0">
        <v>1</v>
      </c>
      <c r="B2" s="0" t="inlineStr">
        <is>
          <t>2026-10-02 14:36:26.031</t>
        </is>
      </c>
      <c r="C2" s="0" t="inlineStr">
        <is>
          <t>PlayerState</t>
        </is>
      </c>
      <c r="H2" s="0" t="inlineStr">
        <is>
          <t>Idle</t>
        </is>
      </c>
      <c r="M2" s="0">
        <v>6</v>
      </c>
      <c r="N2" s="0" t="inlineStr">
        <is>
          <t>2026-10-02 14:36:26.031 | PlayerState: Idle</t>
        </is>
      </c>
    </row>
    <row r="3" ht="17" customHeight="1">
      <c r="A3" s="6">
        <v>2</v>
      </c>
      <c r="B3" s="6" t="inlineStr">
        <is>
          <t>2026-10-02 14:36:26.950</t>
        </is>
      </c>
      <c r="C3" s="6" t="inlineStr">
        <is>
          <t>Interaction</t>
        </is>
      </c>
      <c r="D3" s="6" t="inlineStr">
        <is>
          <t>Alex</t>
        </is>
      </c>
      <c r="E3" s="6" t="inlineStr">
        <is>
          <t>HammerTouch</t>
        </is>
      </c>
      <c r="F3" s="6" t="inlineStr">
        <is>
          <t>Success</t>
        </is>
      </c>
      <c r="G3" s="6" t="inlineStr">
        <is>
          <t>Normal</t>
        </is>
      </c>
      <c r="M3" s="6">
        <v>7</v>
      </c>
      <c r="N3" s="6" t="inlineStr">
        <is>
          <t>2026-10-02 14:36:26.950 | Minigame: Alex | Type: HammerTouch | Outcome: Success | Difficulty: Normal | ExpectedTime: 0.8960 | ActualTime: N/A | TimingOffset: N/A | TimingError: N/A | ReactionTime: N/A | SpatialAccuracy: N/A | DirectionAccuracy: N/A | CorrectHand: N/A</t>
        </is>
      </c>
    </row>
    <row r="4" ht="17" customHeight="1">
      <c r="A4" s="0">
        <v>3</v>
      </c>
      <c r="B4" s="0" t="inlineStr">
        <is>
          <t>2026-10-02 14:36:26.950</t>
        </is>
      </c>
      <c r="C4" s="0" t="inlineStr">
        <is>
          <t>PlayerState</t>
        </is>
      </c>
      <c r="H4" s="0" t="inlineStr">
        <is>
          <t>Engaged</t>
        </is>
      </c>
      <c r="M4" s="0">
        <v>8</v>
      </c>
      <c r="N4" s="0" t="inlineStr">
        <is>
          <t>2026-10-02 14:36:26.950 | PlayerState: Engaged</t>
        </is>
      </c>
    </row>
    <row r="5" ht="17" customHeight="1">
      <c r="A5" s="6">
        <v>4</v>
      </c>
      <c r="B5" s="6" t="inlineStr">
        <is>
          <t>2026-10-02 14:36:27.700</t>
        </is>
      </c>
      <c r="C5" s="6" t="inlineStr">
        <is>
          <t>Interaction</t>
        </is>
      </c>
      <c r="D5" s="6" t="inlineStr">
        <is>
          <t>Alex</t>
        </is>
      </c>
      <c r="E5" s="6" t="inlineStr">
        <is>
          <t>HammerHit</t>
        </is>
      </c>
      <c r="F5" s="6" t="inlineStr">
        <is>
          <t>Success</t>
        </is>
      </c>
      <c r="G5" s="6" t="inlineStr">
        <is>
          <t>Normal</t>
        </is>
      </c>
      <c r="K5" s="4">
        <v>0.0202</v>
      </c>
      <c r="M5" s="6">
        <v>9</v>
      </c>
      <c r="N5" s="6" t="inlineStr">
        <is>
          <t>2026-10-02 14:36:27.700 | Minigame: Alex | Type: HammerHit | Outcome: Success | Difficulty: Normal | ExpectedTime: 1.6640 | ActualTime: 1.6842 | TimingOffset: 0.0202 | TimingError: 0.0202 | ReactionTime: N/A | SpatialAccuracy: N/A | DirectionAccuracy: N/A | CorrectHand: N/A</t>
        </is>
      </c>
    </row>
    <row r="6" ht="17" customHeight="1">
      <c r="A6" s="0">
        <v>5</v>
      </c>
      <c r="B6" s="0" t="inlineStr">
        <is>
          <t>2026-10-02 14:36:27.705</t>
        </is>
      </c>
      <c r="C6" s="0" t="inlineStr">
        <is>
          <t>Interaction</t>
        </is>
      </c>
      <c r="D6" s="0" t="inlineStr">
        <is>
          <t>Alex</t>
        </is>
      </c>
      <c r="E6" s="0" t="inlineStr">
        <is>
          <t>HammerHit</t>
        </is>
      </c>
      <c r="F6" s="0" t="inlineStr">
        <is>
          <t>Failed</t>
        </is>
      </c>
      <c r="G6" s="0" t="inlineStr">
        <is>
          <t>Normal</t>
        </is>
      </c>
      <c r="K6" s="4">
        <v>0.0202</v>
      </c>
      <c r="M6" s="0">
        <v>10</v>
      </c>
      <c r="N6" s="0" t="inlineStr">
        <is>
          <t>2026-10-02 14:36:27.705 | Minigame: Alex | Type: HammerHit | Outcome: Failed | Difficulty: Normal | ExpectedTime: 1.6640 | ActualTime: 1.6842 | TimingOffset: 0.0202 | TimingError: 0.0202 | ReactionTime: N/A | SpatialAccuracy: N/A | DirectionAccuracy: N/A | CorrectHand: N/A</t>
        </is>
      </c>
    </row>
    <row r="7" ht="17" customHeight="1">
      <c r="A7" s="6">
        <v>6</v>
      </c>
      <c r="B7" s="6" t="inlineStr">
        <is>
          <t>2026-10-02 14:36:28.787</t>
        </is>
      </c>
      <c r="C7" s="6" t="inlineStr">
        <is>
          <t>Interaction</t>
        </is>
      </c>
      <c r="D7" s="6" t="inlineStr">
        <is>
          <t>Alex</t>
        </is>
      </c>
      <c r="E7" s="6" t="inlineStr">
        <is>
          <t>HammerTouch</t>
        </is>
      </c>
      <c r="F7" s="6" t="inlineStr">
        <is>
          <t>Missed</t>
        </is>
      </c>
      <c r="G7" s="6" t="inlineStr">
        <is>
          <t>Normal</t>
        </is>
      </c>
      <c r="M7" s="6">
        <v>11</v>
      </c>
      <c r="N7" s="6" t="inlineStr">
        <is>
          <t>2026-10-02 14:36:28.787 | Minigame: Alex | Type: HammerTouch | Outcome: Missed | Difficulty: Normal | ExpectedTime: 2.4320 | ActualTime: N/A | TimingOffset: N/A | TimingError: N/A | ReactionTime: N/A | SpatialAccuracy: N/A | DirectionAccuracy: N/A | CorrectHand: N/A</t>
        </is>
      </c>
    </row>
    <row r="8" ht="17" customHeight="1">
      <c r="A8" s="0">
        <v>7</v>
      </c>
      <c r="B8" s="0" t="inlineStr">
        <is>
          <t>2026-10-02 14:36:29.246</t>
        </is>
      </c>
      <c r="C8" s="0" t="inlineStr">
        <is>
          <t>Interaction</t>
        </is>
      </c>
      <c r="D8" s="0" t="inlineStr">
        <is>
          <t>Alex</t>
        </is>
      </c>
      <c r="E8" s="0" t="inlineStr">
        <is>
          <t>HammerTouch</t>
        </is>
      </c>
      <c r="F8" s="0" t="inlineStr">
        <is>
          <t>Success</t>
        </is>
      </c>
      <c r="G8" s="0" t="inlineStr">
        <is>
          <t>Normal</t>
        </is>
      </c>
      <c r="M8" s="0">
        <v>12</v>
      </c>
      <c r="N8" s="0" t="inlineStr">
        <is>
          <t>2026-10-02 14:36:29.246 | Minigame: Alex | Type: HammerTouch | Outcome: Success | Difficulty: Normal | ExpectedTime: 3.2000 | ActualTime: N/A | TimingOffset: N/A | TimingError: N/A | ReactionTime: N/A | SpatialAccuracy: N/A | DirectionAccuracy: N/A | CorrectHand: N/A</t>
        </is>
      </c>
    </row>
    <row r="9" ht="17" customHeight="1">
      <c r="A9" s="6">
        <v>8</v>
      </c>
      <c r="B9" s="6" t="inlineStr">
        <is>
          <t>2026-10-02 14:36:29.552</t>
        </is>
      </c>
      <c r="C9" s="6" t="inlineStr">
        <is>
          <t>Interaction</t>
        </is>
      </c>
      <c r="D9" s="6" t="inlineStr">
        <is>
          <t>Alex</t>
        </is>
      </c>
      <c r="E9" s="6" t="inlineStr">
        <is>
          <t>HammerTouch</t>
        </is>
      </c>
      <c r="F9" s="6" t="inlineStr">
        <is>
          <t>Missed</t>
        </is>
      </c>
      <c r="G9" s="6" t="inlineStr">
        <is>
          <t>Normal</t>
        </is>
      </c>
      <c r="M9" s="6">
        <v>13</v>
      </c>
      <c r="N9" s="6" t="inlineStr">
        <is>
          <t>2026-10-02 14:36:29.552 | Minigame: Alex | Type: HammerTouch | Outcome: Missed | Difficulty: Normal | ExpectedTime: 3.2000 | ActualTime: N/A | TimingOffset: N/A | TimingError: N/A | ReactionTime: N/A | SpatialAccuracy: N/A | DirectionAccuracy: N/A | CorrectHand: N/A</t>
        </is>
      </c>
    </row>
    <row r="10" ht="17" customHeight="1">
      <c r="A10" s="0">
        <v>9</v>
      </c>
      <c r="B10" s="0" t="inlineStr">
        <is>
          <t>2026-10-02 14:36:30.027</t>
        </is>
      </c>
      <c r="C10" s="0" t="inlineStr">
        <is>
          <t>Interaction</t>
        </is>
      </c>
      <c r="D10" s="0" t="inlineStr">
        <is>
          <t>Alex</t>
        </is>
      </c>
      <c r="E10" s="0" t="inlineStr">
        <is>
          <t>HammerTouch</t>
        </is>
      </c>
      <c r="F10" s="0" t="inlineStr">
        <is>
          <t>Success</t>
        </is>
      </c>
      <c r="G10" s="0" t="inlineStr">
        <is>
          <t>Normal</t>
        </is>
      </c>
      <c r="M10" s="0">
        <v>14</v>
      </c>
      <c r="N10" s="0" t="inlineStr">
        <is>
          <t>2026-10-02 14:36:30.027 | Minigame: Alex | Type: HammerTouch | Outcome: Success | Difficulty: Normal | ExpectedTime: 3.9680 | ActualTime: N/A | TimingOffset: N/A | TimingError: N/A | ReactionTime: N/A | SpatialAccuracy: N/A | DirectionAccuracy: N/A | CorrectHand: N/A</t>
        </is>
      </c>
    </row>
    <row r="11" ht="17" customHeight="1">
      <c r="A11" s="6">
        <v>10</v>
      </c>
      <c r="B11" s="6" t="inlineStr">
        <is>
          <t>2026-10-02 14:36:30.751</t>
        </is>
      </c>
      <c r="C11" s="6" t="inlineStr">
        <is>
          <t>Interaction</t>
        </is>
      </c>
      <c r="D11" s="6" t="inlineStr">
        <is>
          <t>Alex</t>
        </is>
      </c>
      <c r="E11" s="6" t="inlineStr">
        <is>
          <t>HammerHit</t>
        </is>
      </c>
      <c r="F11" s="6" t="inlineStr">
        <is>
          <t>Failed</t>
        </is>
      </c>
      <c r="G11" s="6" t="inlineStr">
        <is>
          <t>Normal</t>
        </is>
      </c>
      <c r="K11" s="4">
        <v>0.016</v>
      </c>
      <c r="M11" s="6">
        <v>15</v>
      </c>
      <c r="N11" s="6" t="inlineStr">
        <is>
          <t>2026-10-02 14:36:30.751 | Minigame: Alex | Type: HammerHit | Outcome: Failed | Difficulty: Normal | ExpectedTime: 4.7360 | ActualTime: 4.7200 | TimingOffset: -0.0160 | TimingError: 0.0160 | ReactionTime: N/A | SpatialAccuracy: N/A | DirectionAccuracy: N/A | CorrectHand: N/A</t>
        </is>
      </c>
    </row>
    <row r="12" ht="17" customHeight="1">
      <c r="A12" s="0">
        <v>11</v>
      </c>
      <c r="B12" s="0" t="inlineStr">
        <is>
          <t>2026-10-02 14:36:30.751</t>
        </is>
      </c>
      <c r="C12" s="0" t="inlineStr">
        <is>
          <t>Interaction</t>
        </is>
      </c>
      <c r="D12" s="0" t="inlineStr">
        <is>
          <t>Alex</t>
        </is>
      </c>
      <c r="E12" s="0" t="inlineStr">
        <is>
          <t>HammerHit</t>
        </is>
      </c>
      <c r="F12" s="0" t="inlineStr">
        <is>
          <t>Success</t>
        </is>
      </c>
      <c r="G12" s="0" t="inlineStr">
        <is>
          <t>Normal</t>
        </is>
      </c>
      <c r="K12" s="4">
        <v>0.0021</v>
      </c>
      <c r="M12" s="0">
        <v>16</v>
      </c>
      <c r="N12" s="0" t="inlineStr">
        <is>
          <t>2026-10-02 14:36:30.751 | Minigame: Alex | Type: HammerHit | Outcome: Success | Difficulty: Normal | ExpectedTime: 4.7360 | ActualTime: 4.7339 | TimingOffset: -0.0021 | TimingError: 0.0021 | ReactionTime: N/A | SpatialAccuracy: N/A | DirectionAccuracy: N/A | CorrectHand: N/A</t>
        </is>
      </c>
    </row>
    <row r="13" ht="17" customHeight="1">
      <c r="A13" s="6">
        <v>12</v>
      </c>
      <c r="B13" s="6" t="inlineStr">
        <is>
          <t>2026-10-02 14:36:31.544</t>
        </is>
      </c>
      <c r="C13" s="6" t="inlineStr">
        <is>
          <t>Interaction</t>
        </is>
      </c>
      <c r="D13" s="6" t="inlineStr">
        <is>
          <t>Alex</t>
        </is>
      </c>
      <c r="E13" s="6" t="inlineStr">
        <is>
          <t>HammerHit</t>
        </is>
      </c>
      <c r="F13" s="6" t="inlineStr">
        <is>
          <t>Failed</t>
        </is>
      </c>
      <c r="G13" s="6" t="inlineStr">
        <is>
          <t>Normal</t>
        </is>
      </c>
      <c r="K13" s="4">
        <v>0.0093</v>
      </c>
      <c r="M13" s="6">
        <v>17</v>
      </c>
      <c r="N13" s="6" t="inlineStr">
        <is>
          <t>2026-10-02 14:36:31.544 | Minigame: Alex | Type: HammerHit | Outcome: Failed | Difficulty: Normal | ExpectedTime: 5.5040 | ActualTime: 5.5133 | TimingOffset: 0.0093 | TimingError: 0.0093 | ReactionTime: N/A | SpatialAccuracy: N/A | DirectionAccuracy: N/A | CorrectHand: N/A</t>
        </is>
      </c>
    </row>
    <row r="14" ht="17" customHeight="1">
      <c r="A14" s="0">
        <v>13</v>
      </c>
      <c r="B14" s="0" t="inlineStr">
        <is>
          <t>2026-10-02 14:36:31.544</t>
        </is>
      </c>
      <c r="C14" s="0" t="inlineStr">
        <is>
          <t>PlayerState</t>
        </is>
      </c>
      <c r="H14" s="0" t="inlineStr">
        <is>
          <t>Overloaded</t>
        </is>
      </c>
      <c r="M14" s="0">
        <v>18</v>
      </c>
      <c r="N14" s="0" t="inlineStr">
        <is>
          <t>2026-10-02 14:36:31.544 | PlayerState: Overloaded</t>
        </is>
      </c>
    </row>
    <row r="15" ht="17" customHeight="1">
      <c r="A15" s="6">
        <v>14</v>
      </c>
      <c r="B15" s="6" t="inlineStr">
        <is>
          <t>2026-10-02 14:36:31.546</t>
        </is>
      </c>
      <c r="C15" s="6" t="inlineStr">
        <is>
          <t>DifficultyChanged</t>
        </is>
      </c>
      <c r="D15" s="6" t="inlineStr">
        <is>
          <t>Alex</t>
        </is>
      </c>
      <c r="I15" s="6" t="inlineStr">
        <is>
          <t>Normal -&gt; Easy</t>
        </is>
      </c>
      <c r="J15" s="6" t="inlineStr">
        <is>
          <t>PlayerState: Overloaded</t>
        </is>
      </c>
      <c r="M15" s="6">
        <v>19</v>
      </c>
      <c r="N15" s="6" t="inlineStr">
        <is>
          <t>2026-10-02 14:36:31.546 | DifficultyChanged: Normal -&gt; Easy | Reason: PlayerState: Overloaded | Minigame: Alex | RecentSuccessRate: 0.50</t>
        </is>
      </c>
    </row>
    <row r="16" ht="17" customHeight="1">
      <c r="A16" s="0">
        <v>15</v>
      </c>
      <c r="B16" s="0" t="inlineStr">
        <is>
          <t>2026-10-02 14:36:31.546</t>
        </is>
      </c>
      <c r="C16" s="0" t="inlineStr">
        <is>
          <t>PlayerState</t>
        </is>
      </c>
      <c r="H16" s="0" t="inlineStr">
        <is>
          <t>Engaged</t>
        </is>
      </c>
      <c r="M16" s="0">
        <v>20</v>
      </c>
      <c r="N16" s="0" t="inlineStr">
        <is>
          <t>2026-10-02 14:36:31.546 | PlayerState: Engaged</t>
        </is>
      </c>
    </row>
    <row r="17" ht="17" customHeight="1">
      <c r="A17" s="6">
        <v>16</v>
      </c>
      <c r="B17" s="6" t="inlineStr">
        <is>
          <t>2026-10-02 14:36:33.076</t>
        </is>
      </c>
      <c r="C17" s="6" t="inlineStr">
        <is>
          <t>Interaction</t>
        </is>
      </c>
      <c r="D17" s="6" t="inlineStr">
        <is>
          <t>Alex</t>
        </is>
      </c>
      <c r="E17" s="6" t="inlineStr">
        <is>
          <t>HammerTouch</t>
        </is>
      </c>
      <c r="F17" s="6" t="inlineStr">
        <is>
          <t>Failed</t>
        </is>
      </c>
      <c r="G17" s="6" t="inlineStr">
        <is>
          <t>Easy</t>
        </is>
      </c>
      <c r="M17" s="6">
        <v>21</v>
      </c>
      <c r="N17" s="6" t="inlineStr">
        <is>
          <t>2026-10-02 14:36:33.076 | Minigame: Alex | Type: HammerTouch | Outcome: Failed | Difficulty: Easy | ExpectedTime: 7.0400 | ActualTime: N/A | TimingOffset: N/A | TimingError: N/A | ReactionTime: N/A | SpatialAccuracy: N/A | DirectionAccuracy: N/A | CorrectHand: N/A</t>
        </is>
      </c>
    </row>
    <row r="18" ht="17" customHeight="1">
      <c r="A18" s="0">
        <v>17</v>
      </c>
      <c r="B18" s="0" t="inlineStr">
        <is>
          <t>2026-10-02 14:36:33.088</t>
        </is>
      </c>
      <c r="C18" s="0" t="inlineStr">
        <is>
          <t>Interaction</t>
        </is>
      </c>
      <c r="D18" s="0" t="inlineStr">
        <is>
          <t>Alex</t>
        </is>
      </c>
      <c r="E18" s="0" t="inlineStr">
        <is>
          <t>HammerTouch</t>
        </is>
      </c>
      <c r="F18" s="0" t="inlineStr">
        <is>
          <t>Success</t>
        </is>
      </c>
      <c r="G18" s="0" t="inlineStr">
        <is>
          <t>Easy</t>
        </is>
      </c>
      <c r="M18" s="0">
        <v>22</v>
      </c>
      <c r="N18" s="0" t="inlineStr">
        <is>
          <t>2026-10-02 14:36:33.088 | Minigame: Alex | Type: HammerTouch | Outcome: Success | Difficulty: Easy | ExpectedTime: 7.0400 | ActualTime: N/A | TimingOffset: N/A | TimingError: N/A | ReactionTime: N/A | SpatialAccuracy: N/A | DirectionAccuracy: N/A | CorrectHand: N/A</t>
        </is>
      </c>
    </row>
    <row r="19" ht="17" customHeight="1">
      <c r="A19" s="6">
        <v>18</v>
      </c>
      <c r="B19" s="6" t="inlineStr">
        <is>
          <t>2026-10-02 14:36:34.607</t>
        </is>
      </c>
      <c r="C19" s="6" t="inlineStr">
        <is>
          <t>Interaction</t>
        </is>
      </c>
      <c r="D19" s="6" t="inlineStr">
        <is>
          <t>Alex</t>
        </is>
      </c>
      <c r="E19" s="6" t="inlineStr">
        <is>
          <t>HammerHit</t>
        </is>
      </c>
      <c r="F19" s="6" t="inlineStr">
        <is>
          <t>Success</t>
        </is>
      </c>
      <c r="G19" s="6" t="inlineStr">
        <is>
          <t>Easy</t>
        </is>
      </c>
      <c r="K19" s="4">
        <v>0.0019</v>
      </c>
      <c r="M19" s="6">
        <v>23</v>
      </c>
      <c r="N19" s="6" t="inlineStr">
        <is>
          <t>2026-10-02 14:36:34.607 | Minigame: Alex | Type: HammerHit | Outcome: Success | Difficulty: Easy | ExpectedTime: 8.5760 | ActualTime: 8.5779 | TimingOffset: 0.0019 | TimingError: 0.0019 | ReactionTime: N/A | SpatialAccuracy: N/A | DirectionAccuracy: N/A | CorrectHand: N/A</t>
        </is>
      </c>
    </row>
    <row r="20" ht="17" customHeight="1">
      <c r="A20" s="0">
        <v>19</v>
      </c>
      <c r="B20" s="0" t="inlineStr">
        <is>
          <t>2026-10-02 14:36:34.662</t>
        </is>
      </c>
      <c r="C20" s="0" t="inlineStr">
        <is>
          <t>Interaction</t>
        </is>
      </c>
      <c r="D20" s="0" t="inlineStr">
        <is>
          <t>Alex</t>
        </is>
      </c>
      <c r="E20" s="0" t="inlineStr">
        <is>
          <t>HammerTouch</t>
        </is>
      </c>
      <c r="F20" s="0" t="inlineStr">
        <is>
          <t>Success</t>
        </is>
      </c>
      <c r="G20" s="0" t="inlineStr">
        <is>
          <t>Easy</t>
        </is>
      </c>
      <c r="M20" s="0">
        <v>24</v>
      </c>
      <c r="N20" s="0" t="inlineStr">
        <is>
          <t>2026-10-02 14:36:34.662 | Minigame: Alex | Type: HammerTouch | Outcome: Success | Difficulty: Easy | ExpectedTime: 8.5760 | ActualTime: N/A | TimingOffset: N/A | TimingError: N/A | ReactionTime: N/A | SpatialAccuracy: N/A | DirectionAccuracy: N/A | CorrectHand: N/A</t>
        </is>
      </c>
    </row>
    <row r="21" ht="17" customHeight="1">
      <c r="A21" s="6">
        <v>20</v>
      </c>
      <c r="B21" s="6" t="inlineStr">
        <is>
          <t>2026-10-02 14:36:36.124</t>
        </is>
      </c>
      <c r="C21" s="6" t="inlineStr">
        <is>
          <t>Interaction</t>
        </is>
      </c>
      <c r="D21" s="6" t="inlineStr">
        <is>
          <t>Alex</t>
        </is>
      </c>
      <c r="E21" s="6" t="inlineStr">
        <is>
          <t>HammerHit</t>
        </is>
      </c>
      <c r="F21" s="6" t="inlineStr">
        <is>
          <t>Failed</t>
        </is>
      </c>
      <c r="G21" s="6" t="inlineStr">
        <is>
          <t>Easy</t>
        </is>
      </c>
      <c r="K21" s="4">
        <v>0.0178</v>
      </c>
      <c r="M21" s="6">
        <v>25</v>
      </c>
      <c r="N21" s="6" t="inlineStr">
        <is>
          <t>2026-10-02 14:36:36.124 | Minigame: Alex | Type: HammerHit | Outcome: Failed | Difficulty: Easy | ExpectedTime: 10.1120 | ActualTime: 10.0942 | TimingOffset: -0.0178 | TimingError: 0.0178 | ReactionTime: N/A | SpatialAccuracy: N/A | DirectionAccuracy: N/A | CorrectHand: N/A</t>
        </is>
      </c>
    </row>
    <row r="22" ht="17" customHeight="1">
      <c r="A22" s="0">
        <v>21</v>
      </c>
      <c r="B22" s="0" t="inlineStr">
        <is>
          <t>2026-10-02 14:36:36.444</t>
        </is>
      </c>
      <c r="C22" s="0" t="inlineStr">
        <is>
          <t>Interaction</t>
        </is>
      </c>
      <c r="D22" s="0" t="inlineStr">
        <is>
          <t>Alex</t>
        </is>
      </c>
      <c r="E22" s="0" t="inlineStr">
        <is>
          <t>HammerTouch</t>
        </is>
      </c>
      <c r="F22" s="0" t="inlineStr">
        <is>
          <t>Missed</t>
        </is>
      </c>
      <c r="G22" s="0" t="inlineStr">
        <is>
          <t>Easy</t>
        </is>
      </c>
      <c r="M22" s="0">
        <v>26</v>
      </c>
      <c r="N22" s="0" t="inlineStr">
        <is>
          <t>2026-10-02 14:36:36.444 | Minigame: Alex | Type: HammerTouch | Outcome: Missed | Difficulty: Easy | ExpectedTime: 10.1120 | ActualTime: N/A | TimingOffset: N/A | TimingError: N/A | ReactionTime: N/A | SpatialAccuracy: N/A | DirectionAccuracy: N/A | CorrectHand: N/A</t>
        </is>
      </c>
    </row>
    <row r="23" ht="17" customHeight="1">
      <c r="A23" s="6">
        <v>22</v>
      </c>
      <c r="B23" s="6" t="inlineStr">
        <is>
          <t>2026-10-02 14:36:37.643</t>
        </is>
      </c>
      <c r="C23" s="6" t="inlineStr">
        <is>
          <t>Interaction</t>
        </is>
      </c>
      <c r="D23" s="6" t="inlineStr">
        <is>
          <t>Alex</t>
        </is>
      </c>
      <c r="E23" s="6" t="inlineStr">
        <is>
          <t>HammerHit</t>
        </is>
      </c>
      <c r="F23" s="6" t="inlineStr">
        <is>
          <t>Success</t>
        </is>
      </c>
      <c r="G23" s="6" t="inlineStr">
        <is>
          <t>Easy</t>
        </is>
      </c>
      <c r="K23" s="4">
        <v>0.0219</v>
      </c>
      <c r="M23" s="6">
        <v>27</v>
      </c>
      <c r="N23" s="6" t="inlineStr">
        <is>
          <t>2026-10-02 14:36:37.643 | Minigame: Alex | Type: HammerHit | Outcome: Success | Difficulty: Easy | ExpectedTime: 11.6480 | ActualTime: 11.6261 | TimingOffset: -0.0219 | TimingError: 0.0219 | ReactionTime: N/A | SpatialAccuracy: N/A | DirectionAccuracy: N/A | CorrectHand: N/A</t>
        </is>
      </c>
    </row>
    <row r="24" ht="17" customHeight="1">
      <c r="A24" s="0">
        <v>23</v>
      </c>
      <c r="B24" s="0" t="inlineStr">
        <is>
          <t>2026-10-02 14:36:39.147</t>
        </is>
      </c>
      <c r="C24" s="0" t="inlineStr">
        <is>
          <t>Interaction</t>
        </is>
      </c>
      <c r="D24" s="0" t="inlineStr">
        <is>
          <t>Alex</t>
        </is>
      </c>
      <c r="E24" s="0" t="inlineStr">
        <is>
          <t>HammerTouch</t>
        </is>
      </c>
      <c r="F24" s="0" t="inlineStr">
        <is>
          <t>Failed</t>
        </is>
      </c>
      <c r="G24" s="0" t="inlineStr">
        <is>
          <t>Easy</t>
        </is>
      </c>
      <c r="M24" s="0">
        <v>28</v>
      </c>
      <c r="N24" s="0" t="inlineStr">
        <is>
          <t>2026-10-02 14:36:39.147 | Minigame: Alex | Type: HammerTouch | Outcome: Failed | Difficulty: Easy | ExpectedTime: 13.1840 | ActualTime: N/A | TimingOffset: N/A | TimingError: N/A | ReactionTime: N/A | SpatialAccuracy: N/A | DirectionAccuracy: N/A | CorrectHand: N/A</t>
        </is>
      </c>
    </row>
    <row r="25" ht="17" customHeight="1">
      <c r="A25" s="6">
        <v>24</v>
      </c>
      <c r="B25" s="6" t="inlineStr">
        <is>
          <t>2026-10-02 14:36:39.187</t>
        </is>
      </c>
      <c r="C25" s="6" t="inlineStr">
        <is>
          <t>Interaction</t>
        </is>
      </c>
      <c r="D25" s="6" t="inlineStr">
        <is>
          <t>Alex</t>
        </is>
      </c>
      <c r="E25" s="6" t="inlineStr">
        <is>
          <t>HammerTouch</t>
        </is>
      </c>
      <c r="F25" s="6" t="inlineStr">
        <is>
          <t>Success</t>
        </is>
      </c>
      <c r="G25" s="6" t="inlineStr">
        <is>
          <t>Easy</t>
        </is>
      </c>
      <c r="M25" s="6">
        <v>29</v>
      </c>
      <c r="N25" s="6" t="inlineStr">
        <is>
          <t>2026-10-02 14:36:39.187 | Minigame: Alex | Type: HammerTouch | Outcome: Success | Difficulty: Easy | ExpectedTime: 13.1840 | ActualTime: N/A | TimingOffset: N/A | TimingError: N/A | ReactionTime: N/A | SpatialAccuracy: N/A | DirectionAccuracy: N/A | CorrectHand: N/A</t>
        </is>
      </c>
    </row>
    <row r="26" ht="17" customHeight="1">
      <c r="A26" s="0">
        <v>25</v>
      </c>
      <c r="B26" s="0" t="inlineStr">
        <is>
          <t>2026-10-02 14:36:40.691</t>
        </is>
      </c>
      <c r="C26" s="0" t="inlineStr">
        <is>
          <t>Interaction</t>
        </is>
      </c>
      <c r="D26" s="0" t="inlineStr">
        <is>
          <t>Alex</t>
        </is>
      </c>
      <c r="E26" s="0" t="inlineStr">
        <is>
          <t>HammerHit</t>
        </is>
      </c>
      <c r="F26" s="0" t="inlineStr">
        <is>
          <t>Success</t>
        </is>
      </c>
      <c r="G26" s="0" t="inlineStr">
        <is>
          <t>Easy</t>
        </is>
      </c>
      <c r="K26" s="4">
        <v>0.0452</v>
      </c>
      <c r="M26" s="0">
        <v>30</v>
      </c>
      <c r="N26" s="0" t="inlineStr">
        <is>
          <t>2026-10-02 14:36:40.691 | Minigame: Alex | Type: HammerHit | Outcome: Success | Difficulty: Easy | ExpectedTime: 14.7200 | ActualTime: 14.6748 | TimingOffset: -0.0452 | TimingError: 0.0452 | ReactionTime: N/A | SpatialAccuracy: N/A | DirectionAccuracy: N/A | CorrectHand: N/A</t>
        </is>
      </c>
    </row>
    <row r="27" ht="17" customHeight="1">
      <c r="A27" s="6">
        <v>26</v>
      </c>
      <c r="B27" s="6" t="inlineStr">
        <is>
          <t>2026-10-02 14:36:40.747</t>
        </is>
      </c>
      <c r="C27" s="6" t="inlineStr">
        <is>
          <t>Interaction</t>
        </is>
      </c>
      <c r="D27" s="6" t="inlineStr">
        <is>
          <t>Alex</t>
        </is>
      </c>
      <c r="E27" s="6" t="inlineStr">
        <is>
          <t>HammerHit</t>
        </is>
      </c>
      <c r="F27" s="6" t="inlineStr">
        <is>
          <t>Failed</t>
        </is>
      </c>
      <c r="G27" s="6" t="inlineStr">
        <is>
          <t>Easy</t>
        </is>
      </c>
      <c r="M27" s="6">
        <v>31</v>
      </c>
      <c r="N27" s="6" t="inlineStr">
        <is>
          <t>2026-10-02 14:36:40.747 | Minigame: Alex | Type: HammerHit | Outcome: Failed | Difficulty: Easy | ExpectedTime: 14.7200 | ActualTime: N/A | TimingOffset: N/A | TimingError: N/A | ReactionTime: N/A | SpatialAccuracy: N/A | DirectionAccuracy: N/A | CorrectHand: N/A</t>
        </is>
      </c>
    </row>
    <row r="28" ht="17" customHeight="1">
      <c r="A28" s="0">
        <v>27</v>
      </c>
      <c r="B28" s="0" t="inlineStr">
        <is>
          <t>2026-10-02 14:36:42.251</t>
        </is>
      </c>
      <c r="C28" s="0" t="inlineStr">
        <is>
          <t>Interaction</t>
        </is>
      </c>
      <c r="D28" s="0" t="inlineStr">
        <is>
          <t>Alex</t>
        </is>
      </c>
      <c r="E28" s="0" t="inlineStr">
        <is>
          <t>HammerHit</t>
        </is>
      </c>
      <c r="F28" s="0" t="inlineStr">
        <is>
          <t>Success</t>
        </is>
      </c>
      <c r="G28" s="0" t="inlineStr">
        <is>
          <t>Easy</t>
        </is>
      </c>
      <c r="K28" s="4">
        <v>0.0214</v>
      </c>
      <c r="M28" s="0">
        <v>32</v>
      </c>
      <c r="N28" s="0" t="inlineStr">
        <is>
          <t>2026-10-02 14:36:42.251 | Minigame: Alex | Type: HammerHit | Outcome: Success | Difficulty: Easy | ExpectedTime: 16.2560 | ActualTime: 16.2346 | TimingOffset: -0.0214 | TimingError: 0.0214 | ReactionTime: N/A | SpatialAccuracy: N/A | DirectionAccuracy: N/A | CorrectHand: N/A</t>
        </is>
      </c>
    </row>
    <row r="29" ht="17" customHeight="1">
      <c r="A29" s="6">
        <v>28</v>
      </c>
      <c r="B29" s="6" t="inlineStr">
        <is>
          <t>2026-10-02 14:36:42.253</t>
        </is>
      </c>
      <c r="C29" s="6" t="inlineStr">
        <is>
          <t>Interaction</t>
        </is>
      </c>
      <c r="D29" s="6" t="inlineStr">
        <is>
          <t>Alex</t>
        </is>
      </c>
      <c r="E29" s="6" t="inlineStr">
        <is>
          <t>HammerHit</t>
        </is>
      </c>
      <c r="F29" s="6" t="inlineStr">
        <is>
          <t>Failed</t>
        </is>
      </c>
      <c r="G29" s="6" t="inlineStr">
        <is>
          <t>Easy</t>
        </is>
      </c>
      <c r="K29" s="4">
        <v>0.0214</v>
      </c>
      <c r="M29" s="6">
        <v>33</v>
      </c>
      <c r="N29" s="6" t="inlineStr">
        <is>
          <t>2026-10-02 14:36:42.253 | Minigame: Alex | Type: HammerHit | Outcome: Failed | Difficulty: Easy | ExpectedTime: 16.2560 | ActualTime: 16.2346 | TimingOffset: -0.0214 | TimingError: 0.0214 | ReactionTime: N/A | SpatialAccuracy: N/A | DirectionAccuracy: N/A | CorrectHand: N/A</t>
        </is>
      </c>
    </row>
    <row r="30" ht="17" customHeight="1">
      <c r="A30" s="0">
        <v>29</v>
      </c>
      <c r="B30" s="0" t="inlineStr">
        <is>
          <t>2026-10-02 14:36:43.783</t>
        </is>
      </c>
      <c r="C30" s="0" t="inlineStr">
        <is>
          <t>Interaction</t>
        </is>
      </c>
      <c r="D30" s="0" t="inlineStr">
        <is>
          <t>Alex</t>
        </is>
      </c>
      <c r="E30" s="0" t="inlineStr">
        <is>
          <t>HammerHit</t>
        </is>
      </c>
      <c r="F30" s="0" t="inlineStr">
        <is>
          <t>Failed</t>
        </is>
      </c>
      <c r="G30" s="0" t="inlineStr">
        <is>
          <t>Easy</t>
        </is>
      </c>
      <c r="K30" s="4">
        <v>0.0258</v>
      </c>
      <c r="M30" s="0">
        <v>34</v>
      </c>
      <c r="N30" s="0" t="inlineStr">
        <is>
          <t>2026-10-02 14:36:43.783 | Minigame: Alex | Type: HammerHit | Outcome: Failed | Difficulty: Easy | ExpectedTime: 17.7920 | ActualTime: 17.7662 | TimingOffset: -0.0258 | TimingError: 0.0258 | ReactionTime: N/A | SpatialAccuracy: N/A | DirectionAccuracy: N/A | CorrectHand: N/A</t>
        </is>
      </c>
    </row>
    <row r="31" ht="17" customHeight="1">
      <c r="A31" s="6">
        <v>30</v>
      </c>
      <c r="B31" s="6" t="inlineStr">
        <is>
          <t>2026-10-02 14:36:45.343</t>
        </is>
      </c>
      <c r="C31" s="6" t="inlineStr">
        <is>
          <t>Interaction</t>
        </is>
      </c>
      <c r="D31" s="6" t="inlineStr">
        <is>
          <t>Alex</t>
        </is>
      </c>
      <c r="E31" s="6" t="inlineStr">
        <is>
          <t>HammerHit</t>
        </is>
      </c>
      <c r="F31" s="6" t="inlineStr">
        <is>
          <t>Success</t>
        </is>
      </c>
      <c r="G31" s="6" t="inlineStr">
        <is>
          <t>Easy</t>
        </is>
      </c>
      <c r="K31" s="4">
        <v>0.0025</v>
      </c>
      <c r="M31" s="6">
        <v>35</v>
      </c>
      <c r="N31" s="6" t="inlineStr">
        <is>
          <t>2026-10-02 14:36:45.343 | Minigame: Alex | Type: HammerHit | Outcome: Success | Difficulty: Easy | ExpectedTime: 19.3280 | ActualTime: 19.3255 | TimingOffset: -0.0025 | TimingError: 0.0025 | ReactionTime: N/A | SpatialAccuracy: N/A | DirectionAccuracy: N/A | CorrectHand: N/A</t>
        </is>
      </c>
    </row>
    <row r="32" ht="17" customHeight="1">
      <c r="A32" s="0">
        <v>31</v>
      </c>
      <c r="B32" s="0" t="inlineStr">
        <is>
          <t>2026-10-02 14:36:45.343</t>
        </is>
      </c>
      <c r="C32" s="0" t="inlineStr">
        <is>
          <t>Interaction</t>
        </is>
      </c>
      <c r="D32" s="0" t="inlineStr">
        <is>
          <t>Alex</t>
        </is>
      </c>
      <c r="E32" s="0" t="inlineStr">
        <is>
          <t>HammerHit</t>
        </is>
      </c>
      <c r="F32" s="0" t="inlineStr">
        <is>
          <t>Failed</t>
        </is>
      </c>
      <c r="G32" s="0" t="inlineStr">
        <is>
          <t>Easy</t>
        </is>
      </c>
      <c r="K32" s="4">
        <v>0.0025</v>
      </c>
      <c r="M32" s="0">
        <v>36</v>
      </c>
      <c r="N32" s="0" t="inlineStr">
        <is>
          <t>2026-10-02 14:36:45.343 | Minigame: Alex | Type: HammerHit | Outcome: Failed | Difficulty: Easy | ExpectedTime: 19.3280 | ActualTime: 19.3255 | TimingOffset: -0.0025 | TimingError: 0.0025 | ReactionTime: N/A | SpatialAccuracy: N/A | DirectionAccuracy: N/A | CorrectHand: N/A</t>
        </is>
      </c>
    </row>
    <row r="33" ht="17" customHeight="1">
      <c r="A33" s="6">
        <v>32</v>
      </c>
      <c r="B33" s="6" t="inlineStr">
        <is>
          <t>2026-10-02 14:36:46.860</t>
        </is>
      </c>
      <c r="C33" s="6" t="inlineStr">
        <is>
          <t>Interaction</t>
        </is>
      </c>
      <c r="D33" s="6" t="inlineStr">
        <is>
          <t>Alex</t>
        </is>
      </c>
      <c r="E33" s="6" t="inlineStr">
        <is>
          <t>HammerHit</t>
        </is>
      </c>
      <c r="F33" s="6" t="inlineStr">
        <is>
          <t>Failed</t>
        </is>
      </c>
      <c r="G33" s="6" t="inlineStr">
        <is>
          <t>Easy</t>
        </is>
      </c>
      <c r="K33" s="4">
        <v>0.0209</v>
      </c>
      <c r="M33" s="6">
        <v>37</v>
      </c>
      <c r="N33" s="6" t="inlineStr">
        <is>
          <t>2026-10-02 14:36:46.860 | Minigame: Alex | Type: HammerHit | Outcome: Failed | Difficulty: Easy | ExpectedTime: 20.8640 | ActualTime: 20.8431 | TimingOffset: -0.0209 | TimingError: 0.0209 | ReactionTime: N/A | SpatialAccuracy: N/A | DirectionAccuracy: N/A | CorrectHand: N/A</t>
        </is>
      </c>
    </row>
    <row r="34" ht="17" customHeight="1">
      <c r="A34" s="0">
        <v>33</v>
      </c>
      <c r="B34" s="0" t="inlineStr">
        <is>
          <t>2026-10-02 14:36:46.860</t>
        </is>
      </c>
      <c r="C34" s="0" t="inlineStr">
        <is>
          <t>PlayerState</t>
        </is>
      </c>
      <c r="H34" s="0" t="inlineStr">
        <is>
          <t>Overloaded</t>
        </is>
      </c>
      <c r="M34" s="0">
        <v>38</v>
      </c>
      <c r="N34" s="0" t="inlineStr">
        <is>
          <t>2026-10-02 14:36:46.860 | PlayerState: Overloaded</t>
        </is>
      </c>
    </row>
    <row r="35" ht="17" customHeight="1">
      <c r="A35" s="6">
        <v>34</v>
      </c>
      <c r="B35" s="6" t="inlineStr">
        <is>
          <t>2026-10-02 14:36:48.433</t>
        </is>
      </c>
      <c r="C35" s="6" t="inlineStr">
        <is>
          <t>Interaction</t>
        </is>
      </c>
      <c r="D35" s="6" t="inlineStr">
        <is>
          <t>Alex</t>
        </is>
      </c>
      <c r="E35" s="6" t="inlineStr">
        <is>
          <t>HammerHit</t>
        </is>
      </c>
      <c r="F35" s="6" t="inlineStr">
        <is>
          <t>Success</t>
        </is>
      </c>
      <c r="G35" s="6" t="inlineStr">
        <is>
          <t>Easy</t>
        </is>
      </c>
      <c r="K35" s="4">
        <v>0.0024</v>
      </c>
      <c r="M35" s="6">
        <v>39</v>
      </c>
      <c r="N35" s="6" t="inlineStr">
        <is>
          <t>2026-10-02 14:36:48.433 | Minigame: Alex | Type: HammerHit | Outcome: Success | Difficulty: Easy | ExpectedTime: 22.4000 | ActualTime: 22.4024 | TimingOffset: 0.0024 | TimingError: 0.0024 | ReactionTime: N/A | SpatialAccuracy: N/A | DirectionAccuracy: N/A | CorrectHand: N/A</t>
        </is>
      </c>
    </row>
    <row r="36" ht="17" customHeight="1">
      <c r="A36" s="0">
        <v>35</v>
      </c>
      <c r="B36" s="0" t="inlineStr">
        <is>
          <t>2026-10-02 14:36:48.434</t>
        </is>
      </c>
      <c r="C36" s="0" t="inlineStr">
        <is>
          <t>Interaction</t>
        </is>
      </c>
      <c r="D36" s="0" t="inlineStr">
        <is>
          <t>Alex</t>
        </is>
      </c>
      <c r="E36" s="0" t="inlineStr">
        <is>
          <t>HammerHit</t>
        </is>
      </c>
      <c r="F36" s="0" t="inlineStr">
        <is>
          <t>Failed</t>
        </is>
      </c>
      <c r="G36" s="0" t="inlineStr">
        <is>
          <t>Easy</t>
        </is>
      </c>
      <c r="K36" s="4">
        <v>0.0161</v>
      </c>
      <c r="M36" s="0">
        <v>40</v>
      </c>
      <c r="N36" s="0" t="inlineStr">
        <is>
          <t>2026-10-02 14:36:48.434 | Minigame: Alex | Type: HammerHit | Outcome: Failed | Difficulty: Easy | ExpectedTime: 22.4000 | ActualTime: 22.4161 | TimingOffset: 0.0161 | TimingError: 0.0161 | ReactionTime: N/A | SpatialAccuracy: N/A | DirectionAccuracy: N/A | CorrectHand: N/A</t>
        </is>
      </c>
    </row>
    <row r="37" ht="17" customHeight="1">
      <c r="A37" s="6">
        <v>36</v>
      </c>
      <c r="B37" s="6" t="inlineStr">
        <is>
          <t>2026-10-02 14:36:49.922</t>
        </is>
      </c>
      <c r="C37" s="6" t="inlineStr">
        <is>
          <t>Interaction</t>
        </is>
      </c>
      <c r="D37" s="6" t="inlineStr">
        <is>
          <t>Alex</t>
        </is>
      </c>
      <c r="E37" s="6" t="inlineStr">
        <is>
          <t>HammerTouch</t>
        </is>
      </c>
      <c r="F37" s="6" t="inlineStr">
        <is>
          <t>Failed</t>
        </is>
      </c>
      <c r="G37" s="6" t="inlineStr">
        <is>
          <t>Easy</t>
        </is>
      </c>
      <c r="M37" s="6">
        <v>41</v>
      </c>
      <c r="N37" s="6" t="inlineStr">
        <is>
          <t>2026-10-02 14:36:49.922 | Minigame: Alex | Type: HammerTouch | Outcome: Failed | Difficulty: Easy | ExpectedTime: 23.9360 | ActualTime: N/A | TimingOffset: N/A | TimingError: N/A | ReactionTime: N/A | SpatialAccuracy: N/A | DirectionAccuracy: N/A | CorrectHand: N/A</t>
        </is>
      </c>
    </row>
    <row r="38" ht="17" customHeight="1">
      <c r="A38" s="0">
        <v>37</v>
      </c>
      <c r="B38" s="0" t="inlineStr">
        <is>
          <t>2026-10-02 14:36:49.924</t>
        </is>
      </c>
      <c r="C38" s="0" t="inlineStr">
        <is>
          <t>Interaction</t>
        </is>
      </c>
      <c r="D38" s="0" t="inlineStr">
        <is>
          <t>Alex</t>
        </is>
      </c>
      <c r="E38" s="0" t="inlineStr">
        <is>
          <t>HammerHit</t>
        </is>
      </c>
      <c r="F38" s="0" t="inlineStr">
        <is>
          <t>Failed</t>
        </is>
      </c>
      <c r="G38" s="0" t="inlineStr">
        <is>
          <t>Easy</t>
        </is>
      </c>
      <c r="K38" s="4">
        <v>0.0304</v>
      </c>
      <c r="M38" s="0">
        <v>42</v>
      </c>
      <c r="N38" s="0" t="inlineStr">
        <is>
          <t>2026-10-02 14:36:49.924 | Minigame: Alex | Type: HammerHit | Outcome: Failed | Difficulty: Easy | ExpectedTime: 23.9360 | ActualTime: 23.9056 | TimingOffset: -0.0304 | TimingError: 0.0304 | ReactionTime: N/A | SpatialAccuracy: N/A | DirectionAccuracy: N/A | CorrectHand: N/A</t>
        </is>
      </c>
    </row>
    <row r="39" ht="17" customHeight="1">
      <c r="A39" s="6">
        <v>38</v>
      </c>
      <c r="B39" s="6" t="inlineStr">
        <is>
          <t>2026-10-02 14:36:51.482</t>
        </is>
      </c>
      <c r="C39" s="6" t="inlineStr">
        <is>
          <t>Interaction</t>
        </is>
      </c>
      <c r="D39" s="6" t="inlineStr">
        <is>
          <t>Alex</t>
        </is>
      </c>
      <c r="E39" s="6" t="inlineStr">
        <is>
          <t>HammerHit</t>
        </is>
      </c>
      <c r="F39" s="6" t="inlineStr">
        <is>
          <t>Success</t>
        </is>
      </c>
      <c r="G39" s="6" t="inlineStr">
        <is>
          <t>Easy</t>
        </is>
      </c>
      <c r="K39" s="4">
        <v>0.0069</v>
      </c>
      <c r="M39" s="6">
        <v>43</v>
      </c>
      <c r="N39" s="6" t="inlineStr">
        <is>
          <t>2026-10-02 14:36:51.482 | Minigame: Alex | Type: HammerHit | Outcome: Success | Difficulty: Easy | ExpectedTime: 25.4720 | ActualTime: 25.4651 | TimingOffset: -0.0069 | TimingError: 0.0069 | ReactionTime: N/A | SpatialAccuracy: N/A | DirectionAccuracy: N/A | CorrectHand: N/A</t>
        </is>
      </c>
    </row>
    <row r="40" ht="17" customHeight="1">
      <c r="A40" s="0">
        <v>39</v>
      </c>
      <c r="B40" s="0" t="inlineStr">
        <is>
          <t>2026-10-02 14:36:51.483</t>
        </is>
      </c>
      <c r="C40" s="0" t="inlineStr">
        <is>
          <t>Interaction</t>
        </is>
      </c>
      <c r="D40" s="0" t="inlineStr">
        <is>
          <t>Alex</t>
        </is>
      </c>
      <c r="E40" s="0" t="inlineStr">
        <is>
          <t>HammerHit</t>
        </is>
      </c>
      <c r="F40" s="0" t="inlineStr">
        <is>
          <t>Success</t>
        </is>
      </c>
      <c r="G40" s="0" t="inlineStr">
        <is>
          <t>Easy</t>
        </is>
      </c>
      <c r="K40" s="4">
        <v>0.0069</v>
      </c>
      <c r="M40" s="0">
        <v>44</v>
      </c>
      <c r="N40" s="0" t="inlineStr">
        <is>
          <t>2026-10-02 14:36:51.483 | Minigame: Alex | Type: HammerHit | Outcome: Success | Difficulty: Easy | ExpectedTime: 25.4720 | ActualTime: 25.4651 | TimingOffset: -0.0069 | TimingError: 0.0069 | ReactionTime: N/A | SpatialAccuracy: N/A | DirectionAccuracy: N/A | CorrectHand: N/A</t>
        </is>
      </c>
    </row>
    <row r="41" ht="17" customHeight="1">
      <c r="A41" s="6">
        <v>40</v>
      </c>
      <c r="B41" s="6" t="inlineStr">
        <is>
          <t>2026-10-02 14:36:53.014</t>
        </is>
      </c>
      <c r="C41" s="6" t="inlineStr">
        <is>
          <t>Interaction</t>
        </is>
      </c>
      <c r="D41" s="6" t="inlineStr">
        <is>
          <t>Alex</t>
        </is>
      </c>
      <c r="E41" s="6" t="inlineStr">
        <is>
          <t>HammerHit</t>
        </is>
      </c>
      <c r="F41" s="6" t="inlineStr">
        <is>
          <t>Failed</t>
        </is>
      </c>
      <c r="G41" s="6" t="inlineStr">
        <is>
          <t>Easy</t>
        </is>
      </c>
      <c r="K41" s="4">
        <v>0.0111</v>
      </c>
      <c r="M41" s="6">
        <v>45</v>
      </c>
      <c r="N41" s="6" t="inlineStr">
        <is>
          <t>2026-10-02 14:36:53.014 | Minigame: Alex | Type: HammerHit | Outcome: Failed | Difficulty: Easy | ExpectedTime: 27.0080 | ActualTime: 26.9969 | TimingOffset: -0.0111 | TimingError: 0.0111 | ReactionTime: N/A | SpatialAccuracy: N/A | DirectionAccuracy: N/A | CorrectHand: N/A</t>
        </is>
      </c>
    </row>
    <row r="42" ht="17" customHeight="1">
      <c r="A42" s="0">
        <v>41</v>
      </c>
      <c r="B42" s="0" t="inlineStr">
        <is>
          <t>2026-10-02 14:36:54.532</t>
        </is>
      </c>
      <c r="C42" s="0" t="inlineStr">
        <is>
          <t>Interaction</t>
        </is>
      </c>
      <c r="D42" s="0" t="inlineStr">
        <is>
          <t>Alex</t>
        </is>
      </c>
      <c r="E42" s="0" t="inlineStr">
        <is>
          <t>HammerHit</t>
        </is>
      </c>
      <c r="F42" s="0" t="inlineStr">
        <is>
          <t>Success</t>
        </is>
      </c>
      <c r="G42" s="0" t="inlineStr">
        <is>
          <t>Easy</t>
        </is>
      </c>
      <c r="K42" s="4">
        <v>0.0297</v>
      </c>
      <c r="M42" s="0">
        <v>46</v>
      </c>
      <c r="N42" s="0" t="inlineStr">
        <is>
          <t>2026-10-02 14:36:54.532 | Minigame: Alex | Type: HammerHit | Outcome: Success | Difficulty: Easy | ExpectedTime: 28.5440 | ActualTime: 28.5143 | TimingOffset: -0.0297 | TimingError: 0.0297 | ReactionTime: N/A | SpatialAccuracy: N/A | DirectionAccuracy: N/A | CorrectHand: N/A</t>
        </is>
      </c>
    </row>
    <row r="43" ht="17" customHeight="1">
      <c r="A43" s="6">
        <v>42</v>
      </c>
      <c r="B43" s="6" t="inlineStr">
        <is>
          <t>2026-10-02 14:36:54.532</t>
        </is>
      </c>
      <c r="C43" s="6" t="inlineStr">
        <is>
          <t>Interaction</t>
        </is>
      </c>
      <c r="D43" s="6" t="inlineStr">
        <is>
          <t>Alex</t>
        </is>
      </c>
      <c r="E43" s="6" t="inlineStr">
        <is>
          <t>HammerHit</t>
        </is>
      </c>
      <c r="F43" s="6" t="inlineStr">
        <is>
          <t>Failed</t>
        </is>
      </c>
      <c r="G43" s="6" t="inlineStr">
        <is>
          <t>Easy</t>
        </is>
      </c>
      <c r="K43" s="4">
        <v>0.0297</v>
      </c>
      <c r="M43" s="6">
        <v>47</v>
      </c>
      <c r="N43" s="6" t="inlineStr">
        <is>
          <t>2026-10-02 14:36:54.532 | Minigame: Alex | Type: HammerHit | Outcome: Failed | Difficulty: Easy | ExpectedTime: 28.5440 | ActualTime: 28.5143 | TimingOffset: -0.0297 | TimingError: 0.0297 | ReactionTime: N/A | SpatialAccuracy: N/A | DirectionAccuracy: N/A | CorrectHand: N/A</t>
        </is>
      </c>
    </row>
    <row r="44" ht="17" customHeight="1">
      <c r="A44" s="0">
        <v>43</v>
      </c>
      <c r="B44" s="0" t="inlineStr">
        <is>
          <t>2026-10-02 14:36:56.090</t>
        </is>
      </c>
      <c r="C44" s="0" t="inlineStr">
        <is>
          <t>Interaction</t>
        </is>
      </c>
      <c r="D44" s="0" t="inlineStr">
        <is>
          <t>Alex</t>
        </is>
      </c>
      <c r="E44" s="0" t="inlineStr">
        <is>
          <t>HammerHit</t>
        </is>
      </c>
      <c r="F44" s="0" t="inlineStr">
        <is>
          <t>Failed</t>
        </is>
      </c>
      <c r="G44" s="0" t="inlineStr">
        <is>
          <t>Easy</t>
        </is>
      </c>
      <c r="K44" s="4">
        <v>0.0061</v>
      </c>
      <c r="M44" s="0">
        <v>48</v>
      </c>
      <c r="N44" s="0" t="inlineStr">
        <is>
          <t>2026-10-02 14:36:56.090 | Minigame: Alex | Type: HammerHit | Outcome: Failed | Difficulty: Easy | ExpectedTime: 30.0800 | ActualTime: 30.0739 | TimingOffset: -0.0061 | TimingError: 0.0061 | ReactionTime: N/A | SpatialAccuracy: N/A | DirectionAccuracy: N/A | CorrectHand: N/A</t>
        </is>
      </c>
    </row>
    <row r="45" ht="17" customHeight="1">
      <c r="A45" s="6">
        <v>44</v>
      </c>
      <c r="B45" s="6" t="inlineStr">
        <is>
          <t>2026-10-02 14:37:00.072</t>
        </is>
      </c>
      <c r="C45" s="6" t="inlineStr">
        <is>
          <t>Interaction</t>
        </is>
      </c>
      <c r="D45" s="6" t="inlineStr">
        <is>
          <t>Joaquin</t>
        </is>
      </c>
      <c r="E45" s="6" t="inlineStr">
        <is>
          <t>GuitarHit</t>
        </is>
      </c>
      <c r="F45" s="6" t="inlineStr">
        <is>
          <t>Success</t>
        </is>
      </c>
      <c r="G45" s="6" t="inlineStr">
        <is>
          <t>Easy</t>
        </is>
      </c>
      <c r="K45" s="4">
        <v>0.1206</v>
      </c>
      <c r="M45" s="6">
        <v>49</v>
      </c>
      <c r="N45" s="6" t="inlineStr">
        <is>
          <t>2026-10-02 14:37:00.072 | Minigame: Joaquin | Type: GuitarHit | Outcome: Success | Difficulty: Easy | ExpectedTime: 33.9200 | ActualTime: 34.0406 | TimingOffset: 0.1206 | TimingError: 0.1206 | ReactionTime: N/A | SpatialAccuracy: N/A | DirectionAccuracy: N/A | CorrectHand: N/A</t>
        </is>
      </c>
    </row>
    <row r="46" ht="17" customHeight="1">
      <c r="A46" s="0">
        <v>45</v>
      </c>
      <c r="B46" s="0" t="inlineStr">
        <is>
          <t>2026-10-02 14:37:00.072</t>
        </is>
      </c>
      <c r="C46" s="0" t="inlineStr">
        <is>
          <t>PlayerState</t>
        </is>
      </c>
      <c r="H46" s="0" t="inlineStr">
        <is>
          <t>Engaged</t>
        </is>
      </c>
      <c r="M46" s="0">
        <v>50</v>
      </c>
      <c r="N46" s="0" t="inlineStr">
        <is>
          <t>2026-10-02 14:37:00.072 | PlayerState: Engaged</t>
        </is>
      </c>
    </row>
    <row r="47" ht="17" customHeight="1">
      <c r="A47" s="6">
        <v>46</v>
      </c>
      <c r="B47" s="6" t="inlineStr">
        <is>
          <t>2026-10-02 14:37:03.370</t>
        </is>
      </c>
      <c r="C47" s="6" t="inlineStr">
        <is>
          <t>Interaction</t>
        </is>
      </c>
      <c r="D47" s="6" t="inlineStr">
        <is>
          <t>Joaquin</t>
        </is>
      </c>
      <c r="E47" s="6" t="inlineStr">
        <is>
          <t>GuitarHit</t>
        </is>
      </c>
      <c r="F47" s="6" t="inlineStr">
        <is>
          <t>Success</t>
        </is>
      </c>
      <c r="G47" s="6" t="inlineStr">
        <is>
          <t>Easy</t>
        </is>
      </c>
      <c r="K47" s="4">
        <v>0.0362</v>
      </c>
      <c r="M47" s="6">
        <v>51</v>
      </c>
      <c r="N47" s="6" t="inlineStr">
        <is>
          <t>2026-10-02 14:37:03.370 | Minigame: Joaquin | Type: GuitarHit | Outcome: Success | Difficulty: Easy | ExpectedTime: 37.3760 | ActualTime: 37.3398 | TimingOffset: -0.0362 | TimingError: 0.0362 | ReactionTime: N/A | SpatialAccuracy: N/A | DirectionAccuracy: N/A | CorrectHand: N/A</t>
        </is>
      </c>
    </row>
    <row r="48" ht="17" customHeight="1">
      <c r="A48" s="0">
        <v>47</v>
      </c>
      <c r="B48" s="0" t="inlineStr">
        <is>
          <t>2026-10-02 14:37:15.316</t>
        </is>
      </c>
      <c r="C48" s="0" t="inlineStr">
        <is>
          <t>Interaction</t>
        </is>
      </c>
      <c r="D48" s="0" t="inlineStr">
        <is>
          <t>Joaquin</t>
        </is>
      </c>
      <c r="E48" s="0" t="inlineStr">
        <is>
          <t>GuitarHit</t>
        </is>
      </c>
      <c r="F48" s="0" t="inlineStr">
        <is>
          <t>Success</t>
        </is>
      </c>
      <c r="G48" s="0" t="inlineStr">
        <is>
          <t>Easy</t>
        </is>
      </c>
      <c r="K48" s="4">
        <v>0.1474</v>
      </c>
      <c r="M48" s="0">
        <v>52</v>
      </c>
      <c r="N48" s="0" t="inlineStr">
        <is>
          <t>2026-10-02 14:37:15.316 | Minigame: Joaquin | Type: GuitarHit | Outcome: Success | Difficulty: Easy | ExpectedTime: 40.0640 | ActualTime: 39.9166 | TimingOffset: -0.1474 | TimingError: 0.1474 | ReactionTime: N/A | SpatialAccuracy: N/A | DirectionAccuracy: N/A | CorrectHand: N/A</t>
        </is>
      </c>
    </row>
    <row r="49" ht="17" customHeight="1">
      <c r="A49" s="6">
        <v>48</v>
      </c>
      <c r="B49" s="6" t="inlineStr">
        <is>
          <t>2026-10-02 14:37:17.613</t>
        </is>
      </c>
      <c r="C49" s="6" t="inlineStr">
        <is>
          <t>Interaction</t>
        </is>
      </c>
      <c r="D49" s="6" t="inlineStr">
        <is>
          <t>Joaquin</t>
        </is>
      </c>
      <c r="E49" s="6" t="inlineStr">
        <is>
          <t>GuitarHit</t>
        </is>
      </c>
      <c r="F49" s="6" t="inlineStr">
        <is>
          <t>Success</t>
        </is>
      </c>
      <c r="G49" s="6" t="inlineStr">
        <is>
          <t>Easy</t>
        </is>
      </c>
      <c r="K49" s="4">
        <v>0.1547</v>
      </c>
      <c r="M49" s="6">
        <v>53</v>
      </c>
      <c r="N49" s="6" t="inlineStr">
        <is>
          <t>2026-10-02 14:37:17.613 | Minigame: Joaquin | Type: GuitarHit | Outcome: Success | Difficulty: Easy | ExpectedTime: 42.3680 | ActualTime: 42.2133 | TimingOffset: -0.1547 | TimingError: 0.1547 | ReactionTime: N/A | SpatialAccuracy: N/A | DirectionAccuracy: N/A | CorrectHand: N/A</t>
        </is>
      </c>
    </row>
    <row r="50" ht="17" customHeight="1">
      <c r="A50" s="0">
        <v>49</v>
      </c>
      <c r="B50" s="0" t="inlineStr">
        <is>
          <t>2026-10-02 14:37:20.537</t>
        </is>
      </c>
      <c r="C50" s="0" t="inlineStr">
        <is>
          <t>Interaction</t>
        </is>
      </c>
      <c r="D50" s="0" t="inlineStr">
        <is>
          <t>Joaquin</t>
        </is>
      </c>
      <c r="E50" s="0" t="inlineStr">
        <is>
          <t>GuitarHit</t>
        </is>
      </c>
      <c r="F50" s="0" t="inlineStr">
        <is>
          <t>Success</t>
        </is>
      </c>
      <c r="G50" s="0" t="inlineStr">
        <is>
          <t>Easy</t>
        </is>
      </c>
      <c r="K50" s="4">
        <v>0.0816</v>
      </c>
      <c r="M50" s="0">
        <v>54</v>
      </c>
      <c r="N50" s="0" t="inlineStr">
        <is>
          <t>2026-10-02 14:37:20.537 | Minigame: Joaquin | Type: GuitarHit | Outcome: Success | Difficulty: Easy | ExpectedTime: 45.0560 | ActualTime: 45.1376 | TimingOffset: 0.0816 | TimingError: 0.0816 | ReactionTime: N/A | SpatialAccuracy: N/A | DirectionAccuracy: N/A | CorrectHand: N/A</t>
        </is>
      </c>
    </row>
    <row r="51" ht="17" customHeight="1">
      <c r="A51" s="6">
        <v>50</v>
      </c>
      <c r="B51" s="6" t="inlineStr">
        <is>
          <t>2026-10-02 14:37:23.683</t>
        </is>
      </c>
      <c r="C51" s="6" t="inlineStr">
        <is>
          <t>Interaction</t>
        </is>
      </c>
      <c r="D51" s="6" t="inlineStr">
        <is>
          <t>Joaquin</t>
        </is>
      </c>
      <c r="E51" s="6" t="inlineStr">
        <is>
          <t>GuitarHit</t>
        </is>
      </c>
      <c r="F51" s="6" t="inlineStr">
        <is>
          <t>Success</t>
        </is>
      </c>
      <c r="G51" s="6" t="inlineStr">
        <is>
          <t>Easy</t>
        </is>
      </c>
      <c r="K51" s="4">
        <v>0.1547</v>
      </c>
      <c r="M51" s="6">
        <v>55</v>
      </c>
      <c r="N51" s="6" t="inlineStr">
        <is>
          <t>2026-10-02 14:37:23.683 | Minigame: Joaquin | Type: GuitarHit | Outcome: Success | Difficulty: Easy | ExpectedTime: 48.1280 | ActualTime: 48.2827 | TimingOffset: 0.1547 | TimingError: 0.1547 | ReactionTime: N/A | SpatialAccuracy: N/A | DirectionAccuracy: N/A | CorrectHand: N/A</t>
        </is>
      </c>
    </row>
    <row r="52" ht="17" customHeight="1">
      <c r="A52" s="0">
        <v>51</v>
      </c>
      <c r="B52" s="0" t="inlineStr">
        <is>
          <t>2026-10-02 14:37:25.841</t>
        </is>
      </c>
      <c r="C52" s="0" t="inlineStr">
        <is>
          <t>Interaction</t>
        </is>
      </c>
      <c r="D52" s="0" t="inlineStr">
        <is>
          <t>Joaquin</t>
        </is>
      </c>
      <c r="E52" s="0" t="inlineStr">
        <is>
          <t>GuitarHit</t>
        </is>
      </c>
      <c r="F52" s="0" t="inlineStr">
        <is>
          <t>Success</t>
        </is>
      </c>
      <c r="G52" s="0" t="inlineStr">
        <is>
          <t>Easy</t>
        </is>
      </c>
      <c r="K52" s="4">
        <v>0.0094</v>
      </c>
      <c r="M52" s="0">
        <v>56</v>
      </c>
      <c r="N52" s="0" t="inlineStr">
        <is>
          <t>2026-10-02 14:37:25.841 | Minigame: Joaquin | Type: GuitarHit | Outcome: Success | Difficulty: Easy | ExpectedTime: 50.4320 | ActualTime: 50.4414 | TimingOffset: 0.0094 | TimingError: 0.0094 | ReactionTime: N/A | SpatialAccuracy: N/A | DirectionAccuracy: N/A | CorrectHand: N/A</t>
        </is>
      </c>
    </row>
    <row r="53" ht="17" customHeight="1">
      <c r="A53" s="6">
        <v>52</v>
      </c>
      <c r="B53" s="6" t="inlineStr">
        <is>
          <t>2026-10-02 14:37:28.236</t>
        </is>
      </c>
      <c r="C53" s="6" t="inlineStr">
        <is>
          <t>Interaction</t>
        </is>
      </c>
      <c r="D53" s="6" t="inlineStr">
        <is>
          <t>Joaquin</t>
        </is>
      </c>
      <c r="E53" s="6" t="inlineStr">
        <is>
          <t>GuitarHit</t>
        </is>
      </c>
      <c r="F53" s="6" t="inlineStr">
        <is>
          <t>Success</t>
        </is>
      </c>
      <c r="G53" s="6" t="inlineStr">
        <is>
          <t>Easy</t>
        </is>
      </c>
      <c r="K53" s="4">
        <v>0.1003</v>
      </c>
      <c r="M53" s="6">
        <v>57</v>
      </c>
      <c r="N53" s="6" t="inlineStr">
        <is>
          <t>2026-10-02 14:37:28.236 | Minigame: Joaquin | Type: GuitarHit | Outcome: Success | Difficulty: Easy | ExpectedTime: 52.7360 | ActualTime: 52.8363 | TimingOffset: 0.1003 | TimingError: 0.1003 | ReactionTime: N/A | SpatialAccuracy: N/A | DirectionAccuracy: N/A | CorrectHand: N/A</t>
        </is>
      </c>
    </row>
    <row r="54" ht="17" customHeight="1">
      <c r="A54" s="0">
        <v>53</v>
      </c>
      <c r="B54" s="0" t="inlineStr">
        <is>
          <t>2026-10-02 14:37:28.236</t>
        </is>
      </c>
      <c r="C54" s="0" t="inlineStr">
        <is>
          <t>DifficultyChanged</t>
        </is>
      </c>
      <c r="D54" s="0" t="inlineStr">
        <is>
          <t>Joaquin</t>
        </is>
      </c>
      <c r="I54" s="0" t="inlineStr">
        <is>
          <t>Easy -&gt; Normal</t>
        </is>
      </c>
      <c r="J54" s="0" t="inlineStr">
        <is>
          <t>High recent performance</t>
        </is>
      </c>
      <c r="M54" s="0">
        <v>58</v>
      </c>
      <c r="N54" s="0" t="inlineStr">
        <is>
          <t>2026-10-02 14:37:28.236 | DifficultyChanged: Easy -&gt; Normal | Reason: High recent performance | Minigame: Joaquin | SuccessRate: 1.00</t>
        </is>
      </c>
    </row>
    <row r="55" ht="17" customHeight="1">
      <c r="A55" s="6">
        <v>54</v>
      </c>
      <c r="B55" s="6" t="inlineStr">
        <is>
          <t>2026-10-02 14:37:28.501</t>
        </is>
      </c>
      <c r="C55" s="6" t="inlineStr">
        <is>
          <t>Interaction</t>
        </is>
      </c>
      <c r="D55" s="6" t="inlineStr">
        <is>
          <t>Joaquin</t>
        </is>
      </c>
      <c r="E55" s="6" t="inlineStr">
        <is>
          <t>GuitarHit</t>
        </is>
      </c>
      <c r="F55" s="6" t="inlineStr">
        <is>
          <t>Success</t>
        </is>
      </c>
      <c r="G55" s="6" t="inlineStr">
        <is>
          <t>Normal</t>
        </is>
      </c>
      <c r="K55" s="4">
        <v>0.0188</v>
      </c>
      <c r="M55" s="6">
        <v>59</v>
      </c>
      <c r="N55" s="6" t="inlineStr">
        <is>
          <t>2026-10-02 14:37:28.501 | Minigame: Joaquin | Type: GuitarHit | Outcome: Success | Difficulty: Normal | ExpectedTime: 53.1200 | ActualTime: 53.1012 | TimingOffset: -0.0188 | TimingError: 0.0188 | ReactionTime: N/A | SpatialAccuracy: N/A | DirectionAccuracy: N/A | CorrectHand: N/A</t>
        </is>
      </c>
    </row>
    <row r="56" ht="17" customHeight="1">
      <c r="A56" s="0">
        <v>55</v>
      </c>
      <c r="B56" s="0" t="inlineStr">
        <is>
          <t>2026-10-02 14:37:30.910</t>
        </is>
      </c>
      <c r="C56" s="0" t="inlineStr">
        <is>
          <t>Interaction</t>
        </is>
      </c>
      <c r="D56" s="0" t="inlineStr">
        <is>
          <t>Joaquin</t>
        </is>
      </c>
      <c r="E56" s="0" t="inlineStr">
        <is>
          <t>GuitarHit</t>
        </is>
      </c>
      <c r="F56" s="0" t="inlineStr">
        <is>
          <t>Success</t>
        </is>
      </c>
      <c r="G56" s="0" t="inlineStr">
        <is>
          <t>Normal</t>
        </is>
      </c>
      <c r="K56" s="4">
        <v>0.0855</v>
      </c>
      <c r="M56" s="0">
        <v>60</v>
      </c>
      <c r="N56" s="0" t="inlineStr">
        <is>
          <t>2026-10-02 14:37:30.910 | Minigame: Joaquin | Type: GuitarHit | Outcome: Success | Difficulty: Normal | ExpectedTime: 55.4240 | ActualTime: 55.5095 | TimingOffset: 0.0855 | TimingError: 0.0855 | ReactionTime: N/A | SpatialAccuracy: N/A | DirectionAccuracy: N/A | CorrectHand: N/A</t>
        </is>
      </c>
    </row>
    <row r="57" ht="17" customHeight="1">
      <c r="A57" s="6">
        <v>56</v>
      </c>
      <c r="B57" s="6" t="inlineStr">
        <is>
          <t>2026-10-02 14:37:33.221</t>
        </is>
      </c>
      <c r="C57" s="6" t="inlineStr">
        <is>
          <t>Interaction</t>
        </is>
      </c>
      <c r="D57" s="6" t="inlineStr">
        <is>
          <t>Joaquin</t>
        </is>
      </c>
      <c r="E57" s="6" t="inlineStr">
        <is>
          <t>GuitarHit</t>
        </is>
      </c>
      <c r="F57" s="6" t="inlineStr">
        <is>
          <t>Success</t>
        </is>
      </c>
      <c r="G57" s="6" t="inlineStr">
        <is>
          <t>Normal</t>
        </is>
      </c>
      <c r="K57" s="4">
        <v>0.0935</v>
      </c>
      <c r="M57" s="6">
        <v>61</v>
      </c>
      <c r="N57" s="6" t="inlineStr">
        <is>
          <t>2026-10-02 14:37:33.221 | Minigame: Joaquin | Type: GuitarHit | Outcome: Success | Difficulty: Normal | ExpectedTime: 57.7280 | ActualTime: 57.8215 | TimingOffset: 0.0935 | TimingError: 0.0935 | ReactionTime: N/A | SpatialAccuracy: N/A | DirectionAccuracy: N/A | CorrectHand: N/A</t>
        </is>
      </c>
    </row>
    <row r="58" ht="17" customHeight="1">
      <c r="A58" s="0">
        <v>57</v>
      </c>
      <c r="B58" s="0" t="inlineStr">
        <is>
          <t>2026-10-02 14:37:35.923</t>
        </is>
      </c>
      <c r="C58" s="0" t="inlineStr">
        <is>
          <t>Interaction</t>
        </is>
      </c>
      <c r="D58" s="0" t="inlineStr">
        <is>
          <t>Joaquin</t>
        </is>
      </c>
      <c r="E58" s="0" t="inlineStr">
        <is>
          <t>GuitarHit</t>
        </is>
      </c>
      <c r="F58" s="0" t="inlineStr">
        <is>
          <t>Success</t>
        </is>
      </c>
      <c r="G58" s="0" t="inlineStr">
        <is>
          <t>Normal</t>
        </is>
      </c>
      <c r="K58" s="4">
        <v>0.1068</v>
      </c>
      <c r="M58" s="0">
        <v>62</v>
      </c>
      <c r="N58" s="0" t="inlineStr">
        <is>
          <t>2026-10-02 14:37:35.923 | Minigame: Joaquin | Type: GuitarHit | Outcome: Success | Difficulty: Normal | ExpectedTime: 60.4160 | ActualTime: 60.5228 | TimingOffset: 0.1068 | TimingError: 0.1068 | ReactionTime: N/A | SpatialAccuracy: N/A | DirectionAccuracy: N/A | CorrectHand: N/A</t>
        </is>
      </c>
    </row>
    <row r="59" ht="17" customHeight="1">
      <c r="A59" s="6">
        <v>58</v>
      </c>
      <c r="B59" s="6" t="inlineStr">
        <is>
          <t>2026-10-02 14:37:40.921</t>
        </is>
      </c>
      <c r="C59" s="6" t="inlineStr">
        <is>
          <t>PlayerState</t>
        </is>
      </c>
      <c r="H59" s="6" t="inlineStr">
        <is>
          <t>Idle</t>
        </is>
      </c>
      <c r="M59" s="6">
        <v>63</v>
      </c>
      <c r="N59" s="6" t="inlineStr">
        <is>
          <t>2026-10-02 14:37:40.921 | PlayerState: Idle</t>
        </is>
      </c>
    </row>
    <row r="60" ht="17" customHeight="1">
      <c r="A60" s="0">
        <v>59</v>
      </c>
      <c r="B60" s="0" t="inlineStr">
        <is>
          <t>2026-10-02 14:37:42.092</t>
        </is>
      </c>
      <c r="C60" s="0" t="inlineStr">
        <is>
          <t>Interaction</t>
        </is>
      </c>
      <c r="D60" s="0" t="inlineStr">
        <is>
          <t>Shipi</t>
        </is>
      </c>
      <c r="E60" s="0" t="inlineStr">
        <is>
          <t>FoodCut</t>
        </is>
      </c>
      <c r="F60" s="0" t="inlineStr">
        <is>
          <t>Success</t>
        </is>
      </c>
      <c r="G60" s="0" t="inlineStr">
        <is>
          <t>Normal</t>
        </is>
      </c>
      <c r="K60" s="4">
        <v>0.439</v>
      </c>
      <c r="L60" s="4">
        <v>1.2838</v>
      </c>
      <c r="M60" s="0">
        <v>64</v>
      </c>
      <c r="N60" s="0" t="inlineStr">
        <is>
          <t>2026-10-02 14:37:42.092 | Minigame: Shipi | Type: FoodCut | Outcome: Success | Difficulty: Normal | ExpectedTime: 66.2528 | ActualTime: 66.6918 | TimingOffset: 0.4390 | TimingError: 0.4390 | ReactionTime: 1.2838 | SpatialAccuracy: N/A | DirectionAccuracy: 1.0000 | CorrectHand: N/A</t>
        </is>
      </c>
    </row>
    <row r="61" ht="17" customHeight="1">
      <c r="A61" s="6">
        <v>60</v>
      </c>
      <c r="B61" s="6" t="inlineStr">
        <is>
          <t>2026-10-02 14:37:42.092</t>
        </is>
      </c>
      <c r="C61" s="6" t="inlineStr">
        <is>
          <t>PlayerState</t>
        </is>
      </c>
      <c r="H61" s="6" t="inlineStr">
        <is>
          <t>Engaged</t>
        </is>
      </c>
      <c r="M61" s="6">
        <v>65</v>
      </c>
      <c r="N61" s="6" t="inlineStr">
        <is>
          <t>2026-10-02 14:37:42.092 | PlayerState: Engaged</t>
        </is>
      </c>
    </row>
    <row r="62" ht="17" customHeight="1">
      <c r="A62" s="0">
        <v>61</v>
      </c>
      <c r="B62" s="0" t="inlineStr">
        <is>
          <t>2026-10-02 14:37:42.940</t>
        </is>
      </c>
      <c r="C62" s="0" t="inlineStr">
        <is>
          <t>Interaction</t>
        </is>
      </c>
      <c r="D62" s="0" t="inlineStr">
        <is>
          <t>Shipi</t>
        </is>
      </c>
      <c r="E62" s="0" t="inlineStr">
        <is>
          <t>FoodCut</t>
        </is>
      </c>
      <c r="F62" s="0" t="inlineStr">
        <is>
          <t>Success</t>
        </is>
      </c>
      <c r="G62" s="0" t="inlineStr">
        <is>
          <t>Normal</t>
        </is>
      </c>
      <c r="K62" s="4">
        <v>0.2479</v>
      </c>
      <c r="L62" s="4">
        <v>0.5969</v>
      </c>
      <c r="M62" s="0">
        <v>66</v>
      </c>
      <c r="N62" s="0" t="inlineStr">
        <is>
          <t>2026-10-02 14:37:42.940 | Minigame: Shipi | Type: FoodCut | Outcome: Success | Difficulty: Normal | ExpectedTime: 67.7888 | ActualTime: 67.5409 | TimingOffset: -0.2479 | TimingError: 0.2479 | ReactionTime: 0.5969 | SpatialAccuracy: N/A | DirectionAccuracy: 1.0000 | CorrectHand: N/A</t>
        </is>
      </c>
    </row>
    <row r="63" ht="17" customHeight="1">
      <c r="A63" s="6">
        <v>62</v>
      </c>
      <c r="B63" s="6" t="inlineStr">
        <is>
          <t>2026-10-02 14:37:44.319</t>
        </is>
      </c>
      <c r="C63" s="6" t="inlineStr">
        <is>
          <t>Interaction</t>
        </is>
      </c>
      <c r="D63" s="6" t="inlineStr">
        <is>
          <t>Shipi</t>
        </is>
      </c>
      <c r="E63" s="6" t="inlineStr">
        <is>
          <t>FoodCut</t>
        </is>
      </c>
      <c r="F63" s="6" t="inlineStr">
        <is>
          <t>Failed</t>
        </is>
      </c>
      <c r="G63" s="6" t="inlineStr">
        <is>
          <t>Normal</t>
        </is>
      </c>
      <c r="M63" s="6">
        <v>67</v>
      </c>
      <c r="N63" s="6" t="inlineStr">
        <is>
          <t>2026-10-02 14:37:44.319 | Minigame: Shipi | Type: FoodCut | Outcome: Failed | Difficulty: Normal | ExpectedTime: 69.3248 | ActualTime: N/A | TimingOffset: N/A | TimingError: N/A | ReactionTime: N/A | SpatialAccuracy: N/A | DirectionAccuracy: N/A | CorrectHand: N/A</t>
        </is>
      </c>
    </row>
    <row r="64" ht="17" customHeight="1">
      <c r="A64" s="0">
        <v>63</v>
      </c>
      <c r="B64" s="0" t="inlineStr">
        <is>
          <t>2026-10-02 14:37:46.017</t>
        </is>
      </c>
      <c r="C64" s="0" t="inlineStr">
        <is>
          <t>Interaction</t>
        </is>
      </c>
      <c r="D64" s="0" t="inlineStr">
        <is>
          <t>Shipi</t>
        </is>
      </c>
      <c r="E64" s="0" t="inlineStr">
        <is>
          <t>FoodCut</t>
        </is>
      </c>
      <c r="F64" s="0" t="inlineStr">
        <is>
          <t>Failed</t>
        </is>
      </c>
      <c r="G64" s="0" t="inlineStr">
        <is>
          <t>Normal</t>
        </is>
      </c>
      <c r="M64" s="0">
        <v>68</v>
      </c>
      <c r="N64" s="0" t="inlineStr">
        <is>
          <t>2026-10-02 14:37:46.017 | Minigame: Shipi | Type: FoodCut | Outcome: Failed | Difficulty: Normal | ExpectedTime: 70.8608 | ActualTime: N/A | TimingOffset: N/A | TimingError: N/A | ReactionTime: N/A | SpatialAccuracy: N/A | DirectionAccuracy: N/A | CorrectHand: N/A</t>
        </is>
      </c>
    </row>
    <row r="65" ht="17" customHeight="1">
      <c r="A65" s="6">
        <v>64</v>
      </c>
      <c r="B65" s="6" t="inlineStr">
        <is>
          <t>2026-10-02 14:37:47.577</t>
        </is>
      </c>
      <c r="C65" s="6" t="inlineStr">
        <is>
          <t>Interaction</t>
        </is>
      </c>
      <c r="D65" s="6" t="inlineStr">
        <is>
          <t>Shipi</t>
        </is>
      </c>
      <c r="E65" s="6" t="inlineStr">
        <is>
          <t>FoodCut</t>
        </is>
      </c>
      <c r="F65" s="6" t="inlineStr">
        <is>
          <t>Failed</t>
        </is>
      </c>
      <c r="G65" s="6" t="inlineStr">
        <is>
          <t>Normal</t>
        </is>
      </c>
      <c r="K65" s="4">
        <v>0.2192</v>
      </c>
      <c r="L65" s="4">
        <v>0.6256</v>
      </c>
      <c r="M65" s="6">
        <v>69</v>
      </c>
      <c r="N65" s="6" t="inlineStr">
        <is>
          <t>2026-10-02 14:37:47.577 | Minigame: Shipi | Type: FoodCut | Outcome: Failed | Difficulty: Normal | ExpectedTime: 72.3968 | ActualTime: 72.1776 | TimingOffset: -0.2192 | TimingError: 0.2192 | ReactionTime: 0.6256 | SpatialAccuracy: N/A | DirectionAccuracy: 0.0000 | CorrectHand: N/A</t>
        </is>
      </c>
    </row>
    <row r="66" ht="17" customHeight="1">
      <c r="A66" s="0">
        <v>65</v>
      </c>
      <c r="B66" s="0" t="inlineStr">
        <is>
          <t>2026-10-02 14:37:47.578</t>
        </is>
      </c>
      <c r="C66" s="0" t="inlineStr">
        <is>
          <t>PlayerState</t>
        </is>
      </c>
      <c r="H66" s="0" t="inlineStr">
        <is>
          <t>Overloaded</t>
        </is>
      </c>
      <c r="M66" s="0">
        <v>70</v>
      </c>
      <c r="N66" s="0" t="inlineStr">
        <is>
          <t>2026-10-02 14:37:47.578 | PlayerState: Overloaded</t>
        </is>
      </c>
    </row>
    <row r="67" ht="17" customHeight="1">
      <c r="A67" s="6">
        <v>66</v>
      </c>
      <c r="B67" s="6" t="inlineStr">
        <is>
          <t>2026-10-02 14:37:47.578</t>
        </is>
      </c>
      <c r="C67" s="6" t="inlineStr">
        <is>
          <t>DifficultyChanged</t>
        </is>
      </c>
      <c r="D67" s="6" t="inlineStr">
        <is>
          <t>Shipi</t>
        </is>
      </c>
      <c r="I67" s="6" t="inlineStr">
        <is>
          <t>Normal -&gt; Easy</t>
        </is>
      </c>
      <c r="J67" s="6" t="inlineStr">
        <is>
          <t>PlayerState: Overloaded</t>
        </is>
      </c>
      <c r="M67" s="6">
        <v>71</v>
      </c>
      <c r="N67" s="6" t="inlineStr">
        <is>
          <t>2026-10-02 14:37:47.578 | DifficultyChanged: Normal -&gt; Easy | Reason: PlayerState: Overloaded | Minigame: Shipi | RecentSuccessRate: 0.50</t>
        </is>
      </c>
    </row>
    <row r="68" ht="17" customHeight="1">
      <c r="A68" s="0">
        <v>67</v>
      </c>
      <c r="B68" s="0" t="inlineStr">
        <is>
          <t>2026-10-02 14:37:47.580</t>
        </is>
      </c>
      <c r="C68" s="0" t="inlineStr">
        <is>
          <t>PlayerState</t>
        </is>
      </c>
      <c r="H68" s="0" t="inlineStr">
        <is>
          <t>Engaged</t>
        </is>
      </c>
      <c r="M68" s="0">
        <v>72</v>
      </c>
      <c r="N68" s="0" t="inlineStr">
        <is>
          <t>2026-10-02 14:37:47.580 | PlayerState: Engaged</t>
        </is>
      </c>
    </row>
    <row r="69" ht="17" customHeight="1">
      <c r="A69" s="6">
        <v>68</v>
      </c>
      <c r="B69" s="6" t="inlineStr">
        <is>
          <t>2026-10-02 14:37:49.652</t>
        </is>
      </c>
      <c r="C69" s="6" t="inlineStr">
        <is>
          <t>Interaction</t>
        </is>
      </c>
      <c r="D69" s="6" t="inlineStr">
        <is>
          <t>Shipi</t>
        </is>
      </c>
      <c r="E69" s="6" t="inlineStr">
        <is>
          <t>FoodCut</t>
        </is>
      </c>
      <c r="F69" s="6" t="inlineStr">
        <is>
          <t>Failed</t>
        </is>
      </c>
      <c r="G69" s="6" t="inlineStr">
        <is>
          <t>Normal</t>
        </is>
      </c>
      <c r="K69" s="4">
        <v>0.2764</v>
      </c>
      <c r="L69" s="4">
        <v>0.7796</v>
      </c>
      <c r="M69" s="6">
        <v>73</v>
      </c>
      <c r="N69" s="6" t="inlineStr">
        <is>
          <t>2026-10-02 14:37:49.652 | Minigame: Shipi | Type: FoodCut | Outcome: Failed | Difficulty: Normal | ExpectedTime: 74.5280 | ActualTime: 74.2516 | TimingOffset: -0.2764 | TimingError: 0.2764 | ReactionTime: 0.7796 | SpatialAccuracy: N/A | DirectionAccuracy: 0.0000 | CorrectHand: N/A</t>
        </is>
      </c>
    </row>
    <row r="70" ht="17" customHeight="1">
      <c r="A70" s="0">
        <v>69</v>
      </c>
      <c r="B70" s="0" t="inlineStr">
        <is>
          <t>2026-10-02 14:37:51.642</t>
        </is>
      </c>
      <c r="C70" s="0" t="inlineStr">
        <is>
          <t>Interaction</t>
        </is>
      </c>
      <c r="D70" s="0" t="inlineStr">
        <is>
          <t>Shipi</t>
        </is>
      </c>
      <c r="E70" s="0" t="inlineStr">
        <is>
          <t>FoodCut</t>
        </is>
      </c>
      <c r="F70" s="0" t="inlineStr">
        <is>
          <t>Failed</t>
        </is>
      </c>
      <c r="G70" s="0" t="inlineStr">
        <is>
          <t>Normal</t>
        </is>
      </c>
      <c r="K70" s="4">
        <v>0.2051</v>
      </c>
      <c r="L70" s="4">
        <v>0.8509</v>
      </c>
      <c r="M70" s="0">
        <v>74</v>
      </c>
      <c r="N70" s="0" t="inlineStr">
        <is>
          <t>2026-10-02 14:37:51.642 | Minigame: Shipi | Type: FoodCut | Outcome: Failed | Difficulty: Normal | ExpectedTime: 76.4480 | ActualTime: 76.2429 | TimingOffset: -0.2051 | TimingError: 0.2051 | ReactionTime: 0.8509 | SpatialAccuracy: N/A | DirectionAccuracy: 0.0000 | CorrectHand: N/A</t>
        </is>
      </c>
    </row>
    <row r="71" ht="17" customHeight="1">
      <c r="A71" s="6">
        <v>70</v>
      </c>
      <c r="B71" s="6" t="inlineStr">
        <is>
          <t>2026-10-02 14:37:52.574</t>
        </is>
      </c>
      <c r="C71" s="6" t="inlineStr">
        <is>
          <t>PlayerState</t>
        </is>
      </c>
      <c r="H71" s="6" t="inlineStr">
        <is>
          <t>Idle</t>
        </is>
      </c>
      <c r="M71" s="6">
        <v>75</v>
      </c>
      <c r="N71" s="6" t="inlineStr">
        <is>
          <t>2026-10-02 14:37:52.574 | PlayerState: Idle</t>
        </is>
      </c>
    </row>
    <row r="72" ht="17" customHeight="1">
      <c r="A72" s="0">
        <v>71</v>
      </c>
      <c r="B72" s="0" t="inlineStr">
        <is>
          <t>2026-10-02 14:37:53.230</t>
        </is>
      </c>
      <c r="C72" s="0" t="inlineStr">
        <is>
          <t>Interaction</t>
        </is>
      </c>
      <c r="D72" s="0" t="inlineStr">
        <is>
          <t>Shipi</t>
        </is>
      </c>
      <c r="E72" s="0" t="inlineStr">
        <is>
          <t>FoodCut</t>
        </is>
      </c>
      <c r="F72" s="0" t="inlineStr">
        <is>
          <t>Success</t>
        </is>
      </c>
      <c r="G72" s="0" t="inlineStr">
        <is>
          <t>Easy</t>
        </is>
      </c>
      <c r="K72" s="4">
        <v>0.5381</v>
      </c>
      <c r="L72" s="4">
        <v>0.5179</v>
      </c>
      <c r="M72" s="0">
        <v>76</v>
      </c>
      <c r="N72" s="0" t="inlineStr">
        <is>
          <t>2026-10-02 14:37:53.230 | Minigame: Shipi | Type: FoodCut | Outcome: Success | Difficulty: Easy | ExpectedTime: 78.3680 | ActualTime: 77.8299 | TimingOffset: -0.5381 | TimingError: 0.5381 | ReactionTime: 0.5179 | SpatialAccuracy: N/A | DirectionAccuracy: 1.0000 | CorrectHand: N/A</t>
        </is>
      </c>
    </row>
    <row r="73" ht="17" customHeight="1">
      <c r="A73" s="6">
        <v>72</v>
      </c>
      <c r="B73" s="6" t="inlineStr">
        <is>
          <t>2026-10-02 14:37:53.230</t>
        </is>
      </c>
      <c r="C73" s="6" t="inlineStr">
        <is>
          <t>PlayerState</t>
        </is>
      </c>
      <c r="H73" s="6" t="inlineStr">
        <is>
          <t>Engaged</t>
        </is>
      </c>
      <c r="M73" s="6">
        <v>77</v>
      </c>
      <c r="N73" s="6" t="inlineStr">
        <is>
          <t>2026-10-02 14:37:53.230 | PlayerState: Engaged</t>
        </is>
      </c>
    </row>
    <row r="74" ht="17" customHeight="1">
      <c r="A74" s="0">
        <v>73</v>
      </c>
      <c r="B74" s="0" t="inlineStr">
        <is>
          <t>2026-10-02 14:37:55.109</t>
        </is>
      </c>
      <c r="C74" s="0" t="inlineStr">
        <is>
          <t>Interaction</t>
        </is>
      </c>
      <c r="D74" s="0" t="inlineStr">
        <is>
          <t>Shipi</t>
        </is>
      </c>
      <c r="E74" s="0" t="inlineStr">
        <is>
          <t>FoodCut</t>
        </is>
      </c>
      <c r="F74" s="0" t="inlineStr">
        <is>
          <t>Failed</t>
        </is>
      </c>
      <c r="G74" s="0" t="inlineStr">
        <is>
          <t>Easy</t>
        </is>
      </c>
      <c r="K74" s="4">
        <v>0.5785</v>
      </c>
      <c r="L74" s="4">
        <v>0.4775</v>
      </c>
      <c r="M74" s="0">
        <v>78</v>
      </c>
      <c r="N74" s="0" t="inlineStr">
        <is>
          <t>2026-10-02 14:37:55.109 | Minigame: Shipi | Type: FoodCut | Outcome: Failed | Difficulty: Easy | ExpectedTime: 80.2880 | ActualTime: 79.7095 | TimingOffset: -0.5785 | TimingError: 0.5785 | ReactionTime: 0.4775 | SpatialAccuracy: N/A | DirectionAccuracy: 0.0000 | CorrectHand: N/A</t>
        </is>
      </c>
    </row>
    <row r="75" ht="17" customHeight="1">
      <c r="A75" s="6">
        <v>74</v>
      </c>
      <c r="B75" s="6" t="inlineStr">
        <is>
          <t>2026-10-02 14:37:57.114</t>
        </is>
      </c>
      <c r="C75" s="6" t="inlineStr">
        <is>
          <t>Interaction</t>
        </is>
      </c>
      <c r="D75" s="6" t="inlineStr">
        <is>
          <t>Shipi</t>
        </is>
      </c>
      <c r="E75" s="6" t="inlineStr">
        <is>
          <t>FoodCut</t>
        </is>
      </c>
      <c r="F75" s="6" t="inlineStr">
        <is>
          <t>Failed</t>
        </is>
      </c>
      <c r="G75" s="6" t="inlineStr">
        <is>
          <t>Easy</t>
        </is>
      </c>
      <c r="K75" s="4">
        <v>0.4942</v>
      </c>
      <c r="L75" s="4">
        <v>0.5618</v>
      </c>
      <c r="M75" s="6">
        <v>79</v>
      </c>
      <c r="N75" s="6" t="inlineStr">
        <is>
          <t>2026-10-02 14:37:57.114 | Minigame: Shipi | Type: FoodCut | Outcome: Failed | Difficulty: Easy | ExpectedTime: 82.2080 | ActualTime: 81.7138 | TimingOffset: -0.4942 | TimingError: 0.4942 | ReactionTime: 0.5618 | SpatialAccuracy: N/A | DirectionAccuracy: 0.0000 | CorrectHand: N/A</t>
        </is>
      </c>
    </row>
    <row r="76" ht="17" customHeight="1">
      <c r="A76" s="0">
        <v>75</v>
      </c>
      <c r="B76" s="0" t="inlineStr">
        <is>
          <t>2026-10-02 14:37:59.272</t>
        </is>
      </c>
      <c r="C76" s="0" t="inlineStr">
        <is>
          <t>Interaction</t>
        </is>
      </c>
      <c r="D76" s="0" t="inlineStr">
        <is>
          <t>Shipi</t>
        </is>
      </c>
      <c r="E76" s="0" t="inlineStr">
        <is>
          <t>FoodCut</t>
        </is>
      </c>
      <c r="F76" s="0" t="inlineStr">
        <is>
          <t>Success</t>
        </is>
      </c>
      <c r="G76" s="0" t="inlineStr">
        <is>
          <t>Easy</t>
        </is>
      </c>
      <c r="K76" s="4">
        <v>0.2562</v>
      </c>
      <c r="L76" s="4">
        <v>0.7998</v>
      </c>
      <c r="M76" s="0">
        <v>80</v>
      </c>
      <c r="N76" s="0" t="inlineStr">
        <is>
          <t>2026-10-02 14:37:59.272 | Minigame: Shipi | Type: FoodCut | Outcome: Success | Difficulty: Easy | ExpectedTime: 84.1280 | ActualTime: 83.8718 | TimingOffset: -0.2562 | TimingError: 0.2562 | ReactionTime: 0.7998 | SpatialAccuracy: N/A | DirectionAccuracy: 1.0000 | CorrectHand: N/A</t>
        </is>
      </c>
    </row>
    <row r="77" ht="17" customHeight="1">
      <c r="A77" s="6">
        <v>76</v>
      </c>
      <c r="B77" s="6" t="inlineStr">
        <is>
          <t>2026-10-02 14:38:00.956</t>
        </is>
      </c>
      <c r="C77" s="6" t="inlineStr">
        <is>
          <t>Interaction</t>
        </is>
      </c>
      <c r="D77" s="6" t="inlineStr">
        <is>
          <t>Shipi</t>
        </is>
      </c>
      <c r="E77" s="6" t="inlineStr">
        <is>
          <t>FoodCut</t>
        </is>
      </c>
      <c r="F77" s="6" t="inlineStr">
        <is>
          <t>Success</t>
        </is>
      </c>
      <c r="G77" s="6" t="inlineStr">
        <is>
          <t>Easy</t>
        </is>
      </c>
      <c r="K77" s="4">
        <v>0.4918</v>
      </c>
      <c r="L77" s="4">
        <v>0.5642</v>
      </c>
      <c r="M77" s="6">
        <v>81</v>
      </c>
      <c r="N77" s="6" t="inlineStr">
        <is>
          <t>2026-10-02 14:38:00.956 | Minigame: Shipi | Type: FoodCut | Outcome: Success | Difficulty: Easy | ExpectedTime: 86.0480 | ActualTime: 85.5562 | TimingOffset: -0.4918 | TimingError: 0.4918 | ReactionTime: 0.5642 | SpatialAccuracy: N/A | DirectionAccuracy: 1.0000 | CorrectHand: N/A</t>
        </is>
      </c>
    </row>
    <row r="78" ht="17" customHeight="1">
      <c r="A78" s="0">
        <v>77</v>
      </c>
      <c r="B78" s="0" t="inlineStr">
        <is>
          <t>2026-10-02 14:38:03.170</t>
        </is>
      </c>
      <c r="C78" s="0" t="inlineStr">
        <is>
          <t>Interaction</t>
        </is>
      </c>
      <c r="D78" s="0" t="inlineStr">
        <is>
          <t>Shipi</t>
        </is>
      </c>
      <c r="E78" s="0" t="inlineStr">
        <is>
          <t>FoodCut</t>
        </is>
      </c>
      <c r="F78" s="0" t="inlineStr">
        <is>
          <t>Success</t>
        </is>
      </c>
      <c r="G78" s="0" t="inlineStr">
        <is>
          <t>Easy</t>
        </is>
      </c>
      <c r="K78" s="4">
        <v>0.1985</v>
      </c>
      <c r="L78" s="4">
        <v>0.8575</v>
      </c>
      <c r="M78" s="0">
        <v>82</v>
      </c>
      <c r="N78" s="0" t="inlineStr">
        <is>
          <t>2026-10-02 14:38:03.170 | Minigame: Shipi | Type: FoodCut | Outcome: Success | Difficulty: Easy | ExpectedTime: 87.9680 | ActualTime: 87.7695 | TimingOffset: -0.1985 | TimingError: 0.1985 | ReactionTime: 0.8575 | SpatialAccuracy: N/A | DirectionAccuracy: 1.0000 | CorrectHand: N/A</t>
        </is>
      </c>
    </row>
    <row r="79" ht="17" customHeight="1">
      <c r="A79" s="6">
        <v>78</v>
      </c>
      <c r="B79" s="6" t="inlineStr">
        <is>
          <t>2026-10-02 14:38:04.896</t>
        </is>
      </c>
      <c r="C79" s="6" t="inlineStr">
        <is>
          <t>Interaction</t>
        </is>
      </c>
      <c r="D79" s="6" t="inlineStr">
        <is>
          <t>Shipi</t>
        </is>
      </c>
      <c r="E79" s="6" t="inlineStr">
        <is>
          <t>FoodCut</t>
        </is>
      </c>
      <c r="F79" s="6" t="inlineStr">
        <is>
          <t>Failed</t>
        </is>
      </c>
      <c r="G79" s="6" t="inlineStr">
        <is>
          <t>Easy</t>
        </is>
      </c>
      <c r="K79" s="4">
        <v>0.3915</v>
      </c>
      <c r="L79" s="4">
        <v>0.6645</v>
      </c>
      <c r="M79" s="6">
        <v>83</v>
      </c>
      <c r="N79" s="6" t="inlineStr">
        <is>
          <t>2026-10-02 14:38:04.896 | Minigame: Shipi | Type: FoodCut | Outcome: Failed | Difficulty: Easy | ExpectedTime: 89.8880 | ActualTime: 89.4965 | TimingOffset: -0.3915 | TimingError: 0.3915 | ReactionTime: 0.6645 | SpatialAccuracy: N/A | DirectionAccuracy: 0.0000 | CorrectHand: N/A</t>
        </is>
      </c>
    </row>
    <row r="80" ht="17" customHeight="1">
      <c r="A80" s="0">
        <v>79</v>
      </c>
      <c r="B80" s="0" t="inlineStr">
        <is>
          <t>2026-10-02 14:38:07.082</t>
        </is>
      </c>
      <c r="C80" s="0" t="inlineStr">
        <is>
          <t>Interaction</t>
        </is>
      </c>
      <c r="D80" s="0" t="inlineStr">
        <is>
          <t>Shipi</t>
        </is>
      </c>
      <c r="E80" s="0" t="inlineStr">
        <is>
          <t>FoodCut</t>
        </is>
      </c>
      <c r="F80" s="0" t="inlineStr">
        <is>
          <t>Success</t>
        </is>
      </c>
      <c r="G80" s="0" t="inlineStr">
        <is>
          <t>Easy</t>
        </is>
      </c>
      <c r="K80" s="4">
        <v>0.126</v>
      </c>
      <c r="L80" s="4">
        <v>0.93</v>
      </c>
      <c r="M80" s="0">
        <v>84</v>
      </c>
      <c r="N80" s="0" t="inlineStr">
        <is>
          <t>2026-10-02 14:38:07.082 | Minigame: Shipi | Type: FoodCut | Outcome: Success | Difficulty: Easy | ExpectedTime: 91.8080 | ActualTime: 91.6820 | TimingOffset: -0.1260 | TimingError: 0.1260 | ReactionTime: 0.9300 | SpatialAccuracy: N/A | DirectionAccuracy: 1.0000 | CorrectHand: N/A</t>
        </is>
      </c>
    </row>
    <row r="81" ht="17" customHeight="1">
      <c r="A81" s="6">
        <v>80</v>
      </c>
      <c r="B81" s="6" t="inlineStr">
        <is>
          <t>2026-10-02 14:38:08.738</t>
        </is>
      </c>
      <c r="C81" s="6" t="inlineStr">
        <is>
          <t>Interaction</t>
        </is>
      </c>
      <c r="D81" s="6" t="inlineStr">
        <is>
          <t>Shipi</t>
        </is>
      </c>
      <c r="E81" s="6" t="inlineStr">
        <is>
          <t>FoodCut</t>
        </is>
      </c>
      <c r="F81" s="6" t="inlineStr">
        <is>
          <t>Success</t>
        </is>
      </c>
      <c r="G81" s="6" t="inlineStr">
        <is>
          <t>Easy</t>
        </is>
      </c>
      <c r="K81" s="4">
        <v>0.3887</v>
      </c>
      <c r="L81" s="4">
        <v>0.6673</v>
      </c>
      <c r="M81" s="6">
        <v>85</v>
      </c>
      <c r="N81" s="6" t="inlineStr">
        <is>
          <t>2026-10-02 14:38:08.738 | Minigame: Shipi | Type: FoodCut | Outcome: Success | Difficulty: Easy | ExpectedTime: 93.7280 | ActualTime: 93.3393 | TimingOffset: -0.3887 | TimingError: 0.3887 | ReactionTime: 0.6673 | SpatialAccuracy: N/A | DirectionAccuracy: 1.0000 | CorrectHand: N/A</t>
        </is>
      </c>
    </row>
    <row r="82" ht="17" customHeight="1">
      <c r="A82" s="0">
        <v>81</v>
      </c>
      <c r="B82" s="0" t="inlineStr">
        <is>
          <t>2026-10-02 14:38:11.397</t>
        </is>
      </c>
      <c r="C82" s="0" t="inlineStr">
        <is>
          <t>Interaction</t>
        </is>
      </c>
      <c r="D82" s="0" t="inlineStr">
        <is>
          <t>JuanAndres</t>
        </is>
      </c>
      <c r="E82" s="0" t="inlineStr">
        <is>
          <t>GroomStroke</t>
        </is>
      </c>
      <c r="F82" s="0" t="inlineStr">
        <is>
          <t>Failed</t>
        </is>
      </c>
      <c r="G82" s="0" t="inlineStr">
        <is>
          <t>Easy</t>
        </is>
      </c>
      <c r="K82" s="4">
        <v>0.7162</v>
      </c>
      <c r="M82" s="0">
        <v>86</v>
      </c>
      <c r="N82" s="0" t="inlineStr">
        <is>
          <t>2026-10-02 14:38:11.397 | Minigame: JuanAndres | Type: GroomStroke | Outcome: Failed | Difficulty: Easy | ExpectedTime: 94.9760 | ActualTime: 95.6922 | TimingOffset: 0.7162 | TimingError: 0.7162 | ReactionTime: N/A | SpatialAccuracy: N/A | DirectionAccuracy: 0.0000 | CorrectHand: True</t>
        </is>
      </c>
    </row>
    <row r="83" ht="17" customHeight="1">
      <c r="A83" s="6">
        <v>82</v>
      </c>
      <c r="B83" s="6" t="inlineStr">
        <is>
          <t>2026-10-02 14:38:13.500</t>
        </is>
      </c>
      <c r="C83" s="6" t="inlineStr">
        <is>
          <t>Interaction</t>
        </is>
      </c>
      <c r="D83" s="6" t="inlineStr">
        <is>
          <t>JuanAndres</t>
        </is>
      </c>
      <c r="E83" s="6" t="inlineStr">
        <is>
          <t>GroomStroke</t>
        </is>
      </c>
      <c r="F83" s="6" t="inlineStr">
        <is>
          <t>Failed</t>
        </is>
      </c>
      <c r="G83" s="6" t="inlineStr">
        <is>
          <t>Easy</t>
        </is>
      </c>
      <c r="K83" s="4">
        <v>1.5267</v>
      </c>
      <c r="M83" s="6">
        <v>87</v>
      </c>
      <c r="N83" s="6" t="inlineStr">
        <is>
          <t>2026-10-02 14:38:13.500 | Minigame: JuanAndres | Type: GroomStroke | Outcome: Failed | Difficulty: Easy | ExpectedTime: 96.1280 | ActualTime: 97.6547 | TimingOffset: 1.5267 | TimingError: 1.5267 | ReactionTime: N/A | SpatialAccuracy: N/A | DirectionAccuracy: 1.0000 | CorrectHand: False</t>
        </is>
      </c>
    </row>
    <row r="84" ht="17" customHeight="1">
      <c r="A84" s="0">
        <v>83</v>
      </c>
      <c r="B84" s="0" t="inlineStr">
        <is>
          <t>2026-10-02 14:38:14.362</t>
        </is>
      </c>
      <c r="C84" s="0" t="inlineStr">
        <is>
          <t>Interaction</t>
        </is>
      </c>
      <c r="D84" s="0" t="inlineStr">
        <is>
          <t>JuanAndres</t>
        </is>
      </c>
      <c r="E84" s="0" t="inlineStr">
        <is>
          <t>GroomStroke</t>
        </is>
      </c>
      <c r="F84" s="0" t="inlineStr">
        <is>
          <t>Success</t>
        </is>
      </c>
      <c r="G84" s="0" t="inlineStr">
        <is>
          <t>Easy</t>
        </is>
      </c>
      <c r="K84" s="4">
        <v>0.9651</v>
      </c>
      <c r="M84" s="0">
        <v>88</v>
      </c>
      <c r="N84" s="0" t="inlineStr">
        <is>
          <t>2026-10-02 14:38:14.362 | Minigame: JuanAndres | Type: GroomStroke | Outcome: Success | Difficulty: Easy | ExpectedTime: 97.6640 | ActualTime: 98.6291 | TimingOffset: 0.9651 | TimingError: 0.9651 | ReactionTime: N/A | SpatialAccuracy: N/A | DirectionAccuracy: 1.0000 | CorrectHand: True</t>
        </is>
      </c>
    </row>
    <row r="85" ht="17" customHeight="1">
      <c r="A85" s="6">
        <v>84</v>
      </c>
      <c r="B85" s="6" t="inlineStr">
        <is>
          <t>2026-10-02 14:38:17.621</t>
        </is>
      </c>
      <c r="C85" s="6" t="inlineStr">
        <is>
          <t>Interaction</t>
        </is>
      </c>
      <c r="D85" s="6" t="inlineStr">
        <is>
          <t>JuanAndres</t>
        </is>
      </c>
      <c r="E85" s="6" t="inlineStr">
        <is>
          <t>GroomStroke</t>
        </is>
      </c>
      <c r="F85" s="6" t="inlineStr">
        <is>
          <t>Success</t>
        </is>
      </c>
      <c r="G85" s="6" t="inlineStr">
        <is>
          <t>Easy</t>
        </is>
      </c>
      <c r="K85" s="4">
        <v>0.893</v>
      </c>
      <c r="M85" s="6">
        <v>89</v>
      </c>
      <c r="N85" s="6" t="inlineStr">
        <is>
          <t>2026-10-02 14:38:17.621 | Minigame: JuanAndres | Type: GroomStroke | Outcome: Success | Difficulty: Easy | ExpectedTime: 101.1200 | ActualTime: 102.0130 | TimingOffset: 0.8930 | TimingError: 0.8930 | ReactionTime: N/A | SpatialAccuracy: N/A | DirectionAccuracy: 1.0000 | CorrectHand: True</t>
        </is>
      </c>
    </row>
    <row r="86" ht="17" customHeight="1">
      <c r="A86" s="0">
        <v>85</v>
      </c>
      <c r="B86" s="0" t="inlineStr">
        <is>
          <t>2026-10-02 14:38:18.137</t>
        </is>
      </c>
      <c r="C86" s="0" t="inlineStr">
        <is>
          <t>Interaction</t>
        </is>
      </c>
      <c r="D86" s="0" t="inlineStr">
        <is>
          <t>JuanAndres</t>
        </is>
      </c>
      <c r="E86" s="0" t="inlineStr">
        <is>
          <t>GroomStroke</t>
        </is>
      </c>
      <c r="F86" s="0" t="inlineStr">
        <is>
          <t>Failed</t>
        </is>
      </c>
      <c r="G86" s="0" t="inlineStr">
        <is>
          <t>Easy</t>
        </is>
      </c>
      <c r="K86" s="4">
        <v>0.406</v>
      </c>
      <c r="M86" s="0">
        <v>90</v>
      </c>
      <c r="N86" s="0" t="inlineStr">
        <is>
          <t>2026-10-02 14:38:18.137 | Minigame: JuanAndres | Type: GroomStroke | Outcome: Failed | Difficulty: Easy | ExpectedTime: 102.6560 | ActualTime: 102.2500 | TimingOffset: -0.4060 | TimingError: 0.4060 | ReactionTime: N/A | SpatialAccuracy: N/A | DirectionAccuracy: 0.0000 | CorrectHand: False</t>
        </is>
      </c>
    </row>
    <row r="87" ht="17" customHeight="1">
      <c r="A87" s="6">
        <v>86</v>
      </c>
      <c r="B87" s="6" t="inlineStr">
        <is>
          <t>2026-10-02 14:38:18.138</t>
        </is>
      </c>
      <c r="C87" s="6" t="inlineStr">
        <is>
          <t>PlayerState</t>
        </is>
      </c>
      <c r="H87" s="6" t="inlineStr">
        <is>
          <t>Overloaded</t>
        </is>
      </c>
      <c r="M87" s="6">
        <v>91</v>
      </c>
      <c r="N87" s="6" t="inlineStr">
        <is>
          <t>2026-10-02 14:38:18.138 | PlayerState: Overloaded</t>
        </is>
      </c>
    </row>
    <row r="88" ht="17" customHeight="1">
      <c r="A88" s="0">
        <v>87</v>
      </c>
      <c r="B88" s="0" t="inlineStr">
        <is>
          <t>2026-10-02 14:38:23.136</t>
        </is>
      </c>
      <c r="C88" s="0" t="inlineStr">
        <is>
          <t>PlayerState</t>
        </is>
      </c>
      <c r="H88" s="0" t="inlineStr">
        <is>
          <t>Idle</t>
        </is>
      </c>
      <c r="M88" s="0">
        <v>92</v>
      </c>
      <c r="N88" s="0" t="inlineStr">
        <is>
          <t>2026-10-02 14:38:23.136 | PlayerState: Idle</t>
        </is>
      </c>
    </row>
    <row r="89" ht="17" customHeight="1">
      <c r="A89" s="6">
        <v>88</v>
      </c>
      <c r="B89" s="6" t="inlineStr">
        <is>
          <t>2026-10-02 14:38:24.723</t>
        </is>
      </c>
      <c r="C89" s="6" t="inlineStr">
        <is>
          <t>Interaction</t>
        </is>
      </c>
      <c r="D89" s="6" t="inlineStr">
        <is>
          <t>JuanAndres</t>
        </is>
      </c>
      <c r="E89" s="6" t="inlineStr">
        <is>
          <t>GroomStroke</t>
        </is>
      </c>
      <c r="F89" s="6" t="inlineStr">
        <is>
          <t>Failed</t>
        </is>
      </c>
      <c r="G89" s="6" t="inlineStr">
        <is>
          <t>Easy</t>
        </is>
      </c>
      <c r="K89" s="4">
        <v>2.1089</v>
      </c>
      <c r="M89" s="6">
        <v>93</v>
      </c>
      <c r="N89" s="6" t="inlineStr">
        <is>
          <t>2026-10-02 14:38:24.723 | Minigame: JuanAndres | Type: GroomStroke | Outcome: Failed | Difficulty: Easy | ExpectedTime: 104.1920 | ActualTime: 106.3009 | TimingOffset: 2.1089 | TimingError: 2.1089 | ReactionTime: N/A | SpatialAccuracy: N/A | DirectionAccuracy: 0.0000 | CorrectHand: True</t>
        </is>
      </c>
    </row>
    <row r="90" ht="17" customHeight="1">
      <c r="A90" s="0">
        <v>89</v>
      </c>
      <c r="B90" s="0" t="inlineStr">
        <is>
          <t>2026-10-02 14:38:24.723</t>
        </is>
      </c>
      <c r="C90" s="0" t="inlineStr">
        <is>
          <t>PlayerState</t>
        </is>
      </c>
      <c r="H90" s="0" t="inlineStr">
        <is>
          <t>Engaged</t>
        </is>
      </c>
      <c r="M90" s="0">
        <v>94</v>
      </c>
      <c r="N90" s="0" t="inlineStr">
        <is>
          <t>2026-10-02 14:38:24.723 | PlayerState: Engaged</t>
        </is>
      </c>
    </row>
    <row r="91" ht="17" customHeight="1">
      <c r="A91" s="6">
        <v>90</v>
      </c>
      <c r="B91" s="6" t="inlineStr">
        <is>
          <t>2026-10-02 14:38:26.365</t>
        </is>
      </c>
      <c r="C91" s="6" t="inlineStr">
        <is>
          <t>Interaction</t>
        </is>
      </c>
      <c r="D91" s="6" t="inlineStr">
        <is>
          <t>JuanAndres</t>
        </is>
      </c>
      <c r="E91" s="6" t="inlineStr">
        <is>
          <t>GroomStroke</t>
        </is>
      </c>
      <c r="F91" s="6" t="inlineStr">
        <is>
          <t>Missed</t>
        </is>
      </c>
      <c r="G91" s="6" t="inlineStr">
        <is>
          <t>Easy</t>
        </is>
      </c>
      <c r="M91" s="6">
        <v>95</v>
      </c>
      <c r="N91" s="6" t="inlineStr">
        <is>
          <t>2026-10-02 14:38:26.365 | Minigame: JuanAndres | Type: GroomStroke | Outcome: Missed | Difficulty: Easy | ExpectedTime: 104.9600 | ActualTime: N/A | TimingOffset: N/A | TimingError: N/A | ReactionTime: N/A | SpatialAccuracy: N/A | DirectionAccuracy: N/A | CorrectHand: N/A</t>
        </is>
      </c>
    </row>
    <row r="92" ht="17" customHeight="1">
      <c r="A92" s="0">
        <v>91</v>
      </c>
      <c r="B92" s="0" t="inlineStr">
        <is>
          <t>2026-10-02 14:38:28.120</t>
        </is>
      </c>
      <c r="C92" s="0" t="inlineStr">
        <is>
          <t>Interaction</t>
        </is>
      </c>
      <c r="D92" s="0" t="inlineStr">
        <is>
          <t>JuanAndres</t>
        </is>
      </c>
      <c r="E92" s="0" t="inlineStr">
        <is>
          <t>GroomStroke</t>
        </is>
      </c>
      <c r="F92" s="0" t="inlineStr">
        <is>
          <t>Failed</t>
        </is>
      </c>
      <c r="G92" s="0" t="inlineStr">
        <is>
          <t>Easy</t>
        </is>
      </c>
      <c r="K92" s="4">
        <v>1.5321</v>
      </c>
      <c r="M92" s="0">
        <v>96</v>
      </c>
      <c r="N92" s="0" t="inlineStr">
        <is>
          <t>2026-10-02 14:38:28.120 | Minigame: JuanAndres | Type: GroomStroke | Outcome: Failed | Difficulty: Easy | ExpectedTime: 111.1040 | ActualTime: 112.6361 | TimingOffset: 1.5321 | TimingError: 1.5321 | ReactionTime: N/A | SpatialAccuracy: N/A | DirectionAccuracy: 0.0000 | CorrectHand: True</t>
        </is>
      </c>
    </row>
    <row r="93" ht="17" customHeight="1">
      <c r="A93" s="6">
        <v>92</v>
      </c>
      <c r="B93" s="6" t="inlineStr">
        <is>
          <t>2026-10-02 14:38:29.790</t>
        </is>
      </c>
      <c r="C93" s="6" t="inlineStr">
        <is>
          <t>Interaction</t>
        </is>
      </c>
      <c r="D93" s="6" t="inlineStr">
        <is>
          <t>JuanAndres</t>
        </is>
      </c>
      <c r="E93" s="6" t="inlineStr">
        <is>
          <t>GroomStroke</t>
        </is>
      </c>
      <c r="F93" s="6" t="inlineStr">
        <is>
          <t>Failed</t>
        </is>
      </c>
      <c r="G93" s="6" t="inlineStr">
        <is>
          <t>Easy</t>
        </is>
      </c>
      <c r="K93" s="4">
        <v>0.4034</v>
      </c>
      <c r="M93" s="6">
        <v>97</v>
      </c>
      <c r="N93" s="6" t="inlineStr">
        <is>
          <t>2026-10-02 14:38:29.790 | Minigame: JuanAndres | Type: GroomStroke | Outcome: Failed | Difficulty: Easy | ExpectedTime: 113.7920 | ActualTime: 114.1954 | TimingOffset: 0.4034 | TimingError: 0.4034 | ReactionTime: N/A | SpatialAccuracy: N/A | DirectionAccuracy: 0.0000 | CorrectHand: True</t>
        </is>
      </c>
    </row>
    <row r="94" ht="17" customHeight="1">
      <c r="A94" s="0">
        <v>93</v>
      </c>
      <c r="B94" s="0" t="inlineStr">
        <is>
          <t>2026-10-02 14:38:29.901</t>
        </is>
      </c>
      <c r="C94" s="0" t="inlineStr">
        <is>
          <t>Interaction</t>
        </is>
      </c>
      <c r="D94" s="0" t="inlineStr">
        <is>
          <t>JuanAndres</t>
        </is>
      </c>
      <c r="E94" s="0" t="inlineStr">
        <is>
          <t>GroomStroke</t>
        </is>
      </c>
      <c r="F94" s="0" t="inlineStr">
        <is>
          <t>Failed</t>
        </is>
      </c>
      <c r="G94" s="0" t="inlineStr">
        <is>
          <t>Easy</t>
        </is>
      </c>
      <c r="K94" s="4">
        <v>1.2689</v>
      </c>
      <c r="M94" s="0">
        <v>98</v>
      </c>
      <c r="N94" s="0" t="inlineStr">
        <is>
          <t>2026-10-02 14:38:29.901 | Minigame: JuanAndres | Type: GroomStroke | Outcome: Failed | Difficulty: Easy | ExpectedTime: 113.0240 | ActualTime: 114.2929 | TimingOffset: 1.2689 | TimingError: 1.2689 | ReactionTime: N/A | SpatialAccuracy: N/A | DirectionAccuracy: 0.0000 | CorrectHand: True</t>
        </is>
      </c>
    </row>
    <row r="95" ht="17" customHeight="1">
      <c r="A95" s="6">
        <v>94</v>
      </c>
      <c r="B95" s="6" t="inlineStr">
        <is>
          <t>2026-10-02 14:38:29.903</t>
        </is>
      </c>
      <c r="C95" s="6" t="inlineStr">
        <is>
          <t>PlayerState</t>
        </is>
      </c>
      <c r="H95" s="6" t="inlineStr">
        <is>
          <t>Overloaded</t>
        </is>
      </c>
      <c r="M95" s="6">
        <v>99</v>
      </c>
      <c r="N95" s="6" t="inlineStr">
        <is>
          <t>2026-10-02 14:38:29.903 | PlayerState: Overloaded</t>
        </is>
      </c>
    </row>
    <row r="96" ht="17" customHeight="1">
      <c r="A96" s="0">
        <v>95</v>
      </c>
      <c r="B96" s="0" t="inlineStr">
        <is>
          <t>2026-10-02 14:38:32.142</t>
        </is>
      </c>
      <c r="C96" s="0" t="inlineStr">
        <is>
          <t>Interaction</t>
        </is>
      </c>
      <c r="D96" s="0" t="inlineStr">
        <is>
          <t>JuanAndres</t>
        </is>
      </c>
      <c r="E96" s="0" t="inlineStr">
        <is>
          <t>GroomStroke</t>
        </is>
      </c>
      <c r="F96" s="0" t="inlineStr">
        <is>
          <t>Failed</t>
        </is>
      </c>
      <c r="G96" s="0" t="inlineStr">
        <is>
          <t>Easy</t>
        </is>
      </c>
      <c r="K96" s="4">
        <v>0.48</v>
      </c>
      <c r="M96" s="0">
        <v>100</v>
      </c>
      <c r="N96" s="0" t="inlineStr">
        <is>
          <t>2026-10-02 14:38:32.142 | Minigame: JuanAndres | Type: GroomStroke | Outcome: Failed | Difficulty: Easy | ExpectedTime: 116.0960 | ActualTime: 116.5760 | TimingOffset: 0.4800 | TimingError: 0.4800 | ReactionTime: N/A | SpatialAccuracy: N/A | DirectionAccuracy: 0.0000 | CorrectHand: True</t>
        </is>
      </c>
    </row>
    <row r="97" ht="17" customHeight="1">
      <c r="A97" s="6">
        <v>96</v>
      </c>
      <c r="B97" s="6" t="inlineStr">
        <is>
          <t>2026-10-02 14:38:32.922</t>
        </is>
      </c>
      <c r="C97" s="6" t="inlineStr">
        <is>
          <t>Interaction</t>
        </is>
      </c>
      <c r="D97" s="6" t="inlineStr">
        <is>
          <t>JuanAndres</t>
        </is>
      </c>
      <c r="E97" s="6" t="inlineStr">
        <is>
          <t>GroomStroke</t>
        </is>
      </c>
      <c r="F97" s="6" t="inlineStr">
        <is>
          <t>Success</t>
        </is>
      </c>
      <c r="G97" s="6" t="inlineStr">
        <is>
          <t>Easy</t>
        </is>
      </c>
      <c r="K97" s="4">
        <v>0.0238</v>
      </c>
      <c r="M97" s="6">
        <v>101</v>
      </c>
      <c r="N97" s="6" t="inlineStr">
        <is>
          <t>2026-10-02 14:38:32.922 | Minigame: JuanAndres | Type: GroomStroke | Outcome: Success | Difficulty: Easy | ExpectedTime: 117.2480 | ActualTime: 117.2718 | TimingOffset: 0.0238 | TimingError: 0.0238 | ReactionTime: N/A | SpatialAccuracy: N/A | DirectionAccuracy: 1.0000 | CorrectHand: True</t>
        </is>
      </c>
    </row>
    <row r="98" ht="17" customHeight="1">
      <c r="A98" s="0">
        <v>97</v>
      </c>
      <c r="B98" s="0" t="inlineStr">
        <is>
          <t>2026-10-02 14:38:36.082</t>
        </is>
      </c>
      <c r="C98" s="0" t="inlineStr">
        <is>
          <t>Interaction</t>
        </is>
      </c>
      <c r="D98" s="0" t="inlineStr">
        <is>
          <t>JuanAndres</t>
        </is>
      </c>
      <c r="E98" s="0" t="inlineStr">
        <is>
          <t>GroomStroke</t>
        </is>
      </c>
      <c r="F98" s="0" t="inlineStr">
        <is>
          <t>Success</t>
        </is>
      </c>
      <c r="G98" s="0" t="inlineStr">
        <is>
          <t>Easy</t>
        </is>
      </c>
      <c r="K98" s="4">
        <v>0.4821</v>
      </c>
      <c r="M98" s="0">
        <v>102</v>
      </c>
      <c r="N98" s="0" t="inlineStr">
        <is>
          <t>2026-10-02 14:38:36.082 | Minigame: JuanAndres | Type: GroomStroke | Outcome: Success | Difficulty: Easy | ExpectedTime: 119.9360 | ActualTime: 120.4181 | TimingOffset: 0.4821 | TimingError: 0.4821 | ReactionTime: N/A | SpatialAccuracy: N/A | DirectionAccuracy: 1.0000 | CorrectHand: True</t>
        </is>
      </c>
    </row>
    <row r="99" ht="17" customHeight="1">
      <c r="A99" s="6">
        <v>98</v>
      </c>
      <c r="B99" s="6" t="inlineStr">
        <is>
          <t>2026-10-02 14:38:37.321</t>
        </is>
      </c>
      <c r="C99" s="6" t="inlineStr">
        <is>
          <t>Interaction</t>
        </is>
      </c>
      <c r="D99" s="6" t="inlineStr">
        <is>
          <t>JuanAndres</t>
        </is>
      </c>
      <c r="E99" s="6" t="inlineStr">
        <is>
          <t>GroomStroke</t>
        </is>
      </c>
      <c r="F99" s="6" t="inlineStr">
        <is>
          <t>Success</t>
        </is>
      </c>
      <c r="G99" s="6" t="inlineStr">
        <is>
          <t>Easy</t>
        </is>
      </c>
      <c r="K99" s="4">
        <v>3.2159</v>
      </c>
      <c r="M99" s="6">
        <v>103</v>
      </c>
      <c r="N99" s="6" t="inlineStr">
        <is>
          <t>2026-10-02 14:38:37.321 | Minigame: JuanAndres | Type: GroomStroke | Outcome: Success | Difficulty: Easy | ExpectedTime: 118.4000 | ActualTime: 121.6159 | TimingOffset: 3.2159 | TimingError: 3.2159 | ReactionTime: N/A | SpatialAccuracy: N/A | DirectionAccuracy: 1.0000 | CorrectHand: True</t>
        </is>
      </c>
    </row>
    <row r="100" ht="17" customHeight="1">
      <c r="A100" s="0">
        <v>99</v>
      </c>
      <c r="B100" s="0" t="inlineStr">
        <is>
          <t>2026-10-02 14:38:39.493</t>
        </is>
      </c>
      <c r="C100" s="0" t="inlineStr">
        <is>
          <t>Interaction</t>
        </is>
      </c>
      <c r="D100" s="0" t="inlineStr">
        <is>
          <t>JuanAndres</t>
        </is>
      </c>
      <c r="E100" s="0" t="inlineStr">
        <is>
          <t>GroomStroke</t>
        </is>
      </c>
      <c r="F100" s="0" t="inlineStr">
        <is>
          <t>Success</t>
        </is>
      </c>
      <c r="G100" s="0" t="inlineStr">
        <is>
          <t>Easy</t>
        </is>
      </c>
      <c r="K100" s="4">
        <v>0.5632</v>
      </c>
      <c r="M100" s="0">
        <v>104</v>
      </c>
      <c r="N100" s="0" t="inlineStr">
        <is>
          <t>2026-10-02 14:38:39.493 | Minigame: JuanAndres | Type: GroomStroke | Outcome: Success | Difficulty: Easy | ExpectedTime: 123.3920 | ActualTime: 123.9552 | TimingOffset: 0.5632 | TimingError: 0.5632 | ReactionTime: N/A | SpatialAccuracy: N/A | DirectionAccuracy: 1.0000 | CorrectHand: True</t>
        </is>
      </c>
    </row>
    <row r="101" ht="17" customHeight="1">
      <c r="A101" s="6">
        <v>100</v>
      </c>
      <c r="B101" s="6" t="inlineStr">
        <is>
          <t>2026-10-02 14:38:42.190</t>
        </is>
      </c>
      <c r="C101" s="6" t="inlineStr">
        <is>
          <t>Interaction</t>
        </is>
      </c>
      <c r="D101" s="6" t="inlineStr">
        <is>
          <t>Danniel</t>
        </is>
      </c>
      <c r="E101" s="6" t="inlineStr">
        <is>
          <t>GunShoot</t>
        </is>
      </c>
      <c r="F101" s="6" t="inlineStr">
        <is>
          <t>Success</t>
        </is>
      </c>
      <c r="G101" s="6" t="inlineStr">
        <is>
          <t>Easy</t>
        </is>
      </c>
      <c r="K101" s="4">
        <v>0.0485</v>
      </c>
      <c r="M101" s="6">
        <v>105</v>
      </c>
      <c r="N101" s="6" t="inlineStr">
        <is>
          <t>2026-10-02 14:38:42.190 | Minigame: Danniel | Type: GunShoot | Outcome: Success | Difficulty: Easy | ExpectedTime: 126.4640 | ActualTime: 126.5125 | TimingOffset: 0.0485 | TimingError: 0.0485 | ReactionTime: N/A | SpatialAccuracy: N/A | DirectionAccuracy: N/A | CorrectHand: N/A</t>
        </is>
      </c>
    </row>
    <row r="102" ht="17" customHeight="1">
      <c r="A102" s="0">
        <v>101</v>
      </c>
      <c r="B102" s="0" t="inlineStr">
        <is>
          <t>2026-10-02 14:38:42.192</t>
        </is>
      </c>
      <c r="C102" s="0" t="inlineStr">
        <is>
          <t>PlayerState</t>
        </is>
      </c>
      <c r="H102" s="0" t="inlineStr">
        <is>
          <t>Engaged</t>
        </is>
      </c>
      <c r="M102" s="0">
        <v>106</v>
      </c>
      <c r="N102" s="0" t="inlineStr">
        <is>
          <t>2026-10-02 14:38:42.192 | PlayerState: Engaged</t>
        </is>
      </c>
    </row>
    <row r="103" ht="17" customHeight="1">
      <c r="A103" s="6">
        <v>102</v>
      </c>
      <c r="B103" s="6" t="inlineStr">
        <is>
          <t>2026-10-02 14:38:44.837</t>
        </is>
      </c>
      <c r="C103" s="6" t="inlineStr">
        <is>
          <t>Interaction</t>
        </is>
      </c>
      <c r="D103" s="6" t="inlineStr">
        <is>
          <t>Danniel</t>
        </is>
      </c>
      <c r="E103" s="6" t="inlineStr">
        <is>
          <t>GunShoot</t>
        </is>
      </c>
      <c r="F103" s="6" t="inlineStr">
        <is>
          <t>Success</t>
        </is>
      </c>
      <c r="G103" s="6" t="inlineStr">
        <is>
          <t>Easy</t>
        </is>
      </c>
      <c r="K103" s="4">
        <v>0.1048</v>
      </c>
      <c r="M103" s="6">
        <v>107</v>
      </c>
      <c r="N103" s="6" t="inlineStr">
        <is>
          <t>2026-10-02 14:38:44.837 | Minigame: Danniel | Type: GunShoot | Outcome: Success | Difficulty: Easy | ExpectedTime: 129.1520 | ActualTime: 129.0472 | TimingOffset: -0.1048 | TimingError: 0.1048 | ReactionTime: N/A | SpatialAccuracy: N/A | DirectionAccuracy: N/A | CorrectHand: N/A</t>
        </is>
      </c>
    </row>
    <row r="104" ht="17" customHeight="1">
      <c r="A104" s="0">
        <v>103</v>
      </c>
      <c r="B104" s="0" t="inlineStr">
        <is>
          <t>2026-10-02 14:38:46.173</t>
        </is>
      </c>
      <c r="C104" s="0" t="inlineStr">
        <is>
          <t>Interaction</t>
        </is>
      </c>
      <c r="D104" s="0" t="inlineStr">
        <is>
          <t>Danniel</t>
        </is>
      </c>
      <c r="E104" s="0" t="inlineStr">
        <is>
          <t>PlayerHit</t>
        </is>
      </c>
      <c r="F104" s="0" t="inlineStr">
        <is>
          <t>Failed</t>
        </is>
      </c>
      <c r="G104" s="0" t="inlineStr">
        <is>
          <t>Easy</t>
        </is>
      </c>
      <c r="M104" s="0">
        <v>108</v>
      </c>
      <c r="N104" s="0" t="inlineStr">
        <is>
          <t>2026-10-02 14:38:46.173 | Minigame: Danniel | Type: PlayerHit | Outcome: Failed | Difficulty: Easy | ExpectedTime: 130.7733 | ActualTime: N/A | TimingOffset: N/A | TimingError: N/A | ReactionTime: N/A | SpatialAccuracy: N/A | DirectionAccuracy: N/A | CorrectHand: N/A</t>
        </is>
      </c>
    </row>
    <row r="105" ht="17" customHeight="1">
      <c r="A105" s="6">
        <v>104</v>
      </c>
      <c r="B105" s="6" t="inlineStr">
        <is>
          <t>2026-10-02 14:38:46.800</t>
        </is>
      </c>
      <c r="C105" s="6" t="inlineStr">
        <is>
          <t>Interaction</t>
        </is>
      </c>
      <c r="D105" s="6" t="inlineStr">
        <is>
          <t>Danniel</t>
        </is>
      </c>
      <c r="E105" s="6" t="inlineStr">
        <is>
          <t>GunShoot</t>
        </is>
      </c>
      <c r="F105" s="6" t="inlineStr">
        <is>
          <t>Success</t>
        </is>
      </c>
      <c r="G105" s="6" t="inlineStr">
        <is>
          <t>Easy</t>
        </is>
      </c>
      <c r="K105" s="4">
        <v>0.0575</v>
      </c>
      <c r="M105" s="6">
        <v>109</v>
      </c>
      <c r="N105" s="6" t="inlineStr">
        <is>
          <t>2026-10-02 14:38:46.800 | Minigame: Danniel | Type: GunShoot | Outcome: Success | Difficulty: Easy | ExpectedTime: 130.6880 | ActualTime: 130.7455 | TimingOffset: 0.0575 | TimingError: 0.0575 | ReactionTime: N/A | SpatialAccuracy: N/A | DirectionAccuracy: N/A | CorrectHand: N/A</t>
        </is>
      </c>
    </row>
    <row r="106" ht="17" customHeight="1">
      <c r="A106" s="0">
        <v>105</v>
      </c>
      <c r="B106" s="0" t="inlineStr">
        <is>
          <t>2026-10-02 14:38:50.154</t>
        </is>
      </c>
      <c r="C106" s="0" t="inlineStr">
        <is>
          <t>Interaction</t>
        </is>
      </c>
      <c r="D106" s="0" t="inlineStr">
        <is>
          <t>Danniel</t>
        </is>
      </c>
      <c r="E106" s="0" t="inlineStr">
        <is>
          <t>GunShoot</t>
        </is>
      </c>
      <c r="F106" s="0" t="inlineStr">
        <is>
          <t>Success</t>
        </is>
      </c>
      <c r="G106" s="0" t="inlineStr">
        <is>
          <t>Easy</t>
        </is>
      </c>
      <c r="K106" s="4">
        <v>0.1043</v>
      </c>
      <c r="M106" s="0">
        <v>110</v>
      </c>
      <c r="N106" s="0" t="inlineStr">
        <is>
          <t>2026-10-02 14:38:50.154 | Minigame: Danniel | Type: GunShoot | Outcome: Success | Difficulty: Easy | ExpectedTime: 133.7600 | ActualTime: 133.6557 | TimingOffset: -0.1043 | TimingError: 0.1043 | ReactionTime: N/A | SpatialAccuracy: N/A | DirectionAccuracy: N/A | CorrectHand: N/A</t>
        </is>
      </c>
    </row>
    <row r="107" ht="17" customHeight="1">
      <c r="A107" s="6">
        <v>106</v>
      </c>
      <c r="B107" s="6" t="inlineStr">
        <is>
          <t>2026-10-02 14:38:51.102</t>
        </is>
      </c>
      <c r="C107" s="6" t="inlineStr">
        <is>
          <t>Interaction</t>
        </is>
      </c>
      <c r="D107" s="6" t="inlineStr">
        <is>
          <t>Danniel</t>
        </is>
      </c>
      <c r="E107" s="6" t="inlineStr">
        <is>
          <t>GunShoot</t>
        </is>
      </c>
      <c r="F107" s="6" t="inlineStr">
        <is>
          <t>Failed</t>
        </is>
      </c>
      <c r="G107" s="6" t="inlineStr">
        <is>
          <t>Easy</t>
        </is>
      </c>
      <c r="M107" s="6">
        <v>111</v>
      </c>
      <c r="N107" s="6" t="inlineStr">
        <is>
          <t>2026-10-02 14:38:51.102 | Minigame: Danniel | Type: GunShoot | Outcome: Failed | Difficulty: Easy | ExpectedTime: 135.7021 | ActualTime: N/A | TimingOffset: N/A | TimingError: N/A | ReactionTime: N/A | SpatialAccuracy: N/A | DirectionAccuracy: N/A | CorrectHand: N/A</t>
        </is>
      </c>
    </row>
    <row r="108" ht="17" customHeight="1">
      <c r="A108" s="0">
        <v>107</v>
      </c>
      <c r="B108" s="0" t="inlineStr">
        <is>
          <t>2026-10-02 14:38:54.262</t>
        </is>
      </c>
      <c r="C108" s="0" t="inlineStr">
        <is>
          <t>Interaction</t>
        </is>
      </c>
      <c r="D108" s="0" t="inlineStr">
        <is>
          <t>Danniel</t>
        </is>
      </c>
      <c r="E108" s="0" t="inlineStr">
        <is>
          <t>GunShoot</t>
        </is>
      </c>
      <c r="F108" s="0" t="inlineStr">
        <is>
          <t>Success</t>
        </is>
      </c>
      <c r="G108" s="0" t="inlineStr">
        <is>
          <t>Easy</t>
        </is>
      </c>
      <c r="K108" s="4">
        <v>0.0849</v>
      </c>
      <c r="M108" s="0">
        <v>112</v>
      </c>
      <c r="N108" s="0" t="inlineStr">
        <is>
          <t>2026-10-02 14:38:54.262 | Minigame: Danniel | Type: GunShoot | Outcome: Success | Difficulty: Easy | ExpectedTime: 137.9840 | ActualTime: 138.0689 | TimingOffset: 0.0849 | TimingError: 0.0849 | ReactionTime: N/A | SpatialAccuracy: N/A | DirectionAccuracy: N/A | CorrectHand: N/A</t>
        </is>
      </c>
    </row>
    <row r="109" ht="17" customHeight="1">
      <c r="A109" s="6">
        <v>108</v>
      </c>
      <c r="B109" s="6" t="inlineStr">
        <is>
          <t>2026-10-02 14:38:55.223</t>
        </is>
      </c>
      <c r="C109" s="6" t="inlineStr">
        <is>
          <t>Interaction</t>
        </is>
      </c>
      <c r="D109" s="6" t="inlineStr">
        <is>
          <t>Danniel</t>
        </is>
      </c>
      <c r="E109" s="6" t="inlineStr">
        <is>
          <t>GunShoot</t>
        </is>
      </c>
      <c r="F109" s="6" t="inlineStr">
        <is>
          <t>Failed</t>
        </is>
      </c>
      <c r="G109" s="6" t="inlineStr">
        <is>
          <t>Easy</t>
        </is>
      </c>
      <c r="M109" s="6">
        <v>113</v>
      </c>
      <c r="N109" s="6" t="inlineStr">
        <is>
          <t>2026-10-02 14:38:55.223 | Minigame: Danniel | Type: GunShoot | Outcome: Failed | Difficulty: Easy | ExpectedTime: 139.8221 | ActualTime: N/A | TimingOffset: N/A | TimingError: N/A | ReactionTime: N/A | SpatialAccuracy: N/A | DirectionAccuracy: N/A | CorrectHand: N/A</t>
        </is>
      </c>
    </row>
    <row r="110" ht="17" customHeight="1">
      <c r="A110" s="0">
        <v>109</v>
      </c>
      <c r="B110" s="0" t="inlineStr">
        <is>
          <t>2026-10-02 14:38:56.922</t>
        </is>
      </c>
      <c r="C110" s="0" t="inlineStr">
        <is>
          <t>Interaction</t>
        </is>
      </c>
      <c r="D110" s="0" t="inlineStr">
        <is>
          <t>Danniel</t>
        </is>
      </c>
      <c r="E110" s="0" t="inlineStr">
        <is>
          <t>GunShoot</t>
        </is>
      </c>
      <c r="F110" s="0" t="inlineStr">
        <is>
          <t>Success</t>
        </is>
      </c>
      <c r="G110" s="0" t="inlineStr">
        <is>
          <t>Easy</t>
        </is>
      </c>
      <c r="K110" s="4">
        <v>0.0002</v>
      </c>
      <c r="M110" s="0">
        <v>114</v>
      </c>
      <c r="N110" s="0" t="inlineStr">
        <is>
          <t>2026-10-02 14:38:56.922 | Minigame: Danniel | Type: GunShoot | Outcome: Success | Difficulty: Easy | ExpectedTime: 140.6720 | ActualTime: 140.6722 | TimingOffset: 0.0002 | TimingError: 0.0002 | ReactionTime: N/A | SpatialAccuracy: N/A | DirectionAccuracy: N/A | CorrectHand: N/A</t>
        </is>
      </c>
    </row>
    <row r="111" ht="17" customHeight="1">
      <c r="A111" s="6">
        <v>110</v>
      </c>
      <c r="B111" s="6" t="inlineStr">
        <is>
          <t>2026-10-02 14:38:59.539</t>
        </is>
      </c>
      <c r="C111" s="6" t="inlineStr">
        <is>
          <t>Interaction</t>
        </is>
      </c>
      <c r="D111" s="6" t="inlineStr">
        <is>
          <t>Danniel</t>
        </is>
      </c>
      <c r="E111" s="6" t="inlineStr">
        <is>
          <t>GunShoot</t>
        </is>
      </c>
      <c r="F111" s="6" t="inlineStr">
        <is>
          <t>Success</t>
        </is>
      </c>
      <c r="G111" s="6" t="inlineStr">
        <is>
          <t>Easy</t>
        </is>
      </c>
      <c r="K111" s="4">
        <v>0.1752</v>
      </c>
      <c r="M111" s="6">
        <v>115</v>
      </c>
      <c r="N111" s="6" t="inlineStr">
        <is>
          <t>2026-10-02 14:38:59.539 | Minigame: Danniel | Type: GunShoot | Outcome: Success | Difficulty: Easy | ExpectedTime: 143.7440 | ActualTime: 143.5688 | TimingOffset: -0.1752 | TimingError: 0.1752 | ReactionTime: N/A | SpatialAccuracy: N/A | DirectionAccuracy: N/A | CorrectHand: N/A</t>
        </is>
      </c>
    </row>
    <row r="112" ht="17" customHeight="1">
      <c r="A112" s="0">
        <v>111</v>
      </c>
      <c r="B112" s="0" t="inlineStr">
        <is>
          <t>2026-10-02 14:39:00.457</t>
        </is>
      </c>
      <c r="C112" s="0" t="inlineStr">
        <is>
          <t>Interaction</t>
        </is>
      </c>
      <c r="D112" s="0" t="inlineStr">
        <is>
          <t>Danniel</t>
        </is>
      </c>
      <c r="E112" s="0" t="inlineStr">
        <is>
          <t>PlayerHit</t>
        </is>
      </c>
      <c r="F112" s="0" t="inlineStr">
        <is>
          <t>Failed</t>
        </is>
      </c>
      <c r="G112" s="0" t="inlineStr">
        <is>
          <t>Easy</t>
        </is>
      </c>
      <c r="M112" s="0">
        <v>116</v>
      </c>
      <c r="N112" s="0" t="inlineStr">
        <is>
          <t>2026-10-02 14:39:00.457 | Minigame: Danniel | Type: PlayerHit | Outcome: Failed | Difficulty: Easy | ExpectedTime: 145.0582 | ActualTime: N/A | TimingOffset: N/A | TimingError: N/A | ReactionTime: N/A | SpatialAccuracy: N/A | DirectionAccuracy: N/A | CorrectHand: N/A</t>
        </is>
      </c>
    </row>
    <row r="113" ht="17" customHeight="1">
      <c r="A113" s="6">
        <v>112</v>
      </c>
      <c r="B113" s="6" t="inlineStr">
        <is>
          <t>2026-10-02 14:39:04.538</t>
        </is>
      </c>
      <c r="C113" s="6" t="inlineStr">
        <is>
          <t>PlayerState</t>
        </is>
      </c>
      <c r="H113" s="6" t="inlineStr">
        <is>
          <t>Idle</t>
        </is>
      </c>
      <c r="M113" s="6">
        <v>117</v>
      </c>
      <c r="N113" s="6" t="inlineStr">
        <is>
          <t>2026-10-02 14:39:04.538 | PlayerState: Idle</t>
        </is>
      </c>
    </row>
    <row r="114" ht="17" customHeight="1">
      <c r="A114" s="0">
        <v>113</v>
      </c>
      <c r="B114" s="0" t="inlineStr">
        <is>
          <t>2026-10-02 14:39:05.650</t>
        </is>
      </c>
      <c r="C114" s="0" t="inlineStr">
        <is>
          <t>Interaction</t>
        </is>
      </c>
      <c r="D114" s="0" t="inlineStr">
        <is>
          <t>Danniel</t>
        </is>
      </c>
      <c r="E114" s="0" t="inlineStr">
        <is>
          <t>GunShoot</t>
        </is>
      </c>
      <c r="F114" s="0" t="inlineStr">
        <is>
          <t>Success</t>
        </is>
      </c>
      <c r="G114" s="0" t="inlineStr">
        <is>
          <t>Easy</t>
        </is>
      </c>
      <c r="K114" s="4">
        <v>0.0927</v>
      </c>
      <c r="M114" s="0">
        <v>118</v>
      </c>
      <c r="N114" s="0" t="inlineStr">
        <is>
          <t>2026-10-02 14:39:05.650 | Minigame: Danniel | Type: GunShoot | Outcome: Success | Difficulty: Easy | ExpectedTime: 149.5040 | ActualTime: 149.5967 | TimingOffset: 0.0927 | TimingError: 0.0927 | ReactionTime: N/A | SpatialAccuracy: N/A | DirectionAccuracy: N/A | CorrectHand: N/A</t>
        </is>
      </c>
    </row>
    <row r="115" ht="17" customHeight="1">
      <c r="A115" s="6">
        <v>114</v>
      </c>
      <c r="B115" s="6" t="inlineStr">
        <is>
          <t>2026-10-02 14:39:05.651</t>
        </is>
      </c>
      <c r="C115" s="6" t="inlineStr">
        <is>
          <t>PlayerState</t>
        </is>
      </c>
      <c r="H115" s="6" t="inlineStr">
        <is>
          <t>Engaged</t>
        </is>
      </c>
      <c r="M115" s="6">
        <v>119</v>
      </c>
      <c r="N115" s="6" t="inlineStr">
        <is>
          <t>2026-10-02 14:39:05.651 | PlayerState: Engaged</t>
        </is>
      </c>
    </row>
    <row r="116" ht="17" customHeight="1">
      <c r="A116" s="0">
        <v>115</v>
      </c>
      <c r="B116" s="0" t="inlineStr">
        <is>
          <t>2026-10-02 14:39:08.324</t>
        </is>
      </c>
      <c r="C116" s="0" t="inlineStr">
        <is>
          <t>Interaction</t>
        </is>
      </c>
      <c r="D116" s="0" t="inlineStr">
        <is>
          <t>Danniel</t>
        </is>
      </c>
      <c r="E116" s="0" t="inlineStr">
        <is>
          <t>GunShoot</t>
        </is>
      </c>
      <c r="F116" s="0" t="inlineStr">
        <is>
          <t>Missed</t>
        </is>
      </c>
      <c r="G116" s="0" t="inlineStr">
        <is>
          <t>Easy</t>
        </is>
      </c>
      <c r="M116" s="0">
        <v>120</v>
      </c>
      <c r="N116" s="0" t="inlineStr">
        <is>
          <t>2026-10-02 14:39:08.324 | Minigame: Danniel | Type: GunShoot | Outcome: Missed | Difficulty: Easy | ExpectedTime: 152.9241 | ActualTime: N/A | TimingOffset: N/A | TimingError: N/A | ReactionTime: N/A | SpatialAccuracy: N/A | DirectionAccuracy: N/A | CorrectHand: N/A</t>
        </is>
      </c>
    </row>
    <row r="117" ht="17" customHeight="1">
      <c r="A117" s="6">
        <v>116</v>
      </c>
      <c r="B117" s="6" t="inlineStr">
        <is>
          <t>2026-10-02 14:39:09.117</t>
        </is>
      </c>
      <c r="C117" s="6" t="inlineStr">
        <is>
          <t>Interaction</t>
        </is>
      </c>
      <c r="D117" s="6" t="inlineStr">
        <is>
          <t>Danniel</t>
        </is>
      </c>
      <c r="E117" s="6" t="inlineStr">
        <is>
          <t>GunShoot</t>
        </is>
      </c>
      <c r="F117" s="6" t="inlineStr">
        <is>
          <t>Success</t>
        </is>
      </c>
      <c r="G117" s="6" t="inlineStr">
        <is>
          <t>Easy</t>
        </is>
      </c>
      <c r="K117" s="4">
        <v>0.0106</v>
      </c>
      <c r="M117" s="6">
        <v>121</v>
      </c>
      <c r="N117" s="6" t="inlineStr">
        <is>
          <t>2026-10-02 14:39:09.117 | Minigame: Danniel | Type: GunShoot | Outcome: Success | Difficulty: Easy | ExpectedTime: 153.3440 | ActualTime: 153.3546 | TimingOffset: 0.0106 | TimingError: 0.0106 | ReactionTime: N/A | SpatialAccuracy: N/A | DirectionAccuracy: N/A | CorrectHand: N/A</t>
        </is>
      </c>
    </row>
    <row r="118" ht="17" customHeight="1">
      <c r="A118" s="0">
        <v>117</v>
      </c>
      <c r="B118" s="0" t="inlineStr">
        <is>
          <t>2026-10-02 14:39:10.941</t>
        </is>
      </c>
      <c r="C118" s="0" t="inlineStr">
        <is>
          <t>Interaction</t>
        </is>
      </c>
      <c r="D118" s="0" t="inlineStr">
        <is>
          <t>Danniel</t>
        </is>
      </c>
      <c r="E118" s="0" t="inlineStr">
        <is>
          <t>GunShoot</t>
        </is>
      </c>
      <c r="F118" s="0" t="inlineStr">
        <is>
          <t>Success</t>
        </is>
      </c>
      <c r="G118" s="0" t="inlineStr">
        <is>
          <t>Easy</t>
        </is>
      </c>
      <c r="K118" s="4">
        <v>0.1826</v>
      </c>
      <c r="M118" s="0">
        <v>122</v>
      </c>
      <c r="N118" s="0" t="inlineStr">
        <is>
          <t>2026-10-02 14:39:10.941 | Minigame: Danniel | Type: GunShoot | Outcome: Success | Difficulty: Easy | ExpectedTime: 155.2640 | ActualTime: 155.0814 | TimingOffset: -0.1826 | TimingError: 0.1826 | ReactionTime: N/A | SpatialAccuracy: N/A | DirectionAccuracy: N/A | CorrectHand: N/A</t>
        </is>
      </c>
    </row>
    <row r="119" ht="17" customHeight="1">
      <c r="A119" s="6">
        <v>118</v>
      </c>
      <c r="B119" s="6" t="inlineStr">
        <is>
          <t>2026-10-02 14:39:15.942</t>
        </is>
      </c>
      <c r="C119" s="6" t="inlineStr">
        <is>
          <t>PlayerState</t>
        </is>
      </c>
      <c r="H119" s="6" t="inlineStr">
        <is>
          <t>Idle</t>
        </is>
      </c>
      <c r="M119" s="6">
        <v>123</v>
      </c>
      <c r="N119" s="6" t="inlineStr">
        <is>
          <t>2026-10-02 14:39:15.942 | PlayerState: Idle</t>
        </is>
      </c>
    </row>
    <row r="120" ht="17" customHeight="1">
      <c r="A120" s="0">
        <v>119</v>
      </c>
      <c r="B120" s="0" t="inlineStr">
        <is>
          <t>2026-10-02 14:39:23.181</t>
        </is>
      </c>
      <c r="C120" s="0" t="inlineStr">
        <is>
          <t>Interaction</t>
        </is>
      </c>
      <c r="D120" s="0" t="inlineStr">
        <is>
          <t>Jeremy</t>
        </is>
      </c>
      <c r="E120" s="0" t="inlineStr">
        <is>
          <t>SwordCut</t>
        </is>
      </c>
      <c r="F120" s="0" t="inlineStr">
        <is>
          <t>Success</t>
        </is>
      </c>
      <c r="G120" s="0" t="inlineStr">
        <is>
          <t>Easy</t>
        </is>
      </c>
      <c r="K120" s="4">
        <v>0.0759</v>
      </c>
      <c r="M120" s="0">
        <v>124</v>
      </c>
      <c r="N120" s="0" t="inlineStr">
        <is>
          <t>2026-10-02 14:39:23.181 | Minigame: Jeremy | Type: SwordCut | Outcome: Success | Difficulty: Easy | ExpectedTime: 167.7061 | ActualTime: 167.7820 | TimingOffset: 0.0759 | TimingError: 0.0759 | ReactionTime: N/A | SpatialAccuracy: N/A | DirectionAccuracy: 1.0000 | CorrectHand: True</t>
        </is>
      </c>
    </row>
    <row r="121" ht="17" customHeight="1">
      <c r="A121" s="6">
        <v>120</v>
      </c>
      <c r="B121" s="6" t="inlineStr">
        <is>
          <t>2026-10-02 14:39:23.183</t>
        </is>
      </c>
      <c r="C121" s="6" t="inlineStr">
        <is>
          <t>PlayerState</t>
        </is>
      </c>
      <c r="H121" s="6" t="inlineStr">
        <is>
          <t>Engaged</t>
        </is>
      </c>
      <c r="M121" s="6">
        <v>125</v>
      </c>
      <c r="N121" s="6" t="inlineStr">
        <is>
          <t>2026-10-02 14:39:23.183 | PlayerState: Engaged</t>
        </is>
      </c>
    </row>
    <row r="122" ht="17" customHeight="1">
      <c r="A122" s="0">
        <v>121</v>
      </c>
      <c r="B122" s="0" t="inlineStr">
        <is>
          <t>2026-10-02 14:39:26.050</t>
        </is>
      </c>
      <c r="C122" s="0" t="inlineStr">
        <is>
          <t>Interaction</t>
        </is>
      </c>
      <c r="D122" s="0" t="inlineStr">
        <is>
          <t>Jeremy</t>
        </is>
      </c>
      <c r="E122" s="0" t="inlineStr">
        <is>
          <t>SwordCut</t>
        </is>
      </c>
      <c r="F122" s="0" t="inlineStr">
        <is>
          <t>Missed</t>
        </is>
      </c>
      <c r="G122" s="0" t="inlineStr">
        <is>
          <t>Easy</t>
        </is>
      </c>
      <c r="M122" s="0">
        <v>126</v>
      </c>
      <c r="N122" s="0" t="inlineStr">
        <is>
          <t>2026-10-02 14:39:26.050 | Minigame: Jeremy | Type: SwordCut | Outcome: Missed | Difficulty: Easy | ExpectedTime: 170.0049 | ActualTime: N/A | TimingOffset: N/A | TimingError: N/A | ReactionTime: N/A | SpatialAccuracy: N/A | DirectionAccuracy: N/A | CorrectHand: N/A</t>
        </is>
      </c>
    </row>
    <row r="123" ht="17" customHeight="1">
      <c r="A123" s="6">
        <v>122</v>
      </c>
      <c r="B123" s="6" t="inlineStr">
        <is>
          <t>2026-10-02 14:39:27.999</t>
        </is>
      </c>
      <c r="C123" s="6" t="inlineStr">
        <is>
          <t>Interaction</t>
        </is>
      </c>
      <c r="D123" s="6" t="inlineStr">
        <is>
          <t>Jeremy</t>
        </is>
      </c>
      <c r="E123" s="6" t="inlineStr">
        <is>
          <t>SwordCut</t>
        </is>
      </c>
      <c r="F123" s="6" t="inlineStr">
        <is>
          <t>Failed</t>
        </is>
      </c>
      <c r="G123" s="6" t="inlineStr">
        <is>
          <t>Easy</t>
        </is>
      </c>
      <c r="K123" s="4">
        <v>0.2956</v>
      </c>
      <c r="M123" s="6">
        <v>127</v>
      </c>
      <c r="N123" s="6" t="inlineStr">
        <is>
          <t>2026-10-02 14:39:27.999 | Minigame: Jeremy | Type: SwordCut | Outcome: Failed | Difficulty: Easy | ExpectedTime: 172.3037 | ActualTime: 172.5993 | TimingOffset: 0.2956 | TimingError: 0.2956 | ReactionTime: N/A | SpatialAccuracy: N/A | DirectionAccuracy: 0.0000 | CorrectHand: True</t>
        </is>
      </c>
    </row>
    <row r="124" ht="17" customHeight="1">
      <c r="A124" s="0">
        <v>123</v>
      </c>
      <c r="B124" s="0" t="inlineStr">
        <is>
          <t>2026-10-02 14:39:30.283</t>
        </is>
      </c>
      <c r="C124" s="0" t="inlineStr">
        <is>
          <t>Interaction</t>
        </is>
      </c>
      <c r="D124" s="0" t="inlineStr">
        <is>
          <t>Jeremy</t>
        </is>
      </c>
      <c r="E124" s="0" t="inlineStr">
        <is>
          <t>SwordCut</t>
        </is>
      </c>
      <c r="F124" s="0" t="inlineStr">
        <is>
          <t>Success</t>
        </is>
      </c>
      <c r="G124" s="0" t="inlineStr">
        <is>
          <t>Easy</t>
        </is>
      </c>
      <c r="K124" s="4">
        <v>0.2804</v>
      </c>
      <c r="M124" s="0">
        <v>128</v>
      </c>
      <c r="N124" s="0" t="inlineStr">
        <is>
          <t>2026-10-02 14:39:30.283 | Minigame: Jeremy | Type: SwordCut | Outcome: Success | Difficulty: Easy | ExpectedTime: 174.6024 | ActualTime: 174.8828 | TimingOffset: 0.2804 | TimingError: 0.2804 | ReactionTime: N/A | SpatialAccuracy: N/A | DirectionAccuracy: 1.0000 | CorrectHand: True</t>
        </is>
      </c>
    </row>
    <row r="125" ht="17" customHeight="1">
      <c r="A125" s="6">
        <v>124</v>
      </c>
      <c r="B125" s="6" t="inlineStr">
        <is>
          <t>2026-10-02 14:39:32.635</t>
        </is>
      </c>
      <c r="C125" s="6" t="inlineStr">
        <is>
          <t>Interaction</t>
        </is>
      </c>
      <c r="D125" s="6" t="inlineStr">
        <is>
          <t>Jeremy</t>
        </is>
      </c>
      <c r="E125" s="6" t="inlineStr">
        <is>
          <t>SwordCut</t>
        </is>
      </c>
      <c r="F125" s="6" t="inlineStr">
        <is>
          <t>Success</t>
        </is>
      </c>
      <c r="G125" s="6" t="inlineStr">
        <is>
          <t>Easy</t>
        </is>
      </c>
      <c r="K125" s="4">
        <v>0.3348</v>
      </c>
      <c r="M125" s="6">
        <v>129</v>
      </c>
      <c r="N125" s="6" t="inlineStr">
        <is>
          <t>2026-10-02 14:39:32.635 | Minigame: Jeremy | Type: SwordCut | Outcome: Success | Difficulty: Easy | ExpectedTime: 176.9012 | ActualTime: 177.2360 | TimingOffset: 0.3348 | TimingError: 0.3348 | ReactionTime: N/A | SpatialAccuracy: N/A | DirectionAccuracy: 1.0000 | CorrectHand: True</t>
        </is>
      </c>
    </row>
    <row r="126" ht="17" customHeight="1">
      <c r="A126" s="0">
        <v>125</v>
      </c>
      <c r="B126" s="0" t="inlineStr">
        <is>
          <t>2026-10-02 14:39:34.890</t>
        </is>
      </c>
      <c r="C126" s="0" t="inlineStr">
        <is>
          <t>Interaction</t>
        </is>
      </c>
      <c r="D126" s="0" t="inlineStr">
        <is>
          <t>Jeremy</t>
        </is>
      </c>
      <c r="E126" s="0" t="inlineStr">
        <is>
          <t>SwordCut</t>
        </is>
      </c>
      <c r="F126" s="0" t="inlineStr">
        <is>
          <t>Success</t>
        </is>
      </c>
      <c r="G126" s="0" t="inlineStr">
        <is>
          <t>Easy</t>
        </is>
      </c>
      <c r="K126" s="4">
        <v>0.2914</v>
      </c>
      <c r="M126" s="0">
        <v>130</v>
      </c>
      <c r="N126" s="0" t="inlineStr">
        <is>
          <t>2026-10-02 14:39:34.890 | Minigame: Jeremy | Type: SwordCut | Outcome: Success | Difficulty: Easy | ExpectedTime: 179.2000 | ActualTime: 179.4914 | TimingOffset: 0.2914 | TimingError: 0.2914 | ReactionTime: N/A | SpatialAccuracy: N/A | DirectionAccuracy: 1.0000 | CorrectHand: True</t>
        </is>
      </c>
    </row>
    <row r="127" ht="17" customHeight="1">
      <c r="A127" s="6">
        <v>126</v>
      </c>
      <c r="B127" s="6" t="inlineStr">
        <is>
          <t>2026-10-02 14:39:37.160</t>
        </is>
      </c>
      <c r="C127" s="6" t="inlineStr">
        <is>
          <t>Interaction</t>
        </is>
      </c>
      <c r="D127" s="6" t="inlineStr">
        <is>
          <t>Jeremy</t>
        </is>
      </c>
      <c r="E127" s="6" t="inlineStr">
        <is>
          <t>SwordCut</t>
        </is>
      </c>
      <c r="F127" s="6" t="inlineStr">
        <is>
          <t>Success</t>
        </is>
      </c>
      <c r="G127" s="6" t="inlineStr">
        <is>
          <t>Easy</t>
        </is>
      </c>
      <c r="K127" s="4">
        <v>0.2616</v>
      </c>
      <c r="M127" s="6">
        <v>131</v>
      </c>
      <c r="N127" s="6" t="inlineStr">
        <is>
          <t>2026-10-02 14:39:37.160 | Minigame: Jeremy | Type: SwordCut | Outcome: Success | Difficulty: Easy | ExpectedTime: 181.4988 | ActualTime: 181.7604 | TimingOffset: 0.2616 | TimingError: 0.2616 | ReactionTime: N/A | SpatialAccuracy: N/A | DirectionAccuracy: 1.0000 | CorrectHand: True</t>
        </is>
      </c>
    </row>
    <row r="128" ht="17" customHeight="1">
      <c r="A128" s="0">
        <v>127</v>
      </c>
      <c r="B128" s="0" t="inlineStr">
        <is>
          <t>2026-10-02 14:39:42.159</t>
        </is>
      </c>
      <c r="C128" s="0" t="inlineStr">
        <is>
          <t>PlayerState</t>
        </is>
      </c>
      <c r="H128" s="0" t="inlineStr">
        <is>
          <t>Idle</t>
        </is>
      </c>
      <c r="M128" s="0">
        <v>132</v>
      </c>
      <c r="N128" s="0" t="inlineStr">
        <is>
          <t>2026-10-02 14:39:42.159 | PlayerState: Idle</t>
        </is>
      </c>
    </row>
  </sheetData>
  <autoFilter ref="A1:N128"/>
  <pageMargins left="0.4" right="0.4" top="0.7" bottom="0.7" header="0.3" footer="0.3"/>
</worksheet>
</file>

<file path=xl/worksheets/sheet8.xml><?xml version="1.0" encoding="utf-8"?>
<worksheet xmlns="http://schemas.openxmlformats.org/spreadsheetml/2006/main">
  <dimension ref="A1:C22"/>
  <sheetViews>
    <sheetView workbookViewId="0">
      <pane ySplit="4" topLeftCell="A5" activePane="bottomLeft" state="frozen"/>
    </sheetView>
  </sheetViews>
  <sheetFormatPr defaultRowHeight="17"/>
  <cols>
    <col min="1" max="1" width="26" customWidth="1"/>
    <col min="2" max="2" width="54" customWidth="1"/>
    <col min="3" max="3" width="64" customWidth="1"/>
  </cols>
  <sheetData>
    <row r="1" ht="30" customHeight="1">
      <c r="A1" s="2" t="inlineStr">
        <is>
          <t>Guía de lectura de los registros</t>
        </is>
      </c>
    </row>
    <row r="2" ht="17" customHeight="1"/>
    <row r="3" ht="17" customHeight="1"/>
    <row r="4" ht="22" customHeight="1">
      <c r="A4" s="1" t="inlineStr">
        <is>
          <t>Campo</t>
        </is>
      </c>
      <c r="B4" s="1" t="inlineStr">
        <is>
          <t>Interpretación</t>
        </is>
      </c>
      <c r="C4" s="1" t="inlineStr">
        <is>
          <t>Precaución</t>
        </is>
      </c>
    </row>
    <row r="5" ht="17" customHeight="1">
      <c r="A5" s="6" t="inlineStr">
        <is>
          <t>IdEvento</t>
        </is>
      </c>
      <c r="B5" s="6" t="inlineStr">
        <is>
          <t>Orden de aparición en el archivo</t>
        </is>
      </c>
      <c r="C5" s="6" t="inlineStr">
        <is>
          <t>Permite relacionar interacciones, DDA y estados</t>
        </is>
      </c>
    </row>
    <row r="6" ht="17" customHeight="1">
      <c r="A6" s="0" t="inlineStr">
        <is>
          <t>FechaHora</t>
        </is>
      </c>
      <c r="B6" s="0" t="inlineStr">
        <is>
          <t>Fecha y hora del evento</t>
        </is>
      </c>
      <c r="C6" s="0" t="inlineStr">
        <is>
          <t>Hora local de la fuente; zona horaria no indicada</t>
        </is>
      </c>
    </row>
    <row r="7" ht="17" customHeight="1">
      <c r="A7" s="6" t="inlineStr">
        <is>
          <t>Participante</t>
        </is>
      </c>
      <c r="B7" s="6" t="inlineStr">
        <is>
          <t>Identificador de la sesión</t>
        </is>
      </c>
      <c r="C7" s="6" t="inlineStr">
        <is>
          <t>Conserva el ID de cada TXT para cruces con encuestas</t>
        </is>
      </c>
    </row>
    <row r="8" ht="17" customHeight="1">
      <c r="A8" s="0" t="inlineStr">
        <is>
          <t>Resultado</t>
        </is>
      </c>
      <c r="B8" s="0" t="inlineStr">
        <is>
          <t>Success, Failed o Missed</t>
        </is>
      </c>
      <c r="C8" s="0" t="inlineStr">
        <is>
          <t>Se conservan las categorías originales</t>
        </is>
      </c>
    </row>
    <row r="9" ht="17" customHeight="1">
      <c r="A9" s="6" t="inlineStr">
        <is>
          <t>TipoAccion</t>
        </is>
      </c>
      <c r="B9" s="6" t="inlineStr">
        <is>
          <t>Tipo concreto de interacción</t>
        </is>
      </c>
      <c r="C9" s="6" t="inlineStr">
        <is>
          <t>HammerTouch y HammerHit se mantienen separados</t>
        </is>
      </c>
    </row>
    <row r="10" ht="17" customHeight="1">
      <c r="A10" s="0" t="inlineStr">
        <is>
          <t>TiempoEsperado_s</t>
        </is>
      </c>
      <c r="B10" s="0" t="inlineStr">
        <is>
          <t>Tiempo objetivo declarado por el log</t>
        </is>
      </c>
      <c r="C10" s="0" t="inlineStr">
        <is>
          <t>Segundos según el registro</t>
        </is>
      </c>
    </row>
    <row r="11" ht="17" customHeight="1">
      <c r="A11" s="6" t="inlineStr">
        <is>
          <t>TiempoReal_s</t>
        </is>
      </c>
      <c r="B11" s="6" t="inlineStr">
        <is>
          <t>Tiempo de ejecución declarado por el log</t>
        </is>
      </c>
      <c r="C11" s="6" t="inlineStr">
        <is>
          <t>Puede estar ausente incluso con Success</t>
        </is>
      </c>
    </row>
    <row r="12" ht="17" customHeight="1">
      <c r="A12" s="0" t="inlineStr">
        <is>
          <t>DesfaseTiming_s</t>
        </is>
      </c>
      <c r="B12" s="0" t="inlineStr">
        <is>
          <t>Diferencia con signo entre tiempos</t>
        </is>
      </c>
      <c r="C12" s="0" t="inlineStr">
        <is>
          <t>Negativo: ejecución anticipada</t>
        </is>
      </c>
    </row>
    <row r="13" ht="17" customHeight="1">
      <c r="A13" s="6" t="inlineStr">
        <is>
          <t>ErrorTiming_s</t>
        </is>
      </c>
      <c r="B13" s="6" t="inlineStr">
        <is>
          <t>Error temporal reportado</t>
        </is>
      </c>
      <c r="C13" s="6" t="inlineStr">
        <is>
          <t>Promedio solo de valores disponibles</t>
        </is>
      </c>
    </row>
    <row r="14" ht="17" customHeight="1">
      <c r="A14" s="0" t="inlineStr">
        <is>
          <t>TiempoReaccion_s</t>
        </is>
      </c>
      <c r="B14" s="0" t="inlineStr">
        <is>
          <t>Tiempo de reacción reportado</t>
        </is>
      </c>
      <c r="C14" s="0" t="inlineStr">
        <is>
          <t>N/A no debe interpretarse como 0</t>
        </is>
      </c>
    </row>
    <row r="15" ht="17" customHeight="1">
      <c r="A15" s="6" t="inlineStr">
        <is>
          <t>PrecisionEspacial</t>
        </is>
      </c>
      <c r="B15" s="6" t="inlineStr">
        <is>
          <t>Precisión espacial si se registró</t>
        </is>
      </c>
      <c r="C15" s="6" t="inlineStr">
        <is>
          <t>Si todos los datos faltan, promedio vacío</t>
        </is>
      </c>
    </row>
    <row r="16" ht="17" customHeight="1">
      <c r="A16" s="0" t="inlineStr">
        <is>
          <t>PrecisionDireccion</t>
        </is>
      </c>
      <c r="B16" s="0" t="inlineStr">
        <is>
          <t>Precisión de dirección</t>
        </is>
      </c>
      <c r="C16" s="0" t="inlineStr">
        <is>
          <t>Solo tomar valores efectivamente reportados</t>
        </is>
      </c>
    </row>
    <row r="17" ht="17" customHeight="1">
      <c r="A17" s="6" t="inlineStr">
        <is>
          <t>ManoCorrecta</t>
        </is>
      </c>
      <c r="B17" s="6" t="inlineStr">
        <is>
          <t>True/False si la interacción tiene mano asociada</t>
        </is>
      </c>
      <c r="C17" s="6" t="inlineStr">
        <is>
          <t>Vacío = dato no disponible</t>
        </is>
      </c>
    </row>
    <row r="18" ht="17" customHeight="1">
      <c r="A18" s="0" t="inlineStr">
        <is>
          <t>Adaptaciones</t>
        </is>
      </c>
      <c r="B18" s="0" t="inlineStr">
        <is>
          <t>Cambios de dificultad</t>
        </is>
      </c>
      <c r="C18" s="0" t="inlineStr">
        <is>
          <t>Se mantienen motivo y tasa informada</t>
        </is>
      </c>
    </row>
    <row r="19" ht="17" customHeight="1">
      <c r="A19" s="6" t="inlineStr">
        <is>
          <t>Estados jugador</t>
        </is>
      </c>
      <c r="B19" s="6" t="inlineStr">
        <is>
          <t>Cambios globales del estado del jugador</t>
        </is>
      </c>
      <c r="C19" s="6" t="inlineStr">
        <is>
          <t>No inferir minijuego sin dato explícito</t>
        </is>
      </c>
    </row>
    <row r="20" ht="17" customHeight="1">
      <c r="A20" s="0" t="inlineStr">
        <is>
          <t>Resumen</t>
        </is>
      </c>
      <c r="B20" s="0" t="inlineStr">
        <is>
          <t>Reportado vs. calculado</t>
        </is>
      </c>
      <c r="C20" s="0" t="inlineStr">
        <is>
          <t>Sirve para validar coincidencia y detectar campos sin datos</t>
        </is>
      </c>
    </row>
    <row r="21" ht="17" customHeight="1">
      <c r="A21" s="6" t="inlineStr">
        <is>
          <t>LineaOrigen</t>
        </is>
      </c>
      <c r="B21" s="6" t="inlineStr">
        <is>
          <t>Línea del archivo .txt</t>
        </is>
      </c>
      <c r="C21" s="6" t="inlineStr">
        <is>
          <t>Permite comprobar eventos contra fuente original</t>
        </is>
      </c>
    </row>
    <row r="22" ht="17" customHeight="1">
      <c r="A22" s="0" t="inlineStr">
        <is>
          <t>TextoOriginal</t>
        </is>
      </c>
      <c r="B22" s="0" t="inlineStr">
        <is>
          <t>Evento tal como estaba en el .txt</t>
        </is>
      </c>
      <c r="C22" s="0" t="inlineStr">
        <is>
          <t>Útil ante eventos nuevos/desconocidos</t>
        </is>
      </c>
    </row>
  </sheetData>
  <pageMargins left="0.4" right="0.4" top="0.7" bottom="0.7" header="0.3" footer="0.3"/>
</worksheet>
</file>