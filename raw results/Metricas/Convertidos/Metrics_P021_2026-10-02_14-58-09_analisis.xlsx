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P021</t>
        </is>
      </c>
    </row>
    <row r="2" ht="17" customHeight="1"/>
    <row r="3" ht="17" customHeight="1">
      <c r="A3" s="6" t="inlineStr">
        <is>
          <t>Inicio: 2026-10-02 14:58:09     |     Fuente: Metrics_P021_2026-10-02_14-58-09.txt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152.0</v>
      </c>
      <c r="C6" s="0">
        <f>COUNTA('Interacciones'!$A$2:$A$153)</f>
        <v>152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80.0</v>
      </c>
      <c r="C7" s="6">
        <f>COUNTIF('Interacciones'!$F$2:$F$153,"Success")</f>
        <v>80</v>
      </c>
      <c r="E7" s="6" t="inlineStr">
        <is>
          <t>Estados del jugador</t>
        </is>
      </c>
      <c r="F7" s="6">
        <v>30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42.0</v>
      </c>
      <c r="C8" s="0">
        <f>COUNTIF('Interacciones'!$F$2:$F$153,"Failed")</f>
        <v>42</v>
      </c>
      <c r="E8" s="0" t="inlineStr">
        <is>
          <t>Eventos totales</t>
        </is>
      </c>
      <c r="F8" s="0">
        <v>193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30.0</v>
      </c>
      <c r="C9" s="6">
        <f>COUNTIF('Interacciones'!$F$2:$F$153,"Missed")</f>
        <v>30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0.5263</v>
      </c>
      <c r="C10" s="0">
        <f>IFERROR(C7/C6,0)</f>
        <v>0.5263157894736842</v>
      </c>
    </row>
    <row r="11" ht="17" customHeight="1">
      <c r="A11" s="6" t="inlineStr">
        <is>
          <t>Error timing medio (s)</t>
        </is>
      </c>
      <c r="B11" s="6">
        <v>0.2865</v>
      </c>
      <c r="C11" s="6">
        <f>IFERROR(AVERAGE('Interacciones'!$K$2:$K$153),"")</f>
        <v>0.286530303030303</v>
      </c>
    </row>
    <row r="12" ht="17" customHeight="1">
      <c r="A12" s="0" t="inlineStr">
        <is>
          <t>Reacción media (s)</t>
        </is>
      </c>
      <c r="B12" s="0">
        <v>0.6285</v>
      </c>
      <c r="C12" s="0">
        <f>IFERROR(AVERAGE('Interacciones'!$L$2:$L$153),"")</f>
        <v>0.6284666666666667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IFERROR(AVERAGE('Interacciones'!$M$2:$M$153),"")</f>
        <v/>
      </c>
    </row>
    <row r="14" ht="17" customHeight="1">
      <c r="A14" s="0" t="inlineStr">
        <is>
          <t>Precisión dirección media</t>
        </is>
      </c>
      <c r="B14" s="0">
        <v>0.3939</v>
      </c>
      <c r="C14" s="0">
        <f>IFERROR(AVERAGE('Interacciones'!$N$2:$N$153),"")</f>
        <v>0.3939393939393939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COUNTIF('Interacciones'!$D$2:$D$153,$A5)</f>
        <v>77</v>
      </c>
      <c r="C5" s="6">
        <f>COUNTIFS('Interacciones'!$D$2:$D$153,$A5,'Interacciones'!$F$2:$F$153,"Success")</f>
        <v>47</v>
      </c>
      <c r="D5" s="6">
        <f>COUNTIFS('Interacciones'!$D$2:$D$153,$A5,'Interacciones'!$F$2:$F$153,"Failed")</f>
        <v>4</v>
      </c>
      <c r="E5" s="6">
        <f>COUNTIFS('Interacciones'!$D$2:$D$153,$A5,'Interacciones'!$F$2:$F$153,"Missed")</f>
        <v>26</v>
      </c>
      <c r="F5" s="3">
        <f>IFERROR(C5/B5,0)</f>
        <v>0.6103896103896104</v>
      </c>
      <c r="G5" s="4">
        <f>IFERROR(AVERAGEIF('Interacciones'!$D$2:$D$153,$A5,'Interacciones'!$K$2:$K$153),"")</f>
        <v>0.017653846153846155</v>
      </c>
      <c r="H5" s="4" t="str">
        <f>IFERROR(AVERAGEIF('Interacciones'!$D$2:$D$153,$A5,'Interacciones'!$L$2:$L$153),"")</f>
        <v/>
      </c>
      <c r="I5" s="6">
        <f>COUNTIF('Adaptaciones'!$C$2:$C$12,$A5)</f>
        <v>8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COUNTIF('Interacciones'!$D$2:$D$153,$A6)</f>
        <v>18</v>
      </c>
      <c r="C6" s="0">
        <f>COUNTIFS('Interacciones'!$D$2:$D$153,$A6,'Interacciones'!$F$2:$F$153,"Success")</f>
        <v>7</v>
      </c>
      <c r="D6" s="0">
        <f>COUNTIFS('Interacciones'!$D$2:$D$153,$A6,'Interacciones'!$F$2:$F$153,"Failed")</f>
        <v>10</v>
      </c>
      <c r="E6" s="0">
        <f>COUNTIFS('Interacciones'!$D$2:$D$153,$A6,'Interacciones'!$F$2:$F$153,"Missed")</f>
        <v>1</v>
      </c>
      <c r="F6" s="3">
        <f>IFERROR(C6/B6,0)</f>
        <v>0.3888888888888889</v>
      </c>
      <c r="G6" s="4">
        <f>IFERROR(AVERAGEIF('Interacciones'!$D$2:$D$153,$A6,'Interacciones'!$K$2:$K$153),"")</f>
        <v>0.1140142857142857</v>
      </c>
      <c r="H6" s="4" t="str">
        <f>IFERROR(AVERAGEIF('Interacciones'!$D$2:$D$153,$A6,'Interacciones'!$L$2:$L$153),"")</f>
        <v/>
      </c>
      <c r="I6" s="0">
        <f>COUNTIF('Adaptaciones'!$C$2:$C$12,$A6)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COUNTIF('Interacciones'!$D$2:$D$153,$A7)</f>
        <v>8</v>
      </c>
      <c r="C7" s="6">
        <f>COUNTIFS('Interacciones'!$D$2:$D$153,$A7,'Interacciones'!$F$2:$F$153,"Success")</f>
        <v>3</v>
      </c>
      <c r="D7" s="6">
        <f>COUNTIFS('Interacciones'!$D$2:$D$153,$A7,'Interacciones'!$F$2:$F$153,"Failed")</f>
        <v>4</v>
      </c>
      <c r="E7" s="6">
        <f>COUNTIFS('Interacciones'!$D$2:$D$153,$A7,'Interacciones'!$F$2:$F$153,"Missed")</f>
        <v>1</v>
      </c>
      <c r="F7" s="3">
        <f>IFERROR(C7/B7,0)</f>
        <v>0.375</v>
      </c>
      <c r="G7" s="4">
        <f>IFERROR(AVERAGEIF('Interacciones'!$D$2:$D$153,$A7,'Interacciones'!$K$2:$K$153),"")</f>
        <v>0.0897</v>
      </c>
      <c r="H7" s="4" t="str">
        <f>IFERROR(AVERAGEIF('Interacciones'!$D$2:$D$153,$A7,'Interacciones'!$L$2:$L$153),"")</f>
        <v/>
      </c>
      <c r="I7" s="6">
        <f>COUNTIF('Adaptaciones'!$C$2:$C$12,$A7)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COUNTIF('Interacciones'!$D$2:$D$153,$A8)</f>
        <v>18</v>
      </c>
      <c r="C8" s="0">
        <f>COUNTIFS('Interacciones'!$D$2:$D$153,$A8,'Interacciones'!$F$2:$F$153,"Success")</f>
        <v>13</v>
      </c>
      <c r="D8" s="0">
        <f>COUNTIFS('Interacciones'!$D$2:$D$153,$A8,'Interacciones'!$F$2:$F$153,"Failed")</f>
        <v>5</v>
      </c>
      <c r="E8" s="0">
        <f>COUNTIFS('Interacciones'!$D$2:$D$153,$A8,'Interacciones'!$F$2:$F$153,"Missed")</f>
        <v>0</v>
      </c>
      <c r="F8" s="3">
        <f>IFERROR(C8/B8,0)</f>
        <v>0.7222222222222222</v>
      </c>
      <c r="G8" s="4">
        <f>IFERROR(AVERAGEIF('Interacciones'!$D$2:$D$153,$A8,'Interacciones'!$K$2:$K$153),"")</f>
        <v>0.1167076923076923</v>
      </c>
      <c r="H8" s="4" t="str">
        <f>IFERROR(AVERAGEIF('Interacciones'!$D$2:$D$153,$A8,'Interacciones'!$L$2:$L$153),"")</f>
        <v/>
      </c>
      <c r="I8" s="0">
        <f>COUNTIF('Adaptaciones'!$C$2:$C$12,$A8)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COUNTIF('Interacciones'!$D$2:$D$153,$A9)</f>
        <v>16</v>
      </c>
      <c r="C9" s="6">
        <f>COUNTIFS('Interacciones'!$D$2:$D$153,$A9,'Interacciones'!$F$2:$F$153,"Success")</f>
        <v>3</v>
      </c>
      <c r="D9" s="6">
        <f>COUNTIFS('Interacciones'!$D$2:$D$153,$A9,'Interacciones'!$F$2:$F$153,"Failed")</f>
        <v>11</v>
      </c>
      <c r="E9" s="6">
        <f>COUNTIFS('Interacciones'!$D$2:$D$153,$A9,'Interacciones'!$F$2:$F$153,"Missed")</f>
        <v>2</v>
      </c>
      <c r="F9" s="3">
        <f>IFERROR(C9/B9,0)</f>
        <v>0.1875</v>
      </c>
      <c r="G9" s="4">
        <f>IFERROR(AVERAGEIF('Interacciones'!$D$2:$D$153,$A9,'Interacciones'!$K$2:$K$153),"")</f>
        <v>0.8215214285714285</v>
      </c>
      <c r="H9" s="4" t="str">
        <f>IFERROR(AVERAGEIF('Interacciones'!$D$2:$D$153,$A9,'Interacciones'!$L$2:$L$153),"")</f>
        <v/>
      </c>
      <c r="I9" s="6">
        <f>COUNTIF('Adaptaciones'!$C$2:$C$12,$A9)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COUNTIF('Interacciones'!$D$2:$D$153,$A10)</f>
        <v>15</v>
      </c>
      <c r="C10" s="0">
        <f>COUNTIFS('Interacciones'!$D$2:$D$153,$A10,'Interacciones'!$F$2:$F$153,"Success")</f>
        <v>7</v>
      </c>
      <c r="D10" s="0">
        <f>COUNTIFS('Interacciones'!$D$2:$D$153,$A10,'Interacciones'!$F$2:$F$153,"Failed")</f>
        <v>8</v>
      </c>
      <c r="E10" s="0">
        <f>COUNTIFS('Interacciones'!$D$2:$D$153,$A10,'Interacciones'!$F$2:$F$153,"Missed")</f>
        <v>0</v>
      </c>
      <c r="F10" s="3">
        <f>IFERROR(C10/B10,0)</f>
        <v>0.4666666666666667</v>
      </c>
      <c r="G10" s="4">
        <f>IFERROR(AVERAGEIF('Interacciones'!$D$2:$D$153,$A10,'Interacciones'!$K$2:$K$153),"")</f>
        <v>0.3530833333333333</v>
      </c>
      <c r="H10" s="4">
        <f>IFERROR(AVERAGEIF('Interacciones'!$D$2:$D$153,$A10,'Interacciones'!$L$2:$L$153),"")</f>
        <v>0.6284666666666667</v>
      </c>
      <c r="I10" s="0">
        <f>COUNTIF('Adaptaciones'!$C$2:$C$12,$A10)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COUNTIFS('Interacciones'!$D$2:$D$153,$A5,'Interacciones'!$E$2:$E$153,$B5)</f>
        <v>13</v>
      </c>
      <c r="D5" s="6">
        <f>COUNTIFS('Interacciones'!$D$2:$D$153,$A5,'Interacciones'!$E$2:$E$153,$B5,'Interacciones'!$F$2:$F$153,"Success")</f>
        <v>12</v>
      </c>
      <c r="E5" s="6">
        <f>COUNTIFS('Interacciones'!$D$2:$D$153,$A5,'Interacciones'!$E$2:$E$153,$B5,'Interacciones'!$F$2:$F$153,"Failed")</f>
        <v>1</v>
      </c>
      <c r="F5" s="6">
        <f>COUNTIFS('Interacciones'!$D$2:$D$153,$A5,'Interacciones'!$E$2:$E$153,$B5,'Interacciones'!$F$2:$F$153,"Missed")</f>
        <v>0</v>
      </c>
      <c r="G5" s="3">
        <f>IFERROR(D5/C5,0)</f>
        <v>0.9230769230769231</v>
      </c>
      <c r="H5" s="4">
        <f>IFERROR(AVERAGEIFS('Interacciones'!$K$2:$K$153,'Interacciones'!$D$2:$D$153,$A5,'Interacciones'!$E$2:$E$153,$B5),"")</f>
        <v>0.017653846153846155</v>
      </c>
      <c r="I5" s="4" t="str">
        <f>IFERROR(AVERAGEIFS('Interacciones'!$L$2:$L$153,'Interacciones'!$D$2:$D$153,$A5,'Interacciones'!$E$2:$E$153,$B5),"")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COUNTIFS('Interacciones'!$D$2:$D$153,$A6,'Interacciones'!$E$2:$E$153,$B6)</f>
        <v>64</v>
      </c>
      <c r="D6" s="0">
        <f>COUNTIFS('Interacciones'!$D$2:$D$153,$A6,'Interacciones'!$E$2:$E$153,$B6,'Interacciones'!$F$2:$F$153,"Success")</f>
        <v>35</v>
      </c>
      <c r="E6" s="0">
        <f>COUNTIFS('Interacciones'!$D$2:$D$153,$A6,'Interacciones'!$E$2:$E$153,$B6,'Interacciones'!$F$2:$F$153,"Failed")</f>
        <v>3</v>
      </c>
      <c r="F6" s="0">
        <f>COUNTIFS('Interacciones'!$D$2:$D$153,$A6,'Interacciones'!$E$2:$E$153,$B6,'Interacciones'!$F$2:$F$153,"Missed")</f>
        <v>26</v>
      </c>
      <c r="G6" s="3">
        <f>IFERROR(D6/C6,0)</f>
        <v>0.546875</v>
      </c>
      <c r="H6" s="4" t="str">
        <f>IFERROR(AVERAGEIFS('Interacciones'!$K$2:$K$153,'Interacciones'!$D$2:$D$153,$A6,'Interacciones'!$E$2:$E$153,$B6),"")</f>
        <v/>
      </c>
      <c r="I6" s="4" t="str">
        <f>IFERROR(AVERAGEIFS('Interacciones'!$L$2:$L$153,'Interacciones'!$D$2:$D$153,$A6,'Interacciones'!$E$2:$E$153,$B6),"")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COUNTIFS('Interacciones'!$D$2:$D$153,$A7,'Interacciones'!$E$2:$E$153,$B7)</f>
        <v>16</v>
      </c>
      <c r="D7" s="6">
        <f>COUNTIFS('Interacciones'!$D$2:$D$153,$A7,'Interacciones'!$E$2:$E$153,$B7,'Interacciones'!$F$2:$F$153,"Success")</f>
        <v>7</v>
      </c>
      <c r="E7" s="6">
        <f>COUNTIFS('Interacciones'!$D$2:$D$153,$A7,'Interacciones'!$E$2:$E$153,$B7,'Interacciones'!$F$2:$F$153,"Failed")</f>
        <v>8</v>
      </c>
      <c r="F7" s="6">
        <f>COUNTIFS('Interacciones'!$D$2:$D$153,$A7,'Interacciones'!$E$2:$E$153,$B7,'Interacciones'!$F$2:$F$153,"Missed")</f>
        <v>1</v>
      </c>
      <c r="G7" s="3">
        <f>IFERROR(D7/C7,0)</f>
        <v>0.4375</v>
      </c>
      <c r="H7" s="4">
        <f>IFERROR(AVERAGEIFS('Interacciones'!$K$2:$K$153,'Interacciones'!$D$2:$D$153,$A7,'Interacciones'!$E$2:$E$153,$B7),"")</f>
        <v>0.1140142857142857</v>
      </c>
      <c r="I7" s="4" t="str">
        <f>IFERROR(AVERAGEIFS('Interacciones'!$L$2:$L$153,'Interacciones'!$D$2:$D$153,$A7,'Interacciones'!$E$2:$E$153,$B7),"")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COUNTIFS('Interacciones'!$D$2:$D$153,$A8,'Interacciones'!$E$2:$E$153,$B8)</f>
        <v>2</v>
      </c>
      <c r="D8" s="0">
        <f>COUNTIFS('Interacciones'!$D$2:$D$153,$A8,'Interacciones'!$E$2:$E$153,$B8,'Interacciones'!$F$2:$F$153,"Success")</f>
        <v>0</v>
      </c>
      <c r="E8" s="0">
        <f>COUNTIFS('Interacciones'!$D$2:$D$153,$A8,'Interacciones'!$E$2:$E$153,$B8,'Interacciones'!$F$2:$F$153,"Failed")</f>
        <v>2</v>
      </c>
      <c r="F8" s="0">
        <f>COUNTIFS('Interacciones'!$D$2:$D$153,$A8,'Interacciones'!$E$2:$E$153,$B8,'Interacciones'!$F$2:$F$153,"Missed")</f>
        <v>0</v>
      </c>
      <c r="G8" s="3">
        <f>IFERROR(D8/C8,0)</f>
        <v>0.0</v>
      </c>
      <c r="H8" s="4" t="str">
        <f>IFERROR(AVERAGEIFS('Interacciones'!$K$2:$K$153,'Interacciones'!$D$2:$D$153,$A8,'Interacciones'!$E$2:$E$153,$B8),"")</f>
        <v/>
      </c>
      <c r="I8" s="4" t="str">
        <f>IFERROR(AVERAGEIFS('Interacciones'!$L$2:$L$153,'Interacciones'!$D$2:$D$153,$A8,'Interacciones'!$E$2:$E$153,$B8),"")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COUNTIFS('Interacciones'!$D$2:$D$153,$A9,'Interacciones'!$E$2:$E$153,$B9)</f>
        <v>8</v>
      </c>
      <c r="D9" s="6">
        <f>COUNTIFS('Interacciones'!$D$2:$D$153,$A9,'Interacciones'!$E$2:$E$153,$B9,'Interacciones'!$F$2:$F$153,"Success")</f>
        <v>3</v>
      </c>
      <c r="E9" s="6">
        <f>COUNTIFS('Interacciones'!$D$2:$D$153,$A9,'Interacciones'!$E$2:$E$153,$B9,'Interacciones'!$F$2:$F$153,"Failed")</f>
        <v>4</v>
      </c>
      <c r="F9" s="6">
        <f>COUNTIFS('Interacciones'!$D$2:$D$153,$A9,'Interacciones'!$E$2:$E$153,$B9,'Interacciones'!$F$2:$F$153,"Missed")</f>
        <v>1</v>
      </c>
      <c r="G9" s="3">
        <f>IFERROR(D9/C9,0)</f>
        <v>0.375</v>
      </c>
      <c r="H9" s="4">
        <f>IFERROR(AVERAGEIFS('Interacciones'!$K$2:$K$153,'Interacciones'!$D$2:$D$153,$A9,'Interacciones'!$E$2:$E$153,$B9),"")</f>
        <v>0.0897</v>
      </c>
      <c r="I9" s="4" t="str">
        <f>IFERROR(AVERAGEIFS('Interacciones'!$L$2:$L$153,'Interacciones'!$D$2:$D$153,$A9,'Interacciones'!$E$2:$E$153,$B9),"")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COUNTIFS('Interacciones'!$D$2:$D$153,$A10,'Interacciones'!$E$2:$E$153,$B10)</f>
        <v>13</v>
      </c>
      <c r="D10" s="0">
        <f>COUNTIFS('Interacciones'!$D$2:$D$153,$A10,'Interacciones'!$E$2:$E$153,$B10,'Interacciones'!$F$2:$F$153,"Success")</f>
        <v>13</v>
      </c>
      <c r="E10" s="0">
        <f>COUNTIFS('Interacciones'!$D$2:$D$153,$A10,'Interacciones'!$E$2:$E$153,$B10,'Interacciones'!$F$2:$F$153,"Failed")</f>
        <v>0</v>
      </c>
      <c r="F10" s="0">
        <f>COUNTIFS('Interacciones'!$D$2:$D$153,$A10,'Interacciones'!$E$2:$E$153,$B10,'Interacciones'!$F$2:$F$153,"Missed")</f>
        <v>0</v>
      </c>
      <c r="G10" s="3">
        <f>IFERROR(D10/C10,0)</f>
        <v>1.0</v>
      </c>
      <c r="H10" s="4">
        <f>IFERROR(AVERAGEIFS('Interacciones'!$K$2:$K$153,'Interacciones'!$D$2:$D$153,$A10,'Interacciones'!$E$2:$E$153,$B10),"")</f>
        <v>0.1167076923076923</v>
      </c>
      <c r="I10" s="4" t="str">
        <f>IFERROR(AVERAGEIFS('Interacciones'!$L$2:$L$153,'Interacciones'!$D$2:$D$153,$A10,'Interacciones'!$E$2:$E$153,$B10),"")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COUNTIFS('Interacciones'!$D$2:$D$153,$A11,'Interacciones'!$E$2:$E$153,$B11)</f>
        <v>5</v>
      </c>
      <c r="D11" s="6">
        <f>COUNTIFS('Interacciones'!$D$2:$D$153,$A11,'Interacciones'!$E$2:$E$153,$B11,'Interacciones'!$F$2:$F$153,"Success")</f>
        <v>0</v>
      </c>
      <c r="E11" s="6">
        <f>COUNTIFS('Interacciones'!$D$2:$D$153,$A11,'Interacciones'!$E$2:$E$153,$B11,'Interacciones'!$F$2:$F$153,"Failed")</f>
        <v>5</v>
      </c>
      <c r="F11" s="6">
        <f>COUNTIFS('Interacciones'!$D$2:$D$153,$A11,'Interacciones'!$E$2:$E$153,$B11,'Interacciones'!$F$2:$F$153,"Missed")</f>
        <v>0</v>
      </c>
      <c r="G11" s="3">
        <f>IFERROR(D11/C11,0)</f>
        <v>0.0</v>
      </c>
      <c r="H11" s="4" t="str">
        <f>IFERROR(AVERAGEIFS('Interacciones'!$K$2:$K$153,'Interacciones'!$D$2:$D$153,$A11,'Interacciones'!$E$2:$E$153,$B11),"")</f>
        <v/>
      </c>
      <c r="I11" s="4" t="str">
        <f>IFERROR(AVERAGEIFS('Interacciones'!$L$2:$L$153,'Interacciones'!$D$2:$D$153,$A11,'Interacciones'!$E$2:$E$153,$B11),"")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COUNTIFS('Interacciones'!$D$2:$D$153,$A12,'Interacciones'!$E$2:$E$153,$B12)</f>
        <v>16</v>
      </c>
      <c r="D12" s="0">
        <f>COUNTIFS('Interacciones'!$D$2:$D$153,$A12,'Interacciones'!$E$2:$E$153,$B12,'Interacciones'!$F$2:$F$153,"Success")</f>
        <v>3</v>
      </c>
      <c r="E12" s="0">
        <f>COUNTIFS('Interacciones'!$D$2:$D$153,$A12,'Interacciones'!$E$2:$E$153,$B12,'Interacciones'!$F$2:$F$153,"Failed")</f>
        <v>11</v>
      </c>
      <c r="F12" s="0">
        <f>COUNTIFS('Interacciones'!$D$2:$D$153,$A12,'Interacciones'!$E$2:$E$153,$B12,'Interacciones'!$F$2:$F$153,"Missed")</f>
        <v>2</v>
      </c>
      <c r="G12" s="3">
        <f>IFERROR(D12/C12,0)</f>
        <v>0.1875</v>
      </c>
      <c r="H12" s="4">
        <f>IFERROR(AVERAGEIFS('Interacciones'!$K$2:$K$153,'Interacciones'!$D$2:$D$153,$A12,'Interacciones'!$E$2:$E$153,$B12),"")</f>
        <v>0.8215214285714285</v>
      </c>
      <c r="I12" s="4" t="str">
        <f>IFERROR(AVERAGEIFS('Interacciones'!$L$2:$L$153,'Interacciones'!$D$2:$D$153,$A12,'Interacciones'!$E$2:$E$153,$B12),"")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COUNTIFS('Interacciones'!$D$2:$D$153,$A13,'Interacciones'!$E$2:$E$153,$B13)</f>
        <v>2</v>
      </c>
      <c r="D13" s="6">
        <f>COUNTIFS('Interacciones'!$D$2:$D$153,$A13,'Interacciones'!$E$2:$E$153,$B13,'Interacciones'!$F$2:$F$153,"Success")</f>
        <v>2</v>
      </c>
      <c r="E13" s="6">
        <f>COUNTIFS('Interacciones'!$D$2:$D$153,$A13,'Interacciones'!$E$2:$E$153,$B13,'Interacciones'!$F$2:$F$153,"Failed")</f>
        <v>0</v>
      </c>
      <c r="F13" s="6">
        <f>COUNTIFS('Interacciones'!$D$2:$D$153,$A13,'Interacciones'!$E$2:$E$153,$B13,'Interacciones'!$F$2:$F$153,"Missed")</f>
        <v>0</v>
      </c>
      <c r="G13" s="3">
        <f>IFERROR(D13/C13,0)</f>
        <v>1.0</v>
      </c>
      <c r="H13" s="4" t="str">
        <f>IFERROR(AVERAGEIFS('Interacciones'!$K$2:$K$153,'Interacciones'!$D$2:$D$153,$A13,'Interacciones'!$E$2:$E$153,$B13),"")</f>
        <v/>
      </c>
      <c r="I13" s="4" t="str">
        <f>IFERROR(AVERAGEIFS('Interacciones'!$L$2:$L$153,'Interacciones'!$D$2:$D$153,$A13,'Interacciones'!$E$2:$E$153,$B13),"")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COUNTIFS('Interacciones'!$D$2:$D$153,$A14,'Interacciones'!$E$2:$E$153,$B14)</f>
        <v>13</v>
      </c>
      <c r="D14" s="0">
        <f>COUNTIFS('Interacciones'!$D$2:$D$153,$A14,'Interacciones'!$E$2:$E$153,$B14,'Interacciones'!$F$2:$F$153,"Success")</f>
        <v>5</v>
      </c>
      <c r="E14" s="0">
        <f>COUNTIFS('Interacciones'!$D$2:$D$153,$A14,'Interacciones'!$E$2:$E$153,$B14,'Interacciones'!$F$2:$F$153,"Failed")</f>
        <v>8</v>
      </c>
      <c r="F14" s="0">
        <f>COUNTIFS('Interacciones'!$D$2:$D$153,$A14,'Interacciones'!$E$2:$E$153,$B14,'Interacciones'!$F$2:$F$153,"Missed")</f>
        <v>0</v>
      </c>
      <c r="G14" s="3">
        <f>IFERROR(D14/C14,0)</f>
        <v>0.38461538461538464</v>
      </c>
      <c r="H14" s="4">
        <f>IFERROR(AVERAGEIFS('Interacciones'!$K$2:$K$153,'Interacciones'!$D$2:$D$153,$A14,'Interacciones'!$E$2:$E$153,$B14),"")</f>
        <v>0.3530833333333333</v>
      </c>
      <c r="I14" s="4">
        <f>IFERROR(AVERAGEIFS('Interacciones'!$L$2:$L$153,'Interacciones'!$D$2:$D$153,$A14,'Interacciones'!$E$2:$E$153,$B14),"")</f>
        <v>0.6284666666666667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5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P021</t>
        </is>
      </c>
      <c r="C2" s="0" t="inlineStr">
        <is>
          <t>2026-10-02 14:58:12.090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P021</t>
        </is>
      </c>
      <c r="C3" s="6" t="inlineStr">
        <is>
          <t>2026-10-02 14:58:12.813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P021</t>
        </is>
      </c>
      <c r="C4" s="0" t="inlineStr">
        <is>
          <t>2026-10-02 14:58:12.840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P021</t>
        </is>
      </c>
      <c r="C5" s="6" t="inlineStr">
        <is>
          <t>2026-10-02 14:58:13.590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P021</t>
        </is>
      </c>
      <c r="C6" s="0" t="inlineStr">
        <is>
          <t>2026-10-02 14:58:13.591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P021</t>
        </is>
      </c>
      <c r="C7" s="6" t="inlineStr">
        <is>
          <t>2026-10-02 14:58:14.368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P021</t>
        </is>
      </c>
      <c r="C8" s="0" t="inlineStr">
        <is>
          <t>2026-10-02 14:58:14.645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P021</t>
        </is>
      </c>
      <c r="C9" s="6" t="inlineStr">
        <is>
          <t>2026-10-02 14:58:15.409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H9" s="4">
        <v>3.968</v>
      </c>
      <c r="P9" s="6">
        <v>15</v>
      </c>
    </row>
    <row r="10" ht="17" customHeight="1">
      <c r="A10" s="0">
        <v>11</v>
      </c>
      <c r="B10" s="0" t="inlineStr">
        <is>
          <t>P021</t>
        </is>
      </c>
      <c r="C10" s="0" t="inlineStr">
        <is>
          <t>2026-10-02 14:58:16.187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H10" s="4">
        <v>4.736</v>
      </c>
      <c r="P10" s="0">
        <v>16</v>
      </c>
    </row>
    <row r="11" ht="17" customHeight="1">
      <c r="A11" s="6">
        <v>14</v>
      </c>
      <c r="B11" s="6" t="inlineStr">
        <is>
          <t>P021</t>
        </is>
      </c>
      <c r="C11" s="6" t="inlineStr">
        <is>
          <t>2026-10-02 14:58:16.188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Easy</t>
        </is>
      </c>
      <c r="H11" s="4">
        <v>4.736</v>
      </c>
      <c r="P11" s="6">
        <v>19</v>
      </c>
    </row>
    <row r="12" ht="17" customHeight="1">
      <c r="A12" s="0">
        <v>16</v>
      </c>
      <c r="B12" s="0" t="inlineStr">
        <is>
          <t>P021</t>
        </is>
      </c>
      <c r="C12" s="0" t="inlineStr">
        <is>
          <t>2026-10-02 14:58:16.687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Easy</t>
        </is>
      </c>
      <c r="H12" s="4">
        <v>5.504</v>
      </c>
      <c r="P12" s="0">
        <v>21</v>
      </c>
    </row>
    <row r="13" ht="17" customHeight="1">
      <c r="A13" s="6">
        <v>17</v>
      </c>
      <c r="B13" s="6" t="inlineStr">
        <is>
          <t>P021</t>
        </is>
      </c>
      <c r="C13" s="6" t="inlineStr">
        <is>
          <t>2026-10-02 14:58:16.687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Easy</t>
        </is>
      </c>
      <c r="H13" s="4">
        <v>5.504</v>
      </c>
      <c r="P13" s="6">
        <v>22</v>
      </c>
    </row>
    <row r="14" ht="17" customHeight="1">
      <c r="A14" s="0">
        <v>18</v>
      </c>
      <c r="B14" s="0" t="inlineStr">
        <is>
          <t>P021</t>
        </is>
      </c>
      <c r="C14" s="0" t="inlineStr">
        <is>
          <t>2026-10-02 14:58:18.185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Easy</t>
        </is>
      </c>
      <c r="H14" s="4">
        <v>7.04</v>
      </c>
      <c r="P14" s="0">
        <v>23</v>
      </c>
    </row>
    <row r="15" ht="17" customHeight="1">
      <c r="A15" s="6">
        <v>19</v>
      </c>
      <c r="B15" s="6" t="inlineStr">
        <is>
          <t>P021</t>
        </is>
      </c>
      <c r="C15" s="6" t="inlineStr">
        <is>
          <t>2026-10-02 14:58:18.491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Easy</t>
        </is>
      </c>
      <c r="H15" s="4">
        <v>7.04</v>
      </c>
      <c r="P15" s="6">
        <v>24</v>
      </c>
    </row>
    <row r="16" ht="17" customHeight="1">
      <c r="A16" s="0">
        <v>20</v>
      </c>
      <c r="B16" s="0" t="inlineStr">
        <is>
          <t>P021</t>
        </is>
      </c>
      <c r="C16" s="0" t="inlineStr">
        <is>
          <t>2026-10-02 14:58:19.740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Easy</t>
        </is>
      </c>
      <c r="H16" s="4">
        <v>8.576</v>
      </c>
      <c r="P16" s="0">
        <v>25</v>
      </c>
    </row>
    <row r="17" ht="17" customHeight="1">
      <c r="A17" s="6">
        <v>21</v>
      </c>
      <c r="B17" s="6" t="inlineStr">
        <is>
          <t>P021</t>
        </is>
      </c>
      <c r="C17" s="6" t="inlineStr">
        <is>
          <t>2026-10-02 14:58:19.770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Easy</t>
        </is>
      </c>
      <c r="H17" s="4">
        <v>8.576</v>
      </c>
      <c r="P17" s="6">
        <v>26</v>
      </c>
    </row>
    <row r="18" ht="17" customHeight="1">
      <c r="A18" s="0">
        <v>22</v>
      </c>
      <c r="B18" s="0" t="inlineStr">
        <is>
          <t>P021</t>
        </is>
      </c>
      <c r="C18" s="0" t="inlineStr">
        <is>
          <t>2026-10-02 14:58:21.241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P18" s="0">
        <v>27</v>
      </c>
    </row>
    <row r="19" ht="17" customHeight="1">
      <c r="A19" s="6">
        <v>23</v>
      </c>
      <c r="B19" s="6" t="inlineStr">
        <is>
          <t>P021</t>
        </is>
      </c>
      <c r="C19" s="6" t="inlineStr">
        <is>
          <t>2026-10-02 14:58:21.311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Easy</t>
        </is>
      </c>
      <c r="H19" s="4">
        <v>10.112</v>
      </c>
      <c r="P19" s="6">
        <v>28</v>
      </c>
    </row>
    <row r="20" ht="17" customHeight="1">
      <c r="A20" s="0">
        <v>25</v>
      </c>
      <c r="B20" s="0" t="inlineStr">
        <is>
          <t>P021</t>
        </is>
      </c>
      <c r="C20" s="0" t="inlineStr">
        <is>
          <t>2026-10-02 14:58:22.784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11.648</v>
      </c>
      <c r="I20" s="4">
        <v>11.6638</v>
      </c>
      <c r="J20" s="4">
        <v>0.0158</v>
      </c>
      <c r="K20" s="4">
        <v>0.0158</v>
      </c>
      <c r="P20" s="0">
        <v>30</v>
      </c>
    </row>
    <row r="21" ht="17" customHeight="1">
      <c r="A21" s="6">
        <v>26</v>
      </c>
      <c r="B21" s="6" t="inlineStr">
        <is>
          <t>P021</t>
        </is>
      </c>
      <c r="C21" s="6" t="inlineStr">
        <is>
          <t>2026-10-02 14:58:22.826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H21" s="4">
        <v>11.648</v>
      </c>
      <c r="P21" s="6">
        <v>31</v>
      </c>
    </row>
    <row r="22" ht="17" customHeight="1">
      <c r="A22" s="0">
        <v>27</v>
      </c>
      <c r="B22" s="0" t="inlineStr">
        <is>
          <t>P021</t>
        </is>
      </c>
      <c r="C22" s="0" t="inlineStr">
        <is>
          <t>2026-10-02 14:58:23.602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Failed</t>
        </is>
      </c>
      <c r="G22" s="0" t="inlineStr">
        <is>
          <t>Normal</t>
        </is>
      </c>
      <c r="H22" s="4">
        <v>12.416</v>
      </c>
      <c r="P22" s="0">
        <v>32</v>
      </c>
    </row>
    <row r="23" ht="17" customHeight="1">
      <c r="A23" s="6">
        <v>28</v>
      </c>
      <c r="B23" s="6" t="inlineStr">
        <is>
          <t>P021</t>
        </is>
      </c>
      <c r="C23" s="6" t="inlineStr">
        <is>
          <t>2026-10-02 14:58:23.851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Normal</t>
        </is>
      </c>
      <c r="H23" s="4">
        <v>12.416</v>
      </c>
      <c r="P23" s="6">
        <v>33</v>
      </c>
    </row>
    <row r="24" ht="17" customHeight="1">
      <c r="A24" s="0">
        <v>29</v>
      </c>
      <c r="B24" s="0" t="inlineStr">
        <is>
          <t>P021</t>
        </is>
      </c>
      <c r="C24" s="0" t="inlineStr">
        <is>
          <t>2026-10-02 14:58:24.268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Normal</t>
        </is>
      </c>
      <c r="H24" s="4">
        <v>13.184</v>
      </c>
      <c r="I24" s="4">
        <v>13.1495</v>
      </c>
      <c r="J24" s="4">
        <v>-0.0345</v>
      </c>
      <c r="K24" s="4">
        <v>0.0345</v>
      </c>
      <c r="P24" s="0">
        <v>34</v>
      </c>
    </row>
    <row r="25" ht="17" customHeight="1">
      <c r="A25" s="6">
        <v>30</v>
      </c>
      <c r="B25" s="6" t="inlineStr">
        <is>
          <t>P021</t>
        </is>
      </c>
      <c r="C25" s="6" t="inlineStr">
        <is>
          <t>2026-10-02 14:58:24.367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Normal</t>
        </is>
      </c>
      <c r="H25" s="4">
        <v>13.184</v>
      </c>
      <c r="P25" s="6">
        <v>35</v>
      </c>
    </row>
    <row r="26" ht="17" customHeight="1">
      <c r="A26" s="0">
        <v>31</v>
      </c>
      <c r="B26" s="0" t="inlineStr">
        <is>
          <t>P021</t>
        </is>
      </c>
      <c r="C26" s="0" t="inlineStr">
        <is>
          <t>2026-10-02 14:58:25.060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H26" s="4">
        <v>13.952</v>
      </c>
      <c r="P26" s="0">
        <v>36</v>
      </c>
    </row>
    <row r="27" ht="17" customHeight="1">
      <c r="A27" s="6">
        <v>32</v>
      </c>
      <c r="B27" s="6" t="inlineStr">
        <is>
          <t>P021</t>
        </is>
      </c>
      <c r="C27" s="6" t="inlineStr">
        <is>
          <t>2026-10-02 14:58:25.062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Failed</t>
        </is>
      </c>
      <c r="G27" s="6" t="inlineStr">
        <is>
          <t>Normal</t>
        </is>
      </c>
      <c r="H27" s="4">
        <v>13.952</v>
      </c>
      <c r="P27" s="6">
        <v>37</v>
      </c>
    </row>
    <row r="28" ht="17" customHeight="1">
      <c r="A28" s="0">
        <v>33</v>
      </c>
      <c r="B28" s="0" t="inlineStr">
        <is>
          <t>P021</t>
        </is>
      </c>
      <c r="C28" s="0" t="inlineStr">
        <is>
          <t>2026-10-02 14:58:25.839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H28" s="4">
        <v>14.72</v>
      </c>
      <c r="I28" s="4">
        <v>14.7197</v>
      </c>
      <c r="J28" s="4">
        <v>-0.0003</v>
      </c>
      <c r="K28" s="4">
        <v>0.0003</v>
      </c>
      <c r="P28" s="0">
        <v>38</v>
      </c>
    </row>
    <row r="29" ht="17" customHeight="1">
      <c r="A29" s="6">
        <v>34</v>
      </c>
      <c r="B29" s="6" t="inlineStr">
        <is>
          <t>P021</t>
        </is>
      </c>
      <c r="C29" s="6" t="inlineStr">
        <is>
          <t>2026-10-02 14:58:25.922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Normal</t>
        </is>
      </c>
      <c r="H29" s="4">
        <v>14.72</v>
      </c>
      <c r="P29" s="6">
        <v>39</v>
      </c>
    </row>
    <row r="30" ht="17" customHeight="1">
      <c r="A30" s="0">
        <v>35</v>
      </c>
      <c r="B30" s="0" t="inlineStr">
        <is>
          <t>P021</t>
        </is>
      </c>
      <c r="C30" s="0" t="inlineStr">
        <is>
          <t>2026-10-02 14:58:26.603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H30" s="4">
        <v>15.488</v>
      </c>
      <c r="I30" s="4">
        <v>15.47</v>
      </c>
      <c r="J30" s="4">
        <v>-0.018</v>
      </c>
      <c r="K30" s="4">
        <v>0.018</v>
      </c>
      <c r="P30" s="0">
        <v>40</v>
      </c>
    </row>
    <row r="31" ht="17" customHeight="1">
      <c r="A31" s="6">
        <v>36</v>
      </c>
      <c r="B31" s="6" t="inlineStr">
        <is>
          <t>P021</t>
        </is>
      </c>
      <c r="C31" s="6" t="inlineStr">
        <is>
          <t>2026-10-02 14:58:26.673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Normal</t>
        </is>
      </c>
      <c r="H31" s="4">
        <v>15.488</v>
      </c>
      <c r="P31" s="6">
        <v>41</v>
      </c>
    </row>
    <row r="32" ht="17" customHeight="1">
      <c r="A32" s="0">
        <v>38</v>
      </c>
      <c r="B32" s="0" t="inlineStr">
        <is>
          <t>P021</t>
        </is>
      </c>
      <c r="C32" s="0" t="inlineStr">
        <is>
          <t>2026-10-02 14:58:27.354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16.256</v>
      </c>
      <c r="I32" s="4">
        <v>16.2341</v>
      </c>
      <c r="J32" s="4">
        <v>-0.0219</v>
      </c>
      <c r="K32" s="4">
        <v>0.0219</v>
      </c>
      <c r="P32" s="0">
        <v>43</v>
      </c>
    </row>
    <row r="33" ht="17" customHeight="1">
      <c r="A33" s="6">
        <v>39</v>
      </c>
      <c r="B33" s="6" t="inlineStr">
        <is>
          <t>P021</t>
        </is>
      </c>
      <c r="C33" s="6" t="inlineStr">
        <is>
          <t>2026-10-02 14:58:28.090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Missed</t>
        </is>
      </c>
      <c r="G33" s="6" t="inlineStr">
        <is>
          <t>Hard</t>
        </is>
      </c>
      <c r="H33" s="4">
        <v>16.64</v>
      </c>
      <c r="P33" s="6">
        <v>44</v>
      </c>
    </row>
    <row r="34" ht="17" customHeight="1">
      <c r="A34" s="0">
        <v>40</v>
      </c>
      <c r="B34" s="0" t="inlineStr">
        <is>
          <t>P021</t>
        </is>
      </c>
      <c r="C34" s="0" t="inlineStr">
        <is>
          <t>2026-10-02 14:58:28.090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16.64</v>
      </c>
      <c r="P34" s="0">
        <v>45</v>
      </c>
    </row>
    <row r="35" ht="17" customHeight="1">
      <c r="A35" s="6">
        <v>41</v>
      </c>
      <c r="B35" s="6" t="inlineStr">
        <is>
          <t>P021</t>
        </is>
      </c>
      <c r="C35" s="6" t="inlineStr">
        <is>
          <t>2026-10-02 14:58:28.464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17.024</v>
      </c>
      <c r="P35" s="6">
        <v>46</v>
      </c>
    </row>
    <row r="36" ht="17" customHeight="1">
      <c r="A36" s="0">
        <v>42</v>
      </c>
      <c r="B36" s="0" t="inlineStr">
        <is>
          <t>P021</t>
        </is>
      </c>
      <c r="C36" s="0" t="inlineStr">
        <is>
          <t>2026-10-02 14:58:28.868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Hard</t>
        </is>
      </c>
      <c r="H36" s="4">
        <v>17.408</v>
      </c>
      <c r="P36" s="0">
        <v>47</v>
      </c>
    </row>
    <row r="37" ht="17" customHeight="1">
      <c r="A37" s="6">
        <v>43</v>
      </c>
      <c r="B37" s="6" t="inlineStr">
        <is>
          <t>P021</t>
        </is>
      </c>
      <c r="C37" s="6" t="inlineStr">
        <is>
          <t>2026-10-02 14:58:28.869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H37" s="4">
        <v>17.408</v>
      </c>
      <c r="P37" s="6">
        <v>48</v>
      </c>
    </row>
    <row r="38" ht="17" customHeight="1">
      <c r="A38" s="0">
        <v>44</v>
      </c>
      <c r="B38" s="0" t="inlineStr">
        <is>
          <t>P021</t>
        </is>
      </c>
      <c r="C38" s="0" t="inlineStr">
        <is>
          <t>2026-10-02 14:58:28.882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17.792</v>
      </c>
      <c r="I38" s="4">
        <v>17.7627</v>
      </c>
      <c r="J38" s="4">
        <v>-0.0293</v>
      </c>
      <c r="K38" s="4">
        <v>0.0293</v>
      </c>
      <c r="P38" s="0">
        <v>49</v>
      </c>
    </row>
    <row r="39" ht="17" customHeight="1">
      <c r="A39" s="6">
        <v>48</v>
      </c>
      <c r="B39" s="6" t="inlineStr">
        <is>
          <t>P021</t>
        </is>
      </c>
      <c r="C39" s="6" t="inlineStr">
        <is>
          <t>2026-10-02 14:58:28.993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Normal</t>
        </is>
      </c>
      <c r="H39" s="4">
        <v>17.792</v>
      </c>
      <c r="P39" s="6">
        <v>53</v>
      </c>
    </row>
    <row r="40" ht="17" customHeight="1">
      <c r="A40" s="0">
        <v>49</v>
      </c>
      <c r="B40" s="0" t="inlineStr">
        <is>
          <t>P021</t>
        </is>
      </c>
      <c r="C40" s="0" t="inlineStr">
        <is>
          <t>2026-10-02 14:58:29.369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Normal</t>
        </is>
      </c>
      <c r="H40" s="4">
        <v>18.176</v>
      </c>
      <c r="P40" s="0">
        <v>54</v>
      </c>
    </row>
    <row r="41" ht="17" customHeight="1">
      <c r="A41" s="6">
        <v>50</v>
      </c>
      <c r="B41" s="6" t="inlineStr">
        <is>
          <t>P021</t>
        </is>
      </c>
      <c r="C41" s="6" t="inlineStr">
        <is>
          <t>2026-10-02 14:58:29.632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Normal</t>
        </is>
      </c>
      <c r="H41" s="4">
        <v>18.176</v>
      </c>
      <c r="P41" s="6">
        <v>55</v>
      </c>
    </row>
    <row r="42" ht="17" customHeight="1">
      <c r="A42" s="0">
        <v>51</v>
      </c>
      <c r="B42" s="0" t="inlineStr">
        <is>
          <t>P021</t>
        </is>
      </c>
      <c r="C42" s="0" t="inlineStr">
        <is>
          <t>2026-10-02 14:58:29.688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Normal</t>
        </is>
      </c>
      <c r="H42" s="4">
        <v>18.56</v>
      </c>
      <c r="I42" s="4">
        <v>18.5545</v>
      </c>
      <c r="J42" s="4">
        <v>-0.0055</v>
      </c>
      <c r="K42" s="4">
        <v>0.0055</v>
      </c>
      <c r="P42" s="0">
        <v>56</v>
      </c>
    </row>
    <row r="43" ht="17" customHeight="1">
      <c r="A43" s="6">
        <v>52</v>
      </c>
      <c r="B43" s="6" t="inlineStr">
        <is>
          <t>P021</t>
        </is>
      </c>
      <c r="C43" s="6" t="inlineStr">
        <is>
          <t>2026-10-02 14:58:30.507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H43" s="4">
        <v>19.328</v>
      </c>
      <c r="P43" s="6">
        <v>57</v>
      </c>
    </row>
    <row r="44" ht="17" customHeight="1">
      <c r="A44" s="0">
        <v>53</v>
      </c>
      <c r="B44" s="0" t="inlineStr">
        <is>
          <t>P021</t>
        </is>
      </c>
      <c r="C44" s="0" t="inlineStr">
        <is>
          <t>2026-10-02 14:58:30.770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Normal</t>
        </is>
      </c>
      <c r="H44" s="4">
        <v>19.328</v>
      </c>
      <c r="P44" s="0">
        <v>58</v>
      </c>
    </row>
    <row r="45" ht="17" customHeight="1">
      <c r="A45" s="6">
        <v>54</v>
      </c>
      <c r="B45" s="6" t="inlineStr">
        <is>
          <t>P021</t>
        </is>
      </c>
      <c r="C45" s="6" t="inlineStr">
        <is>
          <t>2026-10-02 14:58:31.147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Normal</t>
        </is>
      </c>
      <c r="H45" s="4">
        <v>19.712</v>
      </c>
      <c r="P45" s="6">
        <v>59</v>
      </c>
    </row>
    <row r="46" ht="17" customHeight="1">
      <c r="A46" s="0">
        <v>55</v>
      </c>
      <c r="B46" s="0" t="inlineStr">
        <is>
          <t>P021</t>
        </is>
      </c>
      <c r="C46" s="0" t="inlineStr">
        <is>
          <t>2026-10-02 14:58:31.188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H46" s="4">
        <v>20.096</v>
      </c>
      <c r="P46" s="0">
        <v>60</v>
      </c>
    </row>
    <row r="47" ht="17" customHeight="1">
      <c r="A47" s="6">
        <v>56</v>
      </c>
      <c r="B47" s="6" t="inlineStr">
        <is>
          <t>P021</t>
        </is>
      </c>
      <c r="C47" s="6" t="inlineStr">
        <is>
          <t>2026-10-02 14:58:31.229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Normal</t>
        </is>
      </c>
      <c r="H47" s="4">
        <v>20.096</v>
      </c>
      <c r="I47" s="4">
        <v>20.0968</v>
      </c>
      <c r="J47" s="4">
        <v>0.0008</v>
      </c>
      <c r="K47" s="4">
        <v>0.0008</v>
      </c>
      <c r="P47" s="6">
        <v>61</v>
      </c>
    </row>
    <row r="48" ht="17" customHeight="1">
      <c r="A48" s="0">
        <v>57</v>
      </c>
      <c r="B48" s="0" t="inlineStr">
        <is>
          <t>P021</t>
        </is>
      </c>
      <c r="C48" s="0" t="inlineStr">
        <is>
          <t>2026-10-02 14:58:32.008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Normal</t>
        </is>
      </c>
      <c r="H48" s="4">
        <v>20.864</v>
      </c>
      <c r="I48" s="4">
        <v>20.8747</v>
      </c>
      <c r="J48" s="4">
        <v>0.0107</v>
      </c>
      <c r="K48" s="4">
        <v>0.0107</v>
      </c>
      <c r="P48" s="0">
        <v>62</v>
      </c>
    </row>
    <row r="49" ht="17" customHeight="1">
      <c r="A49" s="6">
        <v>58</v>
      </c>
      <c r="B49" s="6" t="inlineStr">
        <is>
          <t>P021</t>
        </is>
      </c>
      <c r="C49" s="6" t="inlineStr">
        <is>
          <t>2026-10-02 14:58:32.785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H49" s="4">
        <v>21.632</v>
      </c>
      <c r="P49" s="6">
        <v>63</v>
      </c>
    </row>
    <row r="50" ht="17" customHeight="1">
      <c r="A50" s="0">
        <v>59</v>
      </c>
      <c r="B50" s="0" t="inlineStr">
        <is>
          <t>P021</t>
        </is>
      </c>
      <c r="C50" s="0" t="inlineStr">
        <is>
          <t>2026-10-02 14:58:32.800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H50" s="4">
        <v>21.632</v>
      </c>
      <c r="P50" s="0">
        <v>64</v>
      </c>
    </row>
    <row r="51" ht="17" customHeight="1">
      <c r="A51" s="6">
        <v>60</v>
      </c>
      <c r="B51" s="6" t="inlineStr">
        <is>
          <t>P021</t>
        </is>
      </c>
      <c r="C51" s="6" t="inlineStr">
        <is>
          <t>2026-10-02 14:58:33.494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H51" s="4">
        <v>22.4</v>
      </c>
      <c r="I51" s="4">
        <v>22.3747</v>
      </c>
      <c r="J51" s="4">
        <v>-0.0253</v>
      </c>
      <c r="K51" s="4">
        <v>0.0253</v>
      </c>
      <c r="P51" s="6">
        <v>65</v>
      </c>
    </row>
    <row r="52" ht="17" customHeight="1">
      <c r="A52" s="0">
        <v>61</v>
      </c>
      <c r="B52" s="0" t="inlineStr">
        <is>
          <t>P021</t>
        </is>
      </c>
      <c r="C52" s="0" t="inlineStr">
        <is>
          <t>2026-10-02 14:58:33.605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H52" s="4">
        <v>22.4</v>
      </c>
      <c r="P52" s="0">
        <v>66</v>
      </c>
    </row>
    <row r="53" ht="17" customHeight="1">
      <c r="A53" s="6">
        <v>62</v>
      </c>
      <c r="B53" s="6" t="inlineStr">
        <is>
          <t>P021</t>
        </is>
      </c>
      <c r="C53" s="6" t="inlineStr">
        <is>
          <t>2026-10-02 14:58:34.271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Normal</t>
        </is>
      </c>
      <c r="H53" s="4">
        <v>23.168</v>
      </c>
      <c r="P53" s="6">
        <v>67</v>
      </c>
    </row>
    <row r="54" ht="17" customHeight="1">
      <c r="A54" s="0">
        <v>64</v>
      </c>
      <c r="B54" s="0" t="inlineStr">
        <is>
          <t>P021</t>
        </is>
      </c>
      <c r="C54" s="0" t="inlineStr">
        <is>
          <t>2026-10-02 14:58:34.272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Failed</t>
        </is>
      </c>
      <c r="G54" s="0" t="inlineStr">
        <is>
          <t>Hard</t>
        </is>
      </c>
      <c r="H54" s="4">
        <v>23.168</v>
      </c>
      <c r="P54" s="0">
        <v>69</v>
      </c>
    </row>
    <row r="55" ht="17" customHeight="1">
      <c r="A55" s="6">
        <v>65</v>
      </c>
      <c r="B55" s="6" t="inlineStr">
        <is>
          <t>P021</t>
        </is>
      </c>
      <c r="C55" s="6" t="inlineStr">
        <is>
          <t>2026-10-02 14:58:35.382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H55" s="4">
        <v>23.936</v>
      </c>
      <c r="P55" s="6">
        <v>70</v>
      </c>
    </row>
    <row r="56" ht="17" customHeight="1">
      <c r="A56" s="0">
        <v>66</v>
      </c>
      <c r="B56" s="0" t="inlineStr">
        <is>
          <t>P021</t>
        </is>
      </c>
      <c r="C56" s="0" t="inlineStr">
        <is>
          <t>2026-10-02 14:58:35.770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Hard</t>
        </is>
      </c>
      <c r="H56" s="4">
        <v>24.32</v>
      </c>
      <c r="P56" s="0">
        <v>71</v>
      </c>
    </row>
    <row r="57" ht="17" customHeight="1">
      <c r="A57" s="6">
        <v>67</v>
      </c>
      <c r="B57" s="6" t="inlineStr">
        <is>
          <t>P021</t>
        </is>
      </c>
      <c r="C57" s="6" t="inlineStr">
        <is>
          <t>2026-10-02 14:58:35.770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H57" s="4">
        <v>24.32</v>
      </c>
      <c r="P57" s="6">
        <v>72</v>
      </c>
    </row>
    <row r="58" ht="17" customHeight="1">
      <c r="A58" s="0">
        <v>68</v>
      </c>
      <c r="B58" s="0" t="inlineStr">
        <is>
          <t>P021</t>
        </is>
      </c>
      <c r="C58" s="0" t="inlineStr">
        <is>
          <t>2026-10-02 14:58:35.813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Hard</t>
        </is>
      </c>
      <c r="H58" s="4">
        <v>24.704</v>
      </c>
      <c r="P58" s="0">
        <v>73</v>
      </c>
    </row>
    <row r="59" ht="17" customHeight="1">
      <c r="A59" s="6">
        <v>72</v>
      </c>
      <c r="B59" s="6" t="inlineStr">
        <is>
          <t>P021</t>
        </is>
      </c>
      <c r="C59" s="6" t="inlineStr">
        <is>
          <t>2026-10-02 14:58:35.882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H59" s="4">
        <v>24.704</v>
      </c>
      <c r="P59" s="6">
        <v>77</v>
      </c>
    </row>
    <row r="60" ht="17" customHeight="1">
      <c r="A60" s="0">
        <v>73</v>
      </c>
      <c r="B60" s="0" t="inlineStr">
        <is>
          <t>P021</t>
        </is>
      </c>
      <c r="C60" s="0" t="inlineStr">
        <is>
          <t>2026-10-02 14:58:36.187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Normal</t>
        </is>
      </c>
      <c r="H60" s="4">
        <v>25.088</v>
      </c>
      <c r="P60" s="0">
        <v>78</v>
      </c>
    </row>
    <row r="61" ht="17" customHeight="1">
      <c r="A61" s="6">
        <v>74</v>
      </c>
      <c r="B61" s="6" t="inlineStr">
        <is>
          <t>P021</t>
        </is>
      </c>
      <c r="C61" s="6" t="inlineStr">
        <is>
          <t>2026-10-02 14:58:36.548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Normal</t>
        </is>
      </c>
      <c r="H61" s="4">
        <v>25.088</v>
      </c>
      <c r="P61" s="6">
        <v>79</v>
      </c>
    </row>
    <row r="62" ht="17" customHeight="1">
      <c r="A62" s="0">
        <v>75</v>
      </c>
      <c r="B62" s="0" t="inlineStr">
        <is>
          <t>P021</t>
        </is>
      </c>
      <c r="C62" s="0" t="inlineStr">
        <is>
          <t>2026-10-02 14:58:36.590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Success</t>
        </is>
      </c>
      <c r="G62" s="0" t="inlineStr">
        <is>
          <t>Normal</t>
        </is>
      </c>
      <c r="H62" s="4">
        <v>25.472</v>
      </c>
      <c r="P62" s="0">
        <v>80</v>
      </c>
    </row>
    <row r="63" ht="17" customHeight="1">
      <c r="A63" s="6">
        <v>76</v>
      </c>
      <c r="B63" s="6" t="inlineStr">
        <is>
          <t>P021</t>
        </is>
      </c>
      <c r="C63" s="6" t="inlineStr">
        <is>
          <t>2026-10-02 14:58:37.410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Normal</t>
        </is>
      </c>
      <c r="H63" s="4">
        <v>26.24</v>
      </c>
      <c r="P63" s="6">
        <v>81</v>
      </c>
    </row>
    <row r="64" ht="17" customHeight="1">
      <c r="A64" s="0">
        <v>77</v>
      </c>
      <c r="B64" s="0" t="inlineStr">
        <is>
          <t>P021</t>
        </is>
      </c>
      <c r="C64" s="0" t="inlineStr">
        <is>
          <t>2026-10-02 14:58:37.687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Normal</t>
        </is>
      </c>
      <c r="H64" s="4">
        <v>26.24</v>
      </c>
      <c r="P64" s="0">
        <v>82</v>
      </c>
    </row>
    <row r="65" ht="17" customHeight="1">
      <c r="A65" s="6">
        <v>78</v>
      </c>
      <c r="B65" s="6" t="inlineStr">
        <is>
          <t>P021</t>
        </is>
      </c>
      <c r="C65" s="6" t="inlineStr">
        <is>
          <t>2026-10-02 14:58:38.104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Normal</t>
        </is>
      </c>
      <c r="H65" s="4">
        <v>27.008</v>
      </c>
      <c r="P65" s="6">
        <v>83</v>
      </c>
    </row>
    <row r="66" ht="17" customHeight="1">
      <c r="A66" s="0">
        <v>79</v>
      </c>
      <c r="B66" s="0" t="inlineStr">
        <is>
          <t>P021</t>
        </is>
      </c>
      <c r="C66" s="0" t="inlineStr">
        <is>
          <t>2026-10-02 14:58:38.160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Success</t>
        </is>
      </c>
      <c r="G66" s="0" t="inlineStr">
        <is>
          <t>Normal</t>
        </is>
      </c>
      <c r="H66" s="4">
        <v>27.008</v>
      </c>
      <c r="P66" s="0">
        <v>84</v>
      </c>
    </row>
    <row r="67" ht="17" customHeight="1">
      <c r="A67" s="6">
        <v>80</v>
      </c>
      <c r="B67" s="6" t="inlineStr">
        <is>
          <t>P021</t>
        </is>
      </c>
      <c r="C67" s="6" t="inlineStr">
        <is>
          <t>2026-10-02 14:58:38.868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H67" s="4">
        <v>27.776</v>
      </c>
      <c r="I67" s="4">
        <v>27.7487</v>
      </c>
      <c r="J67" s="4">
        <v>-0.0273</v>
      </c>
      <c r="K67" s="4">
        <v>0.0273</v>
      </c>
      <c r="P67" s="6">
        <v>85</v>
      </c>
    </row>
    <row r="68" ht="17" customHeight="1">
      <c r="A68" s="0">
        <v>81</v>
      </c>
      <c r="B68" s="0" t="inlineStr">
        <is>
          <t>P021</t>
        </is>
      </c>
      <c r="C68" s="0" t="inlineStr">
        <is>
          <t>2026-10-02 14:58:38.951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Success</t>
        </is>
      </c>
      <c r="G68" s="0" t="inlineStr">
        <is>
          <t>Normal</t>
        </is>
      </c>
      <c r="H68" s="4">
        <v>27.776</v>
      </c>
      <c r="P68" s="0">
        <v>86</v>
      </c>
    </row>
    <row r="69" ht="17" customHeight="1">
      <c r="A69" s="6">
        <v>82</v>
      </c>
      <c r="B69" s="6" t="inlineStr">
        <is>
          <t>P021</t>
        </is>
      </c>
      <c r="C69" s="6" t="inlineStr">
        <is>
          <t>2026-10-02 14:58:39.673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H69" s="4">
        <v>28.544</v>
      </c>
      <c r="I69" s="4">
        <v>28.554</v>
      </c>
      <c r="J69" s="4">
        <v>0.01</v>
      </c>
      <c r="K69" s="4">
        <v>0.01</v>
      </c>
      <c r="P69" s="6">
        <v>87</v>
      </c>
    </row>
    <row r="70" ht="17" customHeight="1">
      <c r="A70" s="0">
        <v>84</v>
      </c>
      <c r="B70" s="0" t="inlineStr">
        <is>
          <t>P021</t>
        </is>
      </c>
      <c r="C70" s="0" t="inlineStr">
        <is>
          <t>2026-10-02 14:58:39.729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Hard</t>
        </is>
      </c>
      <c r="H70" s="4">
        <v>28.544</v>
      </c>
      <c r="P70" s="0">
        <v>89</v>
      </c>
    </row>
    <row r="71" ht="17" customHeight="1">
      <c r="A71" s="6">
        <v>85</v>
      </c>
      <c r="B71" s="6" t="inlineStr">
        <is>
          <t>P021</t>
        </is>
      </c>
      <c r="C71" s="6" t="inlineStr">
        <is>
          <t>2026-10-02 14:58:40.770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Missed</t>
        </is>
      </c>
      <c r="G71" s="6" t="inlineStr">
        <is>
          <t>Hard</t>
        </is>
      </c>
      <c r="H71" s="4">
        <v>29.312</v>
      </c>
      <c r="P71" s="6">
        <v>90</v>
      </c>
    </row>
    <row r="72" ht="17" customHeight="1">
      <c r="A72" s="0">
        <v>86</v>
      </c>
      <c r="B72" s="0" t="inlineStr">
        <is>
          <t>P021</t>
        </is>
      </c>
      <c r="C72" s="0" t="inlineStr">
        <is>
          <t>2026-10-02 14:58:40.770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H72" s="4">
        <v>29.312</v>
      </c>
      <c r="P72" s="0">
        <v>91</v>
      </c>
    </row>
    <row r="73" ht="17" customHeight="1">
      <c r="A73" s="6">
        <v>87</v>
      </c>
      <c r="B73" s="6" t="inlineStr">
        <is>
          <t>P021</t>
        </is>
      </c>
      <c r="C73" s="6" t="inlineStr">
        <is>
          <t>2026-10-02 14:58:40.785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29.696</v>
      </c>
      <c r="I73" s="4">
        <v>29.6659</v>
      </c>
      <c r="J73" s="4">
        <v>-0.0301</v>
      </c>
      <c r="K73" s="4">
        <v>0.0301</v>
      </c>
      <c r="P73" s="6">
        <v>92</v>
      </c>
    </row>
    <row r="74" ht="17" customHeight="1">
      <c r="A74" s="0">
        <v>88</v>
      </c>
      <c r="B74" s="0" t="inlineStr">
        <is>
          <t>P021</t>
        </is>
      </c>
      <c r="C74" s="0" t="inlineStr">
        <is>
          <t>2026-10-02 14:58:41.521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H74" s="4">
        <v>30.08</v>
      </c>
      <c r="P74" s="0">
        <v>93</v>
      </c>
    </row>
    <row r="75" ht="17" customHeight="1">
      <c r="A75" s="6">
        <v>91</v>
      </c>
      <c r="B75" s="6" t="inlineStr">
        <is>
          <t>P021</t>
        </is>
      </c>
      <c r="C75" s="6" t="inlineStr">
        <is>
          <t>2026-10-02 14:58:41.521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Normal</t>
        </is>
      </c>
      <c r="H75" s="4">
        <v>30.08</v>
      </c>
      <c r="P75" s="6">
        <v>96</v>
      </c>
    </row>
    <row r="76" ht="17" customHeight="1">
      <c r="A76" s="0">
        <v>93</v>
      </c>
      <c r="B76" s="0" t="inlineStr">
        <is>
          <t>P021</t>
        </is>
      </c>
      <c r="C76" s="0" t="inlineStr">
        <is>
          <t>2026-10-02 14:58:41.910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Normal</t>
        </is>
      </c>
      <c r="H76" s="4">
        <v>30.464</v>
      </c>
      <c r="P76" s="0">
        <v>98</v>
      </c>
    </row>
    <row r="77" ht="17" customHeight="1">
      <c r="A77" s="6">
        <v>94</v>
      </c>
      <c r="B77" s="6" t="inlineStr">
        <is>
          <t>P021</t>
        </is>
      </c>
      <c r="C77" s="6" t="inlineStr">
        <is>
          <t>2026-10-02 14:58:42.284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Normal</t>
        </is>
      </c>
      <c r="H77" s="4">
        <v>30.848</v>
      </c>
      <c r="P77" s="6">
        <v>99</v>
      </c>
    </row>
    <row r="78" ht="17" customHeight="1">
      <c r="A78" s="0">
        <v>95</v>
      </c>
      <c r="B78" s="0" t="inlineStr">
        <is>
          <t>P021</t>
        </is>
      </c>
      <c r="C78" s="0" t="inlineStr">
        <is>
          <t>2026-10-02 14:58:42.284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Normal</t>
        </is>
      </c>
      <c r="H78" s="4">
        <v>30.848</v>
      </c>
      <c r="P78" s="0">
        <v>100</v>
      </c>
    </row>
    <row r="79" ht="17" customHeight="1">
      <c r="A79" s="6">
        <v>96</v>
      </c>
      <c r="B79" s="6" t="inlineStr">
        <is>
          <t>P021</t>
        </is>
      </c>
      <c r="C79" s="6" t="inlineStr">
        <is>
          <t>2026-10-02 14:58:45.130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H79" s="4">
        <v>33.92</v>
      </c>
      <c r="I79" s="4">
        <v>33.9972</v>
      </c>
      <c r="J79" s="4">
        <v>0.0772</v>
      </c>
      <c r="K79" s="4">
        <v>0.0772</v>
      </c>
      <c r="P79" s="6">
        <v>101</v>
      </c>
    </row>
    <row r="80" ht="17" customHeight="1">
      <c r="A80" s="0">
        <v>97</v>
      </c>
      <c r="B80" s="0" t="inlineStr">
        <is>
          <t>P021</t>
        </is>
      </c>
      <c r="C80" s="0" t="inlineStr">
        <is>
          <t>2026-10-02 14:58:47.186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H80" s="4">
        <v>36.224</v>
      </c>
      <c r="I80" s="4">
        <v>36.0527</v>
      </c>
      <c r="J80" s="4">
        <v>-0.1713</v>
      </c>
      <c r="K80" s="4">
        <v>0.1713</v>
      </c>
      <c r="P80" s="0">
        <v>102</v>
      </c>
    </row>
    <row r="81" ht="17" customHeight="1">
      <c r="A81" s="6">
        <v>98</v>
      </c>
      <c r="B81" s="6" t="inlineStr">
        <is>
          <t>P021</t>
        </is>
      </c>
      <c r="C81" s="6" t="inlineStr">
        <is>
          <t>2026-10-02 14:58:48.435</t>
        </is>
      </c>
      <c r="D81" s="6" t="inlineStr">
        <is>
          <t>Joaquin</t>
        </is>
      </c>
      <c r="E81" s="6" t="inlineStr">
        <is>
          <t>PlayerHit</t>
        </is>
      </c>
      <c r="F81" s="6" t="inlineStr">
        <is>
          <t>Failed</t>
        </is>
      </c>
      <c r="G81" s="6" t="inlineStr">
        <is>
          <t>Normal</t>
        </is>
      </c>
      <c r="H81" s="4">
        <v>37.3025</v>
      </c>
      <c r="P81" s="6">
        <v>103</v>
      </c>
    </row>
    <row r="82" ht="17" customHeight="1">
      <c r="A82" s="0">
        <v>99</v>
      </c>
      <c r="B82" s="0" t="inlineStr">
        <is>
          <t>P021</t>
        </is>
      </c>
      <c r="C82" s="0" t="inlineStr">
        <is>
          <t>2026-10-02 14:58:49.491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Normal</t>
        </is>
      </c>
      <c r="H82" s="4">
        <v>38.528</v>
      </c>
      <c r="I82" s="4">
        <v>38.3583</v>
      </c>
      <c r="J82" s="4">
        <v>-0.1697</v>
      </c>
      <c r="K82" s="4">
        <v>0.1697</v>
      </c>
      <c r="P82" s="0">
        <v>104</v>
      </c>
    </row>
    <row r="83" ht="17" customHeight="1">
      <c r="A83" s="6">
        <v>100</v>
      </c>
      <c r="B83" s="6" t="inlineStr">
        <is>
          <t>P021</t>
        </is>
      </c>
      <c r="C83" s="6" t="inlineStr">
        <is>
          <t>2026-10-02 14:58:50.200</t>
        </is>
      </c>
      <c r="D83" s="6" t="inlineStr">
        <is>
          <t>Joaquin</t>
        </is>
      </c>
      <c r="E83" s="6" t="inlineStr">
        <is>
          <t>PlayerHit</t>
        </is>
      </c>
      <c r="F83" s="6" t="inlineStr">
        <is>
          <t>Failed</t>
        </is>
      </c>
      <c r="G83" s="6" t="inlineStr">
        <is>
          <t>Normal</t>
        </is>
      </c>
      <c r="H83" s="4">
        <v>39.0663</v>
      </c>
      <c r="P83" s="6">
        <v>105</v>
      </c>
    </row>
    <row r="84" ht="17" customHeight="1">
      <c r="A84" s="0">
        <v>101</v>
      </c>
      <c r="B84" s="0" t="inlineStr">
        <is>
          <t>P021</t>
        </is>
      </c>
      <c r="C84" s="0" t="inlineStr">
        <is>
          <t>2026-10-02 14:58:52.284</t>
        </is>
      </c>
      <c r="D84" s="0" t="inlineStr">
        <is>
          <t>Joaquin</t>
        </is>
      </c>
      <c r="E84" s="0" t="inlineStr">
        <is>
          <t>PlayerHit</t>
        </is>
      </c>
      <c r="F84" s="0" t="inlineStr">
        <is>
          <t>Failed</t>
        </is>
      </c>
      <c r="G84" s="0" t="inlineStr">
        <is>
          <t>Normal</t>
        </is>
      </c>
      <c r="H84" s="4">
        <v>41.1507</v>
      </c>
      <c r="P84" s="0">
        <v>106</v>
      </c>
    </row>
    <row r="85" ht="17" customHeight="1">
      <c r="A85" s="6">
        <v>102</v>
      </c>
      <c r="B85" s="6" t="inlineStr">
        <is>
          <t>P021</t>
        </is>
      </c>
      <c r="C85" s="6" t="inlineStr">
        <is>
          <t>2026-10-02 14:58:52.728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Normal</t>
        </is>
      </c>
      <c r="H85" s="4">
        <v>41.6</v>
      </c>
      <c r="I85" s="4">
        <v>41.5948</v>
      </c>
      <c r="J85" s="4">
        <v>-0.0052</v>
      </c>
      <c r="K85" s="4">
        <v>0.0052</v>
      </c>
      <c r="P85" s="6">
        <v>107</v>
      </c>
    </row>
    <row r="86" ht="17" customHeight="1">
      <c r="A86" s="0">
        <v>103</v>
      </c>
      <c r="B86" s="0" t="inlineStr">
        <is>
          <t>P021</t>
        </is>
      </c>
      <c r="C86" s="0" t="inlineStr">
        <is>
          <t>2026-10-02 14:58:53.436</t>
        </is>
      </c>
      <c r="D86" s="0" t="inlineStr">
        <is>
          <t>Joaquin</t>
        </is>
      </c>
      <c r="E86" s="0" t="inlineStr">
        <is>
          <t>PlayerHit</t>
        </is>
      </c>
      <c r="F86" s="0" t="inlineStr">
        <is>
          <t>Failed</t>
        </is>
      </c>
      <c r="G86" s="0" t="inlineStr">
        <is>
          <t>Normal</t>
        </is>
      </c>
      <c r="H86" s="4">
        <v>42.3026</v>
      </c>
      <c r="P86" s="0">
        <v>108</v>
      </c>
    </row>
    <row r="87" ht="17" customHeight="1">
      <c r="A87" s="6">
        <v>104</v>
      </c>
      <c r="B87" s="6" t="inlineStr">
        <is>
          <t>P021</t>
        </is>
      </c>
      <c r="C87" s="6" t="inlineStr">
        <is>
          <t>2026-10-02 14:58:53.575</t>
        </is>
      </c>
      <c r="D87" s="6" t="inlineStr">
        <is>
          <t>Joaquin</t>
        </is>
      </c>
      <c r="E87" s="6" t="inlineStr">
        <is>
          <t>PlayerHit</t>
        </is>
      </c>
      <c r="F87" s="6" t="inlineStr">
        <is>
          <t>Failed</t>
        </is>
      </c>
      <c r="G87" s="6" t="inlineStr">
        <is>
          <t>Normal</t>
        </is>
      </c>
      <c r="H87" s="4">
        <v>42.4417</v>
      </c>
      <c r="P87" s="6">
        <v>109</v>
      </c>
    </row>
    <row r="88" ht="17" customHeight="1">
      <c r="A88" s="0">
        <v>108</v>
      </c>
      <c r="B88" s="0" t="inlineStr">
        <is>
          <t>P021</t>
        </is>
      </c>
      <c r="C88" s="0" t="inlineStr">
        <is>
          <t>2026-10-02 14:58:54.088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Easy</t>
        </is>
      </c>
      <c r="H88" s="4">
        <v>43.136</v>
      </c>
      <c r="I88" s="4">
        <v>42.9557</v>
      </c>
      <c r="J88" s="4">
        <v>-0.1803</v>
      </c>
      <c r="K88" s="4">
        <v>0.1803</v>
      </c>
      <c r="P88" s="0">
        <v>113</v>
      </c>
    </row>
    <row r="89" ht="17" customHeight="1">
      <c r="A89" s="6">
        <v>109</v>
      </c>
      <c r="B89" s="6" t="inlineStr">
        <is>
          <t>P021</t>
        </is>
      </c>
      <c r="C89" s="6" t="inlineStr">
        <is>
          <t>2026-10-02 14:58:56.698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Easy</t>
        </is>
      </c>
      <c r="H89" s="4">
        <v>45.44</v>
      </c>
      <c r="I89" s="4">
        <v>45.5664</v>
      </c>
      <c r="J89" s="4">
        <v>0.1264</v>
      </c>
      <c r="K89" s="4">
        <v>0.1264</v>
      </c>
      <c r="P89" s="6">
        <v>114</v>
      </c>
    </row>
    <row r="90" ht="17" customHeight="1">
      <c r="A90" s="0">
        <v>110</v>
      </c>
      <c r="B90" s="0" t="inlineStr">
        <is>
          <t>P021</t>
        </is>
      </c>
      <c r="C90" s="0" t="inlineStr">
        <is>
          <t>2026-10-02 14:58:59.351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Easy</t>
        </is>
      </c>
      <c r="H90" s="4">
        <v>48.128</v>
      </c>
      <c r="I90" s="4">
        <v>48.2186</v>
      </c>
      <c r="J90" s="4">
        <v>0.0906</v>
      </c>
      <c r="K90" s="4">
        <v>0.0906</v>
      </c>
      <c r="P90" s="0">
        <v>115</v>
      </c>
    </row>
    <row r="91" ht="17" customHeight="1">
      <c r="A91" s="6">
        <v>111</v>
      </c>
      <c r="B91" s="6" t="inlineStr">
        <is>
          <t>P021</t>
        </is>
      </c>
      <c r="C91" s="6" t="inlineStr">
        <is>
          <t>2026-10-02 14:59:01.740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Easy</t>
        </is>
      </c>
      <c r="H91" s="4">
        <v>50.432</v>
      </c>
      <c r="I91" s="4">
        <v>50.6069</v>
      </c>
      <c r="J91" s="4">
        <v>0.1749</v>
      </c>
      <c r="K91" s="4">
        <v>0.1749</v>
      </c>
      <c r="P91" s="6">
        <v>116</v>
      </c>
    </row>
    <row r="92" ht="17" customHeight="1">
      <c r="A92" s="0">
        <v>112</v>
      </c>
      <c r="B92" s="0" t="inlineStr">
        <is>
          <t>P021</t>
        </is>
      </c>
      <c r="C92" s="0" t="inlineStr">
        <is>
          <t>2026-10-02 14:59:04.129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Easy</t>
        </is>
      </c>
      <c r="H92" s="4">
        <v>53.12</v>
      </c>
      <c r="I92" s="4">
        <v>52.9958</v>
      </c>
      <c r="J92" s="4">
        <v>-0.1242</v>
      </c>
      <c r="K92" s="4">
        <v>0.1242</v>
      </c>
      <c r="P92" s="0">
        <v>117</v>
      </c>
    </row>
    <row r="93" ht="17" customHeight="1">
      <c r="A93" s="6">
        <v>113</v>
      </c>
      <c r="B93" s="6" t="inlineStr">
        <is>
          <t>P021</t>
        </is>
      </c>
      <c r="C93" s="6" t="inlineStr">
        <is>
          <t>2026-10-02 14:59:06.767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Easy</t>
        </is>
      </c>
      <c r="H93" s="4">
        <v>55.808</v>
      </c>
      <c r="I93" s="4">
        <v>55.6338</v>
      </c>
      <c r="J93" s="4">
        <v>-0.1742</v>
      </c>
      <c r="K93" s="4">
        <v>0.1742</v>
      </c>
      <c r="P93" s="6">
        <v>118</v>
      </c>
    </row>
    <row r="94" ht="17" customHeight="1">
      <c r="A94" s="0">
        <v>114</v>
      </c>
      <c r="B94" s="0" t="inlineStr">
        <is>
          <t>P021</t>
        </is>
      </c>
      <c r="C94" s="0" t="inlineStr">
        <is>
          <t>2026-10-02 14:59:10.420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Easy</t>
        </is>
      </c>
      <c r="H94" s="4">
        <v>59.264</v>
      </c>
      <c r="I94" s="4">
        <v>59.2869</v>
      </c>
      <c r="J94" s="4">
        <v>0.0229</v>
      </c>
      <c r="K94" s="4">
        <v>0.0229</v>
      </c>
      <c r="P94" s="0">
        <v>119</v>
      </c>
    </row>
    <row r="95" ht="17" customHeight="1">
      <c r="A95" s="6">
        <v>115</v>
      </c>
      <c r="B95" s="6" t="inlineStr">
        <is>
          <t>P021</t>
        </is>
      </c>
      <c r="C95" s="6" t="inlineStr">
        <is>
          <t>2026-10-02 14:59:12.531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Easy</t>
        </is>
      </c>
      <c r="H95" s="4">
        <v>61.568</v>
      </c>
      <c r="I95" s="4">
        <v>61.3985</v>
      </c>
      <c r="J95" s="4">
        <v>-0.1695</v>
      </c>
      <c r="K95" s="4">
        <v>0.1695</v>
      </c>
      <c r="P95" s="6">
        <v>120</v>
      </c>
    </row>
    <row r="96" ht="17" customHeight="1">
      <c r="A96" s="0">
        <v>117</v>
      </c>
      <c r="B96" s="0" t="inlineStr">
        <is>
          <t>P021</t>
        </is>
      </c>
      <c r="C96" s="0" t="inlineStr">
        <is>
          <t>2026-10-02 14:59:12.670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Normal</t>
        </is>
      </c>
      <c r="H96" s="4">
        <v>61.568</v>
      </c>
      <c r="I96" s="4">
        <v>61.5372</v>
      </c>
      <c r="J96" s="4">
        <v>-0.0308</v>
      </c>
      <c r="K96" s="4">
        <v>0.0308</v>
      </c>
      <c r="P96" s="0">
        <v>122</v>
      </c>
    </row>
    <row r="97" ht="17" customHeight="1">
      <c r="A97" s="6">
        <v>119</v>
      </c>
      <c r="B97" s="6" t="inlineStr">
        <is>
          <t>P021</t>
        </is>
      </c>
      <c r="C97" s="6" t="inlineStr">
        <is>
          <t>2026-10-02 14:59:17.851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Failed</t>
        </is>
      </c>
      <c r="G97" s="6" t="inlineStr">
        <is>
          <t>Normal</t>
        </is>
      </c>
      <c r="H97" s="4">
        <v>66.6368</v>
      </c>
      <c r="I97" s="4">
        <v>66.7181</v>
      </c>
      <c r="J97" s="4">
        <v>0.0813</v>
      </c>
      <c r="K97" s="4">
        <v>0.0813</v>
      </c>
      <c r="L97" s="4">
        <v>0.9261</v>
      </c>
      <c r="N97" s="4">
        <v>0.0</v>
      </c>
      <c r="P97" s="6">
        <v>124</v>
      </c>
    </row>
    <row r="98" ht="17" customHeight="1">
      <c r="A98" s="0">
        <v>121</v>
      </c>
      <c r="B98" s="0" t="inlineStr">
        <is>
          <t>P021</t>
        </is>
      </c>
      <c r="C98" s="0" t="inlineStr">
        <is>
          <t>2026-10-02 14:59:19.086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Normal</t>
        </is>
      </c>
      <c r="H98" s="4">
        <v>68.1728</v>
      </c>
      <c r="I98" s="4">
        <v>67.954</v>
      </c>
      <c r="J98" s="4">
        <v>-0.2188</v>
      </c>
      <c r="K98" s="4">
        <v>0.2188</v>
      </c>
      <c r="L98" s="4">
        <v>0.626</v>
      </c>
      <c r="N98" s="4">
        <v>0.0</v>
      </c>
      <c r="P98" s="0">
        <v>126</v>
      </c>
    </row>
    <row r="99" ht="17" customHeight="1">
      <c r="A99" s="6">
        <v>122</v>
      </c>
      <c r="B99" s="6" t="inlineStr">
        <is>
          <t>P021</t>
        </is>
      </c>
      <c r="C99" s="6" t="inlineStr">
        <is>
          <t>2026-10-02 14:59:20.406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Success</t>
        </is>
      </c>
      <c r="G99" s="6" t="inlineStr">
        <is>
          <t>Normal</t>
        </is>
      </c>
      <c r="H99" s="4">
        <v>69.7088</v>
      </c>
      <c r="I99" s="4">
        <v>69.2735</v>
      </c>
      <c r="J99" s="4">
        <v>-0.4353</v>
      </c>
      <c r="K99" s="4">
        <v>0.4353</v>
      </c>
      <c r="L99" s="4">
        <v>0.4095</v>
      </c>
      <c r="N99" s="4">
        <v>1.0</v>
      </c>
      <c r="P99" s="6">
        <v>127</v>
      </c>
    </row>
    <row r="100" ht="17" customHeight="1">
      <c r="A100" s="0">
        <v>123</v>
      </c>
      <c r="B100" s="0" t="inlineStr">
        <is>
          <t>P021</t>
        </is>
      </c>
      <c r="C100" s="0" t="inlineStr">
        <is>
          <t>2026-10-02 14:59:21.962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Normal</t>
        </is>
      </c>
      <c r="H100" s="4">
        <v>71.2448</v>
      </c>
      <c r="I100" s="4">
        <v>70.8293</v>
      </c>
      <c r="J100" s="4">
        <v>-0.4155</v>
      </c>
      <c r="K100" s="4">
        <v>0.4155</v>
      </c>
      <c r="L100" s="4">
        <v>0.4293</v>
      </c>
      <c r="N100" s="4">
        <v>0.0</v>
      </c>
      <c r="P100" s="0">
        <v>128</v>
      </c>
    </row>
    <row r="101" ht="17" customHeight="1">
      <c r="A101" s="6">
        <v>124</v>
      </c>
      <c r="B101" s="6" t="inlineStr">
        <is>
          <t>P021</t>
        </is>
      </c>
      <c r="C101" s="6" t="inlineStr">
        <is>
          <t>2026-10-02 14:59:23.449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Failed</t>
        </is>
      </c>
      <c r="G101" s="6" t="inlineStr">
        <is>
          <t>Normal</t>
        </is>
      </c>
      <c r="H101" s="4">
        <v>72.7808</v>
      </c>
      <c r="I101" s="4">
        <v>72.3158</v>
      </c>
      <c r="J101" s="4">
        <v>-0.465</v>
      </c>
      <c r="K101" s="4">
        <v>0.465</v>
      </c>
      <c r="L101" s="4">
        <v>0.3798</v>
      </c>
      <c r="N101" s="4">
        <v>0.0</v>
      </c>
      <c r="P101" s="6">
        <v>129</v>
      </c>
    </row>
    <row r="102" ht="17" customHeight="1">
      <c r="A102" s="0">
        <v>128</v>
      </c>
      <c r="B102" s="0" t="inlineStr">
        <is>
          <t>P021</t>
        </is>
      </c>
      <c r="C102" s="0" t="inlineStr">
        <is>
          <t>2026-10-02 14:59:25.408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Failed</t>
        </is>
      </c>
      <c r="G102" s="0" t="inlineStr">
        <is>
          <t>Normal</t>
        </is>
      </c>
      <c r="H102" s="4">
        <v>74.912</v>
      </c>
      <c r="P102" s="0">
        <v>133</v>
      </c>
    </row>
    <row r="103" ht="17" customHeight="1">
      <c r="A103" s="6">
        <v>129</v>
      </c>
      <c r="B103" s="6" t="inlineStr">
        <is>
          <t>P021</t>
        </is>
      </c>
      <c r="C103" s="6" t="inlineStr">
        <is>
          <t>2026-10-02 14:59:27.450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Failed</t>
        </is>
      </c>
      <c r="G103" s="6" t="inlineStr">
        <is>
          <t>Normal</t>
        </is>
      </c>
      <c r="H103" s="4">
        <v>76.832</v>
      </c>
      <c r="I103" s="4">
        <v>76.3174</v>
      </c>
      <c r="J103" s="4">
        <v>-0.5146</v>
      </c>
      <c r="K103" s="4">
        <v>0.5146</v>
      </c>
      <c r="L103" s="4">
        <v>0.5414</v>
      </c>
      <c r="N103" s="4">
        <v>0.0</v>
      </c>
      <c r="P103" s="6">
        <v>134</v>
      </c>
    </row>
    <row r="104" ht="17" customHeight="1">
      <c r="A104" s="0">
        <v>131</v>
      </c>
      <c r="B104" s="0" t="inlineStr">
        <is>
          <t>P021</t>
        </is>
      </c>
      <c r="C104" s="0" t="inlineStr">
        <is>
          <t>2026-10-02 14:59:29.728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Success</t>
        </is>
      </c>
      <c r="G104" s="0" t="inlineStr">
        <is>
          <t>Easy</t>
        </is>
      </c>
      <c r="H104" s="4">
        <v>78.752</v>
      </c>
      <c r="I104" s="4">
        <v>78.5948</v>
      </c>
      <c r="J104" s="4">
        <v>-0.1572</v>
      </c>
      <c r="K104" s="4">
        <v>0.1572</v>
      </c>
      <c r="L104" s="4">
        <v>0.8988</v>
      </c>
      <c r="N104" s="4">
        <v>1.0</v>
      </c>
      <c r="P104" s="0">
        <v>136</v>
      </c>
    </row>
    <row r="105" ht="17" customHeight="1">
      <c r="A105" s="6">
        <v>133</v>
      </c>
      <c r="B105" s="6" t="inlineStr">
        <is>
          <t>P021</t>
        </is>
      </c>
      <c r="C105" s="6" t="inlineStr">
        <is>
          <t>2026-10-02 14:59:31.589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Success</t>
        </is>
      </c>
      <c r="G105" s="6" t="inlineStr">
        <is>
          <t>Easy</t>
        </is>
      </c>
      <c r="H105" s="4">
        <v>80.672</v>
      </c>
      <c r="I105" s="4">
        <v>80.4557</v>
      </c>
      <c r="J105" s="4">
        <v>-0.2163</v>
      </c>
      <c r="K105" s="4">
        <v>0.2163</v>
      </c>
      <c r="L105" s="4">
        <v>0.8397</v>
      </c>
      <c r="N105" s="4">
        <v>1.0</v>
      </c>
      <c r="P105" s="6">
        <v>138</v>
      </c>
    </row>
    <row r="106" ht="17" customHeight="1">
      <c r="A106" s="0">
        <v>134</v>
      </c>
      <c r="B106" s="0" t="inlineStr">
        <is>
          <t>P021</t>
        </is>
      </c>
      <c r="C106" s="0" t="inlineStr">
        <is>
          <t>2026-10-02 14:59:34.602</t>
        </is>
      </c>
      <c r="D106" s="0" t="inlineStr">
        <is>
          <t>Shipi</t>
        </is>
      </c>
      <c r="E106" s="0" t="inlineStr">
        <is>
          <t>FoodClear</t>
        </is>
      </c>
      <c r="F106" s="0" t="inlineStr">
        <is>
          <t>Success</t>
        </is>
      </c>
      <c r="G106" s="0" t="inlineStr">
        <is>
          <t>Easy</t>
        </is>
      </c>
      <c r="H106" s="4">
        <v>82.592</v>
      </c>
      <c r="P106" s="0">
        <v>139</v>
      </c>
    </row>
    <row r="107" ht="17" customHeight="1">
      <c r="A107" s="6">
        <v>135</v>
      </c>
      <c r="B107" s="6" t="inlineStr">
        <is>
          <t>P021</t>
        </is>
      </c>
      <c r="C107" s="6" t="inlineStr">
        <is>
          <t>2026-10-02 14:59:35.282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Success</t>
        </is>
      </c>
      <c r="G107" s="6" t="inlineStr">
        <is>
          <t>Easy</t>
        </is>
      </c>
      <c r="H107" s="4">
        <v>84.512</v>
      </c>
      <c r="I107" s="4">
        <v>84.1499</v>
      </c>
      <c r="J107" s="4">
        <v>-0.3621</v>
      </c>
      <c r="K107" s="4">
        <v>0.3621</v>
      </c>
      <c r="L107" s="4">
        <v>0.6939</v>
      </c>
      <c r="N107" s="4">
        <v>1.0</v>
      </c>
      <c r="P107" s="6">
        <v>140</v>
      </c>
    </row>
    <row r="108" ht="17" customHeight="1">
      <c r="A108" s="0">
        <v>136</v>
      </c>
      <c r="B108" s="0" t="inlineStr">
        <is>
          <t>P021</t>
        </is>
      </c>
      <c r="C108" s="0" t="inlineStr">
        <is>
          <t>2026-10-02 14:59:37.352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Success</t>
        </is>
      </c>
      <c r="G108" s="0" t="inlineStr">
        <is>
          <t>Easy</t>
        </is>
      </c>
      <c r="H108" s="4">
        <v>86.432</v>
      </c>
      <c r="I108" s="4">
        <v>86.2194</v>
      </c>
      <c r="J108" s="4">
        <v>-0.2126</v>
      </c>
      <c r="K108" s="4">
        <v>0.2126</v>
      </c>
      <c r="L108" s="4">
        <v>0.8434</v>
      </c>
      <c r="N108" s="4">
        <v>1.0</v>
      </c>
      <c r="P108" s="0">
        <v>141</v>
      </c>
    </row>
    <row r="109" ht="17" customHeight="1">
      <c r="A109" s="6">
        <v>137</v>
      </c>
      <c r="B109" s="6" t="inlineStr">
        <is>
          <t>P021</t>
        </is>
      </c>
      <c r="C109" s="6" t="inlineStr">
        <is>
          <t>2026-10-02 14:59:39.366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Failed</t>
        </is>
      </c>
      <c r="G109" s="6" t="inlineStr">
        <is>
          <t>Easy</t>
        </is>
      </c>
      <c r="H109" s="4">
        <v>88.352</v>
      </c>
      <c r="I109" s="4">
        <v>88.2324</v>
      </c>
      <c r="J109" s="4">
        <v>-0.1196</v>
      </c>
      <c r="K109" s="4">
        <v>0.1196</v>
      </c>
      <c r="L109" s="4">
        <v>0.9364</v>
      </c>
      <c r="N109" s="4">
        <v>0.0</v>
      </c>
      <c r="P109" s="6">
        <v>142</v>
      </c>
    </row>
    <row r="110" ht="17" customHeight="1">
      <c r="A110" s="0">
        <v>138</v>
      </c>
      <c r="B110" s="0" t="inlineStr">
        <is>
          <t>P021</t>
        </is>
      </c>
      <c r="C110" s="0" t="inlineStr">
        <is>
          <t>2026-10-02 14:59:40.366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H110" s="4">
        <v>90.272</v>
      </c>
      <c r="I110" s="4">
        <v>89.2333</v>
      </c>
      <c r="J110" s="4">
        <v>-1.0387</v>
      </c>
      <c r="K110" s="4">
        <v>1.0387</v>
      </c>
      <c r="L110" s="4">
        <v>0.0173</v>
      </c>
      <c r="N110" s="4">
        <v>0.0</v>
      </c>
      <c r="P110" s="0">
        <v>143</v>
      </c>
    </row>
    <row r="111" ht="17" customHeight="1">
      <c r="A111" s="6">
        <v>139</v>
      </c>
      <c r="B111" s="6" t="inlineStr">
        <is>
          <t>P021</t>
        </is>
      </c>
      <c r="C111" s="6" t="inlineStr">
        <is>
          <t>2026-10-02 14:59:44.200</t>
        </is>
      </c>
      <c r="D111" s="6" t="inlineStr">
        <is>
          <t>Shipi</t>
        </is>
      </c>
      <c r="E111" s="6" t="inlineStr">
        <is>
          <t>FoodClear</t>
        </is>
      </c>
      <c r="F111" s="6" t="inlineStr">
        <is>
          <t>Success</t>
        </is>
      </c>
      <c r="G111" s="6" t="inlineStr">
        <is>
          <t>Easy</t>
        </is>
      </c>
      <c r="H111" s="4">
        <v>92.192</v>
      </c>
      <c r="P111" s="6">
        <v>144</v>
      </c>
    </row>
    <row r="112" ht="17" customHeight="1">
      <c r="A112" s="0">
        <v>141</v>
      </c>
      <c r="B112" s="0" t="inlineStr">
        <is>
          <t>P021</t>
        </is>
      </c>
      <c r="C112" s="0" t="inlineStr">
        <is>
          <t>2026-10-02 14:59:50.465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Failed</t>
        </is>
      </c>
      <c r="G112" s="0" t="inlineStr">
        <is>
          <t>Easy</t>
        </is>
      </c>
      <c r="H112" s="4">
        <v>94.976</v>
      </c>
      <c r="I112" s="4">
        <v>97.2063</v>
      </c>
      <c r="J112" s="4">
        <v>2.2303</v>
      </c>
      <c r="K112" s="4">
        <v>2.2303</v>
      </c>
      <c r="N112" s="4">
        <v>0.0</v>
      </c>
      <c r="O112" s="0" t="b">
        <v>1</v>
      </c>
      <c r="P112" s="0">
        <v>146</v>
      </c>
    </row>
    <row r="113" ht="17" customHeight="1">
      <c r="A113" s="6">
        <v>143</v>
      </c>
      <c r="B113" s="6" t="inlineStr">
        <is>
          <t>P021</t>
        </is>
      </c>
      <c r="C113" s="6" t="inlineStr">
        <is>
          <t>2026-10-02 14:59:52.423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Failed</t>
        </is>
      </c>
      <c r="G113" s="6" t="inlineStr">
        <is>
          <t>Easy</t>
        </is>
      </c>
      <c r="H113" s="4">
        <v>101.12</v>
      </c>
      <c r="I113" s="4">
        <v>100.9562</v>
      </c>
      <c r="J113" s="4">
        <v>-0.1638</v>
      </c>
      <c r="K113" s="4">
        <v>0.1638</v>
      </c>
      <c r="N113" s="4">
        <v>0.0</v>
      </c>
      <c r="O113" s="6" t="b">
        <v>1</v>
      </c>
      <c r="P113" s="6">
        <v>148</v>
      </c>
    </row>
    <row r="114" ht="17" customHeight="1">
      <c r="A114" s="0">
        <v>144</v>
      </c>
      <c r="B114" s="0" t="inlineStr">
        <is>
          <t>P021</t>
        </is>
      </c>
      <c r="C114" s="0" t="inlineStr">
        <is>
          <t>2026-10-02 14:59:53.270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Missed</t>
        </is>
      </c>
      <c r="G114" s="0" t="inlineStr">
        <is>
          <t>Easy</t>
        </is>
      </c>
      <c r="H114" s="4">
        <v>96.128</v>
      </c>
      <c r="P114" s="0">
        <v>149</v>
      </c>
    </row>
    <row r="115" ht="17" customHeight="1">
      <c r="A115" s="6">
        <v>145</v>
      </c>
      <c r="B115" s="6" t="inlineStr">
        <is>
          <t>P021</t>
        </is>
      </c>
      <c r="C115" s="6" t="inlineStr">
        <is>
          <t>2026-10-02 14:59:53.841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H115" s="4">
        <v>102.656</v>
      </c>
      <c r="I115" s="4">
        <v>102.1929</v>
      </c>
      <c r="J115" s="4">
        <v>-0.4631</v>
      </c>
      <c r="K115" s="4">
        <v>0.4631</v>
      </c>
      <c r="N115" s="4">
        <v>0.0</v>
      </c>
      <c r="O115" s="6" t="b">
        <v>0</v>
      </c>
      <c r="P115" s="6">
        <v>150</v>
      </c>
    </row>
    <row r="116" ht="17" customHeight="1">
      <c r="A116" s="0">
        <v>146</v>
      </c>
      <c r="B116" s="0" t="inlineStr">
        <is>
          <t>P021</t>
        </is>
      </c>
      <c r="C116" s="0" t="inlineStr">
        <is>
          <t>2026-10-02 14:59:57.187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H116" s="4">
        <v>104.96</v>
      </c>
      <c r="I116" s="4">
        <v>105.8732</v>
      </c>
      <c r="J116" s="4">
        <v>0.9132</v>
      </c>
      <c r="K116" s="4">
        <v>0.9132</v>
      </c>
      <c r="N116" s="4">
        <v>0.0</v>
      </c>
      <c r="O116" s="0" t="b">
        <v>1</v>
      </c>
      <c r="P116" s="0">
        <v>151</v>
      </c>
    </row>
    <row r="117" ht="17" customHeight="1">
      <c r="A117" s="6">
        <v>148</v>
      </c>
      <c r="B117" s="6" t="inlineStr">
        <is>
          <t>P021</t>
        </is>
      </c>
      <c r="C117" s="6" t="inlineStr">
        <is>
          <t>2026-10-02 14:59:59.185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Success</t>
        </is>
      </c>
      <c r="G117" s="6" t="inlineStr">
        <is>
          <t>Easy</t>
        </is>
      </c>
      <c r="H117" s="4">
        <v>106.88</v>
      </c>
      <c r="I117" s="4">
        <v>107.8867</v>
      </c>
      <c r="J117" s="4">
        <v>1.0067</v>
      </c>
      <c r="K117" s="4">
        <v>1.0067</v>
      </c>
      <c r="N117" s="4">
        <v>1.0</v>
      </c>
      <c r="O117" s="6" t="b">
        <v>1</v>
      </c>
      <c r="P117" s="6">
        <v>153</v>
      </c>
    </row>
    <row r="118" ht="17" customHeight="1">
      <c r="A118" s="0">
        <v>149</v>
      </c>
      <c r="B118" s="0" t="inlineStr">
        <is>
          <t>P021</t>
        </is>
      </c>
      <c r="C118" s="0" t="inlineStr">
        <is>
          <t>2026-10-02 15:00:01.339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Missed</t>
        </is>
      </c>
      <c r="G118" s="0" t="inlineStr">
        <is>
          <t>Easy</t>
        </is>
      </c>
      <c r="H118" s="4">
        <v>104.192</v>
      </c>
      <c r="P118" s="0">
        <v>154</v>
      </c>
    </row>
    <row r="119" ht="17" customHeight="1">
      <c r="A119" s="6">
        <v>150</v>
      </c>
      <c r="B119" s="6" t="inlineStr">
        <is>
          <t>P021</t>
        </is>
      </c>
      <c r="C119" s="6" t="inlineStr">
        <is>
          <t>2026-10-02 15:00:02.519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Failed</t>
        </is>
      </c>
      <c r="G119" s="6" t="inlineStr">
        <is>
          <t>Easy</t>
        </is>
      </c>
      <c r="H119" s="4">
        <v>111.104</v>
      </c>
      <c r="I119" s="4">
        <v>111.2335</v>
      </c>
      <c r="J119" s="4">
        <v>0.1295</v>
      </c>
      <c r="K119" s="4">
        <v>0.1295</v>
      </c>
      <c r="N119" s="4">
        <v>1.0</v>
      </c>
      <c r="O119" s="6" t="b">
        <v>0</v>
      </c>
      <c r="P119" s="6">
        <v>155</v>
      </c>
    </row>
    <row r="120" ht="17" customHeight="1">
      <c r="A120" s="0">
        <v>151</v>
      </c>
      <c r="B120" s="0" t="inlineStr">
        <is>
          <t>P021</t>
        </is>
      </c>
      <c r="C120" s="0" t="inlineStr">
        <is>
          <t>2026-10-02 15:00:03.546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Success</t>
        </is>
      </c>
      <c r="G120" s="0" t="inlineStr">
        <is>
          <t>Easy</t>
        </is>
      </c>
      <c r="H120" s="4">
        <v>109.184</v>
      </c>
      <c r="I120" s="4">
        <v>111.4278</v>
      </c>
      <c r="J120" s="4">
        <v>2.2438</v>
      </c>
      <c r="K120" s="4">
        <v>2.2438</v>
      </c>
      <c r="N120" s="4">
        <v>1.0</v>
      </c>
      <c r="O120" s="0" t="b">
        <v>1</v>
      </c>
      <c r="P120" s="0">
        <v>156</v>
      </c>
    </row>
    <row r="121" ht="17" customHeight="1">
      <c r="A121" s="6">
        <v>152</v>
      </c>
      <c r="B121" s="6" t="inlineStr">
        <is>
          <t>P021</t>
        </is>
      </c>
      <c r="C121" s="6" t="inlineStr">
        <is>
          <t>2026-10-02 15:00:04.630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Failed</t>
        </is>
      </c>
      <c r="G121" s="6" t="inlineStr">
        <is>
          <t>Easy</t>
        </is>
      </c>
      <c r="H121" s="4">
        <v>113.792</v>
      </c>
      <c r="I121" s="4">
        <v>113.3307</v>
      </c>
      <c r="J121" s="4">
        <v>-0.4613</v>
      </c>
      <c r="K121" s="4">
        <v>0.4613</v>
      </c>
      <c r="N121" s="4">
        <v>0.0</v>
      </c>
      <c r="O121" s="6" t="b">
        <v>0</v>
      </c>
      <c r="P121" s="6">
        <v>157</v>
      </c>
    </row>
    <row r="122" ht="17" customHeight="1">
      <c r="A122" s="0">
        <v>153</v>
      </c>
      <c r="B122" s="0" t="inlineStr">
        <is>
          <t>P021</t>
        </is>
      </c>
      <c r="C122" s="0" t="inlineStr">
        <is>
          <t>2026-10-02 15:00:06.824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Failed</t>
        </is>
      </c>
      <c r="G122" s="0" t="inlineStr">
        <is>
          <t>Easy</t>
        </is>
      </c>
      <c r="H122" s="4">
        <v>113.024</v>
      </c>
      <c r="I122" s="4">
        <v>115.4554</v>
      </c>
      <c r="J122" s="4">
        <v>2.4314</v>
      </c>
      <c r="K122" s="4">
        <v>2.4314</v>
      </c>
      <c r="N122" s="4">
        <v>0.0</v>
      </c>
      <c r="O122" s="0" t="b">
        <v>1</v>
      </c>
      <c r="P122" s="0">
        <v>158</v>
      </c>
    </row>
    <row r="123" ht="17" customHeight="1">
      <c r="A123" s="6">
        <v>154</v>
      </c>
      <c r="B123" s="6" t="inlineStr">
        <is>
          <t>P021</t>
        </is>
      </c>
      <c r="C123" s="6" t="inlineStr">
        <is>
          <t>2026-10-02 15:00:07.782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Failed</t>
        </is>
      </c>
      <c r="G123" s="6" t="inlineStr">
        <is>
          <t>Easy</t>
        </is>
      </c>
      <c r="H123" s="4">
        <v>116.096</v>
      </c>
      <c r="I123" s="4">
        <v>116.5108</v>
      </c>
      <c r="J123" s="4">
        <v>0.4148</v>
      </c>
      <c r="K123" s="4">
        <v>0.4148</v>
      </c>
      <c r="N123" s="4">
        <v>0.0</v>
      </c>
      <c r="O123" s="6" t="b">
        <v>0</v>
      </c>
      <c r="P123" s="6">
        <v>159</v>
      </c>
    </row>
    <row r="124" ht="17" customHeight="1">
      <c r="A124" s="0">
        <v>155</v>
      </c>
      <c r="B124" s="0" t="inlineStr">
        <is>
          <t>P021</t>
        </is>
      </c>
      <c r="C124" s="0" t="inlineStr">
        <is>
          <t>2026-10-02 15:00:08.948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Failed</t>
        </is>
      </c>
      <c r="G124" s="0" t="inlineStr">
        <is>
          <t>Easy</t>
        </is>
      </c>
      <c r="H124" s="4">
        <v>117.248</v>
      </c>
      <c r="I124" s="4">
        <v>117.2883</v>
      </c>
      <c r="J124" s="4">
        <v>0.0403</v>
      </c>
      <c r="K124" s="4">
        <v>0.0403</v>
      </c>
      <c r="N124" s="4">
        <v>0.0</v>
      </c>
      <c r="O124" s="0" t="b">
        <v>1</v>
      </c>
      <c r="P124" s="0">
        <v>160</v>
      </c>
    </row>
    <row r="125" ht="17" customHeight="1">
      <c r="A125" s="6">
        <v>156</v>
      </c>
      <c r="B125" s="6" t="inlineStr">
        <is>
          <t>P021</t>
        </is>
      </c>
      <c r="C125" s="6" t="inlineStr">
        <is>
          <t>2026-10-02 15:00:09.921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Failed</t>
        </is>
      </c>
      <c r="G125" s="6" t="inlineStr">
        <is>
          <t>Easy</t>
        </is>
      </c>
      <c r="H125" s="4">
        <v>118.4</v>
      </c>
      <c r="I125" s="4">
        <v>117.9547</v>
      </c>
      <c r="J125" s="4">
        <v>-0.4453</v>
      </c>
      <c r="K125" s="4">
        <v>0.4453</v>
      </c>
      <c r="N125" s="4">
        <v>1.0</v>
      </c>
      <c r="O125" s="6" t="b">
        <v>0</v>
      </c>
      <c r="P125" s="6">
        <v>161</v>
      </c>
    </row>
    <row r="126" ht="17" customHeight="1">
      <c r="A126" s="0">
        <v>157</v>
      </c>
      <c r="B126" s="0" t="inlineStr">
        <is>
          <t>P021</t>
        </is>
      </c>
      <c r="C126" s="0" t="inlineStr">
        <is>
          <t>2026-10-02 15:00:11.686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Failed</t>
        </is>
      </c>
      <c r="G126" s="0" t="inlineStr">
        <is>
          <t>Easy</t>
        </is>
      </c>
      <c r="H126" s="4">
        <v>119.936</v>
      </c>
      <c r="I126" s="4">
        <v>120.2466</v>
      </c>
      <c r="J126" s="4">
        <v>0.3106</v>
      </c>
      <c r="K126" s="4">
        <v>0.3106</v>
      </c>
      <c r="N126" s="4">
        <v>0.0</v>
      </c>
      <c r="O126" s="0" t="b">
        <v>1</v>
      </c>
      <c r="P126" s="0">
        <v>162</v>
      </c>
    </row>
    <row r="127" ht="17" customHeight="1">
      <c r="A127" s="6">
        <v>158</v>
      </c>
      <c r="B127" s="6" t="inlineStr">
        <is>
          <t>P021</t>
        </is>
      </c>
      <c r="C127" s="6" t="inlineStr">
        <is>
          <t>2026-10-02 15:00:13.241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Success</t>
        </is>
      </c>
      <c r="G127" s="6" t="inlineStr">
        <is>
          <t>Easy</t>
        </is>
      </c>
      <c r="H127" s="4">
        <v>121.472</v>
      </c>
      <c r="I127" s="4">
        <v>121.7192</v>
      </c>
      <c r="J127" s="4">
        <v>0.2472</v>
      </c>
      <c r="K127" s="4">
        <v>0.2472</v>
      </c>
      <c r="N127" s="4">
        <v>1.0</v>
      </c>
      <c r="O127" s="6" t="b">
        <v>1</v>
      </c>
      <c r="P127" s="6">
        <v>163</v>
      </c>
    </row>
    <row r="128" ht="17" customHeight="1">
      <c r="A128" s="0">
        <v>160</v>
      </c>
      <c r="B128" s="0" t="inlineStr">
        <is>
          <t>P021</t>
        </is>
      </c>
      <c r="C128" s="0" t="inlineStr">
        <is>
          <t>2026-10-02 15:00:19.831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Easy</t>
        </is>
      </c>
      <c r="H128" s="4">
        <v>128.384</v>
      </c>
      <c r="I128" s="4">
        <v>128.2265</v>
      </c>
      <c r="J128" s="4">
        <v>-0.1575</v>
      </c>
      <c r="K128" s="4">
        <v>0.1575</v>
      </c>
      <c r="P128" s="0">
        <v>165</v>
      </c>
    </row>
    <row r="129" ht="17" customHeight="1">
      <c r="A129" s="6">
        <v>162</v>
      </c>
      <c r="B129" s="6" t="inlineStr">
        <is>
          <t>P021</t>
        </is>
      </c>
      <c r="C129" s="6" t="inlineStr">
        <is>
          <t>2026-10-02 15:00:20.972</t>
        </is>
      </c>
      <c r="D129" s="6" t="inlineStr">
        <is>
          <t>Danniel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Easy</t>
        </is>
      </c>
      <c r="H129" s="4">
        <v>129.8391</v>
      </c>
      <c r="P129" s="6">
        <v>167</v>
      </c>
    </row>
    <row r="130" ht="17" customHeight="1">
      <c r="A130" s="0">
        <v>163</v>
      </c>
      <c r="B130" s="0" t="inlineStr">
        <is>
          <t>P021</t>
        </is>
      </c>
      <c r="C130" s="0" t="inlineStr">
        <is>
          <t>2026-10-02 15:00:22.889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Success</t>
        </is>
      </c>
      <c r="G130" s="0" t="inlineStr">
        <is>
          <t>Easy</t>
        </is>
      </c>
      <c r="H130" s="4">
        <v>131.072</v>
      </c>
      <c r="I130" s="4">
        <v>131.1311</v>
      </c>
      <c r="J130" s="4">
        <v>0.0591</v>
      </c>
      <c r="K130" s="4">
        <v>0.0591</v>
      </c>
      <c r="P130" s="0">
        <v>168</v>
      </c>
    </row>
    <row r="131" ht="17" customHeight="1">
      <c r="A131" s="6">
        <v>164</v>
      </c>
      <c r="B131" s="6" t="inlineStr">
        <is>
          <t>P021</t>
        </is>
      </c>
      <c r="C131" s="6" t="inlineStr">
        <is>
          <t>2026-10-02 15:00:23.390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H131" s="4">
        <v>131.84</v>
      </c>
      <c r="I131" s="4">
        <v>131.7703</v>
      </c>
      <c r="J131" s="4">
        <v>-0.0697</v>
      </c>
      <c r="K131" s="4">
        <v>0.0697</v>
      </c>
      <c r="P131" s="6">
        <v>169</v>
      </c>
    </row>
    <row r="132" ht="17" customHeight="1">
      <c r="A132" s="0">
        <v>165</v>
      </c>
      <c r="B132" s="0" t="inlineStr">
        <is>
          <t>P021</t>
        </is>
      </c>
      <c r="C132" s="0" t="inlineStr">
        <is>
          <t>2026-10-02 15:00:23.904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Failed</t>
        </is>
      </c>
      <c r="G132" s="0" t="inlineStr">
        <is>
          <t>Easy</t>
        </is>
      </c>
      <c r="H132" s="4">
        <v>132.7708</v>
      </c>
      <c r="P132" s="0">
        <v>170</v>
      </c>
    </row>
    <row r="133" ht="17" customHeight="1">
      <c r="A133" s="6">
        <v>166</v>
      </c>
      <c r="B133" s="6" t="inlineStr">
        <is>
          <t>P021</t>
        </is>
      </c>
      <c r="C133" s="6" t="inlineStr">
        <is>
          <t>2026-10-02 15:00:26.446</t>
        </is>
      </c>
      <c r="D133" s="6" t="inlineStr">
        <is>
          <t>Danniel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Easy</t>
        </is>
      </c>
      <c r="H133" s="4">
        <v>135.3133</v>
      </c>
      <c r="P133" s="6">
        <v>171</v>
      </c>
    </row>
    <row r="134" ht="17" customHeight="1">
      <c r="A134" s="0">
        <v>167</v>
      </c>
      <c r="B134" s="0" t="inlineStr">
        <is>
          <t>P021</t>
        </is>
      </c>
      <c r="C134" s="0" t="inlineStr">
        <is>
          <t>2026-10-02 15:00:27.599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Success</t>
        </is>
      </c>
      <c r="G134" s="0" t="inlineStr">
        <is>
          <t>Easy</t>
        </is>
      </c>
      <c r="H134" s="4">
        <v>135.68</v>
      </c>
      <c r="I134" s="4">
        <v>135.5774</v>
      </c>
      <c r="J134" s="4">
        <v>-0.1026</v>
      </c>
      <c r="K134" s="4">
        <v>0.1026</v>
      </c>
      <c r="P134" s="0">
        <v>172</v>
      </c>
    </row>
    <row r="135" ht="17" customHeight="1">
      <c r="A135" s="6">
        <v>168</v>
      </c>
      <c r="B135" s="6" t="inlineStr">
        <is>
          <t>P021</t>
        </is>
      </c>
      <c r="C135" s="6" t="inlineStr">
        <is>
          <t>2026-10-02 15:00:27.766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Failed</t>
        </is>
      </c>
      <c r="G135" s="6" t="inlineStr">
        <is>
          <t>Easy</t>
        </is>
      </c>
      <c r="H135" s="4">
        <v>136.6327</v>
      </c>
      <c r="P135" s="6">
        <v>173</v>
      </c>
    </row>
    <row r="136" ht="17" customHeight="1">
      <c r="A136" s="0">
        <v>169</v>
      </c>
      <c r="B136" s="0" t="inlineStr">
        <is>
          <t>P021</t>
        </is>
      </c>
      <c r="C136" s="0" t="inlineStr">
        <is>
          <t>2026-10-02 15:00:27.808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Success</t>
        </is>
      </c>
      <c r="G136" s="0" t="inlineStr">
        <is>
          <t>Easy</t>
        </is>
      </c>
      <c r="H136" s="4">
        <v>136.064</v>
      </c>
      <c r="I136" s="4">
        <v>136.008</v>
      </c>
      <c r="J136" s="4">
        <v>-0.056</v>
      </c>
      <c r="K136" s="4">
        <v>0.056</v>
      </c>
      <c r="P136" s="0">
        <v>174</v>
      </c>
    </row>
    <row r="137" ht="17" customHeight="1">
      <c r="A137" s="6">
        <v>170</v>
      </c>
      <c r="B137" s="6" t="inlineStr">
        <is>
          <t>P021</t>
        </is>
      </c>
      <c r="C137" s="6" t="inlineStr">
        <is>
          <t>2026-10-02 15:00:28.752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H137" s="4">
        <v>137.6191</v>
      </c>
      <c r="P137" s="6">
        <v>175</v>
      </c>
    </row>
    <row r="138" ht="17" customHeight="1">
      <c r="A138" s="0">
        <v>172</v>
      </c>
      <c r="B138" s="0" t="inlineStr">
        <is>
          <t>P021</t>
        </is>
      </c>
      <c r="C138" s="0" t="inlineStr">
        <is>
          <t>2026-10-02 15:00:33.850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Failed</t>
        </is>
      </c>
      <c r="G138" s="0" t="inlineStr">
        <is>
          <t>Easy</t>
        </is>
      </c>
      <c r="H138" s="4">
        <v>142.7168</v>
      </c>
      <c r="P138" s="0">
        <v>177</v>
      </c>
    </row>
    <row r="139" ht="17" customHeight="1">
      <c r="A139" s="6">
        <v>174</v>
      </c>
      <c r="B139" s="6" t="inlineStr">
        <is>
          <t>P021</t>
        </is>
      </c>
      <c r="C139" s="6" t="inlineStr">
        <is>
          <t>2026-10-02 15:00:34.946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H139" s="4">
        <v>143.36</v>
      </c>
      <c r="I139" s="4">
        <v>143.1747</v>
      </c>
      <c r="J139" s="4">
        <v>-0.1853</v>
      </c>
      <c r="K139" s="4">
        <v>0.1853</v>
      </c>
      <c r="P139" s="6">
        <v>179</v>
      </c>
    </row>
    <row r="140" ht="17" customHeight="1">
      <c r="A140" s="0">
        <v>175</v>
      </c>
      <c r="B140" s="0" t="inlineStr">
        <is>
          <t>P021</t>
        </is>
      </c>
      <c r="C140" s="0" t="inlineStr">
        <is>
          <t>2026-10-02 15:00:37.488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Failed</t>
        </is>
      </c>
      <c r="G140" s="0" t="inlineStr">
        <is>
          <t>Easy</t>
        </is>
      </c>
      <c r="H140" s="4">
        <v>146.3548</v>
      </c>
      <c r="P140" s="0">
        <v>180</v>
      </c>
    </row>
    <row r="141" ht="17" customHeight="1">
      <c r="A141" s="6">
        <v>176</v>
      </c>
      <c r="B141" s="6" t="inlineStr">
        <is>
          <t>P021</t>
        </is>
      </c>
      <c r="C141" s="6" t="inlineStr">
        <is>
          <t>2026-10-02 15:00:38.002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Success</t>
        </is>
      </c>
      <c r="G141" s="6" t="inlineStr">
        <is>
          <t>Easy</t>
        </is>
      </c>
      <c r="H141" s="4">
        <v>146.048</v>
      </c>
      <c r="I141" s="4">
        <v>146.2159</v>
      </c>
      <c r="J141" s="4">
        <v>0.1679</v>
      </c>
      <c r="K141" s="4">
        <v>0.1679</v>
      </c>
      <c r="P141" s="6">
        <v>181</v>
      </c>
    </row>
    <row r="142" ht="17" customHeight="1">
      <c r="A142" s="0">
        <v>177</v>
      </c>
      <c r="B142" s="0" t="inlineStr">
        <is>
          <t>P021</t>
        </is>
      </c>
      <c r="C142" s="0" t="inlineStr">
        <is>
          <t>2026-10-02 15:00:41.044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Failed</t>
        </is>
      </c>
      <c r="G142" s="0" t="inlineStr">
        <is>
          <t>Easy</t>
        </is>
      </c>
      <c r="H142" s="4">
        <v>149.9111</v>
      </c>
      <c r="P142" s="0">
        <v>182</v>
      </c>
    </row>
    <row r="143" ht="17" customHeight="1">
      <c r="A143" s="6">
        <v>179</v>
      </c>
      <c r="B143" s="6" t="inlineStr">
        <is>
          <t>P021</t>
        </is>
      </c>
      <c r="C143" s="6" t="inlineStr">
        <is>
          <t>2026-10-02 15:00:43.252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Failed</t>
        </is>
      </c>
      <c r="G143" s="6" t="inlineStr">
        <is>
          <t>Easy</t>
        </is>
      </c>
      <c r="H143" s="4">
        <v>152.1192</v>
      </c>
      <c r="P143" s="6">
        <v>184</v>
      </c>
    </row>
    <row r="144" ht="17" customHeight="1">
      <c r="A144" s="0">
        <v>180</v>
      </c>
      <c r="B144" s="0" t="inlineStr">
        <is>
          <t>P021</t>
        </is>
      </c>
      <c r="C144" s="0" t="inlineStr">
        <is>
          <t>2026-10-02 15:00:44.044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Missed</t>
        </is>
      </c>
      <c r="G144" s="0" t="inlineStr">
        <is>
          <t>Easy</t>
        </is>
      </c>
      <c r="H144" s="4">
        <v>152.9104</v>
      </c>
      <c r="P144" s="0">
        <v>185</v>
      </c>
    </row>
    <row r="145" ht="17" customHeight="1">
      <c r="A145" s="6">
        <v>181</v>
      </c>
      <c r="B145" s="6" t="inlineStr">
        <is>
          <t>P021</t>
        </is>
      </c>
      <c r="C145" s="6" t="inlineStr">
        <is>
          <t>2026-10-02 15:00:44.529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H145" s="4">
        <v>153.3963</v>
      </c>
      <c r="P145" s="6">
        <v>186</v>
      </c>
    </row>
    <row r="146" ht="17" customHeight="1">
      <c r="A146" s="0">
        <v>183</v>
      </c>
      <c r="B146" s="0" t="inlineStr">
        <is>
          <t>P021</t>
        </is>
      </c>
      <c r="C146" s="0" t="inlineStr">
        <is>
          <t>2026-10-02 15:00:56.544</t>
        </is>
      </c>
      <c r="D146" s="0" t="inlineStr">
        <is>
          <t>Jeremy</t>
        </is>
      </c>
      <c r="E146" s="0" t="inlineStr">
        <is>
          <t>SwordCut</t>
        </is>
      </c>
      <c r="F146" s="0" t="inlineStr">
        <is>
          <t>Failed</t>
        </is>
      </c>
      <c r="G146" s="0" t="inlineStr">
        <is>
          <t>Easy</t>
        </is>
      </c>
      <c r="H146" s="4">
        <v>165.4073</v>
      </c>
      <c r="I146" s="4">
        <v>165.4113</v>
      </c>
      <c r="J146" s="4">
        <v>0.004</v>
      </c>
      <c r="K146" s="4">
        <v>0.004</v>
      </c>
      <c r="N146" s="4">
        <v>0.0</v>
      </c>
      <c r="O146" s="0" t="b">
        <v>1</v>
      </c>
      <c r="P146" s="0">
        <v>188</v>
      </c>
    </row>
    <row r="147" ht="17" customHeight="1">
      <c r="A147" s="6">
        <v>185</v>
      </c>
      <c r="B147" s="6" t="inlineStr">
        <is>
          <t>P021</t>
        </is>
      </c>
      <c r="C147" s="6" t="inlineStr">
        <is>
          <t>2026-10-02 15:00:59.476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Missed</t>
        </is>
      </c>
      <c r="G147" s="6" t="inlineStr">
        <is>
          <t>Easy</t>
        </is>
      </c>
      <c r="H147" s="4">
        <v>167.7061</v>
      </c>
      <c r="P147" s="6">
        <v>190</v>
      </c>
    </row>
    <row r="148" ht="17" customHeight="1">
      <c r="A148" s="0">
        <v>186</v>
      </c>
      <c r="B148" s="0" t="inlineStr">
        <is>
          <t>P021</t>
        </is>
      </c>
      <c r="C148" s="0" t="inlineStr">
        <is>
          <t>2026-10-02 15:01:01.183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Success</t>
        </is>
      </c>
      <c r="G148" s="0" t="inlineStr">
        <is>
          <t>Easy</t>
        </is>
      </c>
      <c r="H148" s="4">
        <v>170.0049</v>
      </c>
      <c r="I148" s="4">
        <v>170.0507</v>
      </c>
      <c r="J148" s="4">
        <v>0.0458</v>
      </c>
      <c r="K148" s="4">
        <v>0.0458</v>
      </c>
      <c r="N148" s="4">
        <v>1.0</v>
      </c>
      <c r="O148" s="0" t="b">
        <v>1</v>
      </c>
      <c r="P148" s="0">
        <v>191</v>
      </c>
    </row>
    <row r="149" ht="17" customHeight="1">
      <c r="A149" s="6">
        <v>187</v>
      </c>
      <c r="B149" s="6" t="inlineStr">
        <is>
          <t>P021</t>
        </is>
      </c>
      <c r="C149" s="6" t="inlineStr">
        <is>
          <t>2026-10-02 15:01:03.600</t>
        </is>
      </c>
      <c r="D149" s="6" t="inlineStr">
        <is>
          <t>Jeremy</t>
        </is>
      </c>
      <c r="E149" s="6" t="inlineStr">
        <is>
          <t>SwordCut</t>
        </is>
      </c>
      <c r="F149" s="6" t="inlineStr">
        <is>
          <t>Failed</t>
        </is>
      </c>
      <c r="G149" s="6" t="inlineStr">
        <is>
          <t>Easy</t>
        </is>
      </c>
      <c r="H149" s="4">
        <v>172.3037</v>
      </c>
      <c r="I149" s="4">
        <v>172.4665</v>
      </c>
      <c r="J149" s="4">
        <v>0.1629</v>
      </c>
      <c r="K149" s="4">
        <v>0.1629</v>
      </c>
      <c r="N149" s="4">
        <v>0.0</v>
      </c>
      <c r="O149" s="6" t="b">
        <v>1</v>
      </c>
      <c r="P149" s="6">
        <v>192</v>
      </c>
    </row>
    <row r="150" ht="17" customHeight="1">
      <c r="A150" s="0">
        <v>188</v>
      </c>
      <c r="B150" s="0" t="inlineStr">
        <is>
          <t>P021</t>
        </is>
      </c>
      <c r="C150" s="0" t="inlineStr">
        <is>
          <t>2026-10-02 15:01:05.669</t>
        </is>
      </c>
      <c r="D150" s="0" t="inlineStr">
        <is>
          <t>Jeremy</t>
        </is>
      </c>
      <c r="E150" s="0" t="inlineStr">
        <is>
          <t>SwordCut</t>
        </is>
      </c>
      <c r="F150" s="0" t="inlineStr">
        <is>
          <t>Failed</t>
        </is>
      </c>
      <c r="G150" s="0" t="inlineStr">
        <is>
          <t>Easy</t>
        </is>
      </c>
      <c r="H150" s="4">
        <v>174.6024</v>
      </c>
      <c r="I150" s="4">
        <v>174.536</v>
      </c>
      <c r="J150" s="4">
        <v>-0.0664</v>
      </c>
      <c r="K150" s="4">
        <v>0.0664</v>
      </c>
      <c r="N150" s="4">
        <v>0.0</v>
      </c>
      <c r="O150" s="0" t="b">
        <v>1</v>
      </c>
      <c r="P150" s="0">
        <v>193</v>
      </c>
    </row>
    <row r="151" ht="17" customHeight="1">
      <c r="A151" s="6">
        <v>190</v>
      </c>
      <c r="B151" s="6" t="inlineStr">
        <is>
          <t>P021</t>
        </is>
      </c>
      <c r="C151" s="6" t="inlineStr">
        <is>
          <t>2026-10-02 15:01:07.865</t>
        </is>
      </c>
      <c r="D151" s="6" t="inlineStr">
        <is>
          <t>Jeremy</t>
        </is>
      </c>
      <c r="E151" s="6" t="inlineStr">
        <is>
          <t>SwordCut</t>
        </is>
      </c>
      <c r="F151" s="6" t="inlineStr">
        <is>
          <t>Success</t>
        </is>
      </c>
      <c r="G151" s="6" t="inlineStr">
        <is>
          <t>Easy</t>
        </is>
      </c>
      <c r="H151" s="4">
        <v>176.9012</v>
      </c>
      <c r="I151" s="4">
        <v>176.7313</v>
      </c>
      <c r="J151" s="4">
        <v>-0.1699</v>
      </c>
      <c r="K151" s="4">
        <v>0.1699</v>
      </c>
      <c r="N151" s="4">
        <v>1.0</v>
      </c>
      <c r="O151" s="6" t="b">
        <v>1</v>
      </c>
      <c r="P151" s="6">
        <v>195</v>
      </c>
    </row>
    <row r="152" ht="17" customHeight="1">
      <c r="A152" s="0">
        <v>191</v>
      </c>
      <c r="B152" s="0" t="inlineStr">
        <is>
          <t>P021</t>
        </is>
      </c>
      <c r="C152" s="0" t="inlineStr">
        <is>
          <t>2026-10-02 15:01:10.418</t>
        </is>
      </c>
      <c r="D152" s="0" t="inlineStr">
        <is>
          <t>Jeremy</t>
        </is>
      </c>
      <c r="E152" s="0" t="inlineStr">
        <is>
          <t>SwordCut</t>
        </is>
      </c>
      <c r="F152" s="0" t="inlineStr">
        <is>
          <t>Success</t>
        </is>
      </c>
      <c r="G152" s="0" t="inlineStr">
        <is>
          <t>Easy</t>
        </is>
      </c>
      <c r="H152" s="4">
        <v>179.2</v>
      </c>
      <c r="I152" s="4">
        <v>179.2864</v>
      </c>
      <c r="J152" s="4">
        <v>0.0864</v>
      </c>
      <c r="K152" s="4">
        <v>0.0864</v>
      </c>
      <c r="N152" s="4">
        <v>1.0</v>
      </c>
      <c r="O152" s="0" t="b">
        <v>1</v>
      </c>
      <c r="P152" s="0">
        <v>196</v>
      </c>
    </row>
    <row r="153" ht="17" customHeight="1">
      <c r="A153" s="6">
        <v>192</v>
      </c>
      <c r="B153" s="6" t="inlineStr">
        <is>
          <t>P021</t>
        </is>
      </c>
      <c r="C153" s="6" t="inlineStr">
        <is>
          <t>2026-10-02 15:01:12.724</t>
        </is>
      </c>
      <c r="D153" s="6" t="inlineStr">
        <is>
          <t>Jeremy</t>
        </is>
      </c>
      <c r="E153" s="6" t="inlineStr">
        <is>
          <t>SwordCut</t>
        </is>
      </c>
      <c r="F153" s="6" t="inlineStr">
        <is>
          <t>Failed</t>
        </is>
      </c>
      <c r="G153" s="6" t="inlineStr">
        <is>
          <t>Easy</t>
        </is>
      </c>
      <c r="H153" s="4">
        <v>181.4988</v>
      </c>
      <c r="I153" s="4">
        <v>181.5913</v>
      </c>
      <c r="J153" s="4">
        <v>0.0925</v>
      </c>
      <c r="K153" s="4">
        <v>0.0925</v>
      </c>
      <c r="N153" s="4">
        <v>0.0</v>
      </c>
      <c r="O153" s="6" t="b">
        <v>1</v>
      </c>
      <c r="P153" s="6">
        <v>197</v>
      </c>
    </row>
  </sheetData>
  <autoFilter ref="A1:P15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13</v>
      </c>
      <c r="B2" s="0" t="inlineStr">
        <is>
          <t>2026-10-02 14:58:16.187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0.75</v>
      </c>
      <c r="I2" s="0">
        <v>18</v>
      </c>
    </row>
    <row r="3" ht="17" customHeight="1">
      <c r="A3" s="6">
        <v>24</v>
      </c>
      <c r="B3" s="6" t="inlineStr">
        <is>
          <t>2026-10-02 14:58:21.312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29</v>
      </c>
    </row>
    <row r="4" ht="17" customHeight="1">
      <c r="A4" s="0">
        <v>37</v>
      </c>
      <c r="B4" s="0" t="inlineStr">
        <is>
          <t>2026-10-02 14:58:26.673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42</v>
      </c>
    </row>
    <row r="5" ht="17" customHeight="1">
      <c r="A5" s="6">
        <v>46</v>
      </c>
      <c r="B5" s="6" t="inlineStr">
        <is>
          <t>2026-10-02 14:58:28.882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0.17</v>
      </c>
      <c r="I5" s="6">
        <v>51</v>
      </c>
    </row>
    <row r="6" ht="17" customHeight="1">
      <c r="A6" s="0">
        <v>63</v>
      </c>
      <c r="B6" s="0" t="inlineStr">
        <is>
          <t>2026-10-02 14:58:34.271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68</v>
      </c>
    </row>
    <row r="7" ht="17" customHeight="1">
      <c r="A7" s="6">
        <v>70</v>
      </c>
      <c r="B7" s="6" t="inlineStr">
        <is>
          <t>2026-10-02 14:58:35.813</t>
        </is>
      </c>
      <c r="C7" s="6" t="inlineStr">
        <is>
          <t>Alex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0.0</v>
      </c>
      <c r="I7" s="6">
        <v>75</v>
      </c>
    </row>
    <row r="8" ht="17" customHeight="1">
      <c r="A8" s="0">
        <v>83</v>
      </c>
      <c r="B8" s="0" t="inlineStr">
        <is>
          <t>2026-10-02 14:58:39.673</t>
        </is>
      </c>
      <c r="C8" s="0" t="inlineStr">
        <is>
          <t>Alex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88</v>
      </c>
    </row>
    <row r="9" ht="17" customHeight="1">
      <c r="A9" s="6">
        <v>90</v>
      </c>
      <c r="B9" s="6" t="inlineStr">
        <is>
          <t>2026-10-02 14:58:41.521</t>
        </is>
      </c>
      <c r="C9" s="6" t="inlineStr">
        <is>
          <t>Alex</t>
        </is>
      </c>
      <c r="D9" s="6" t="inlineStr">
        <is>
          <t>Hard</t>
        </is>
      </c>
      <c r="E9" s="6" t="inlineStr">
        <is>
          <t>Normal</t>
        </is>
      </c>
      <c r="F9" s="6" t="inlineStr">
        <is>
          <t>PlayerState: Overloaded</t>
        </is>
      </c>
      <c r="G9" s="3">
        <v>0.5</v>
      </c>
      <c r="I9" s="6">
        <v>95</v>
      </c>
    </row>
    <row r="10" ht="17" customHeight="1">
      <c r="A10" s="0">
        <v>106</v>
      </c>
      <c r="B10" s="0" t="inlineStr">
        <is>
          <t>2026-10-02 14:58:53.575</t>
        </is>
      </c>
      <c r="C10" s="0" t="inlineStr">
        <is>
          <t>Joaquin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0.5</v>
      </c>
      <c r="I10" s="0">
        <v>111</v>
      </c>
    </row>
    <row r="11" ht="17" customHeight="1">
      <c r="A11" s="6">
        <v>116</v>
      </c>
      <c r="B11" s="6" t="inlineStr">
        <is>
          <t>2026-10-02 14:59:12.531</t>
        </is>
      </c>
      <c r="C11" s="6" t="inlineStr">
        <is>
          <t>Joaquin</t>
        </is>
      </c>
      <c r="D11" s="6" t="inlineStr">
        <is>
          <t>Easy</t>
        </is>
      </c>
      <c r="E11" s="6" t="inlineStr">
        <is>
          <t>Normal</t>
        </is>
      </c>
      <c r="F11" s="6" t="inlineStr">
        <is>
          <t>High recent performance</t>
        </is>
      </c>
      <c r="H11" s="3">
        <v>1.0</v>
      </c>
      <c r="I11" s="6">
        <v>121</v>
      </c>
    </row>
    <row r="12" ht="17" customHeight="1">
      <c r="A12" s="0">
        <v>126</v>
      </c>
      <c r="B12" s="0" t="inlineStr">
        <is>
          <t>2026-10-02 14:59:23.450</t>
        </is>
      </c>
      <c r="C12" s="0" t="inlineStr">
        <is>
          <t>Shipi</t>
        </is>
      </c>
      <c r="D12" s="0" t="inlineStr">
        <is>
          <t>Normal</t>
        </is>
      </c>
      <c r="E12" s="0" t="inlineStr">
        <is>
          <t>Easy</t>
        </is>
      </c>
      <c r="F12" s="0" t="inlineStr">
        <is>
          <t>PlayerState: Overloaded</t>
        </is>
      </c>
      <c r="G12" s="3">
        <v>0.25</v>
      </c>
      <c r="I12" s="0">
        <v>131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31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14:58:11.134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14:58:12.090</t>
        </is>
      </c>
      <c r="C3" s="6" t="inlineStr">
        <is>
          <t>Engaged</t>
        </is>
      </c>
      <c r="D3" s="6">
        <v>8</v>
      </c>
    </row>
    <row r="4" ht="17" customHeight="1">
      <c r="A4" s="0">
        <v>12</v>
      </c>
      <c r="B4" s="0" t="inlineStr">
        <is>
          <t>2026-10-02 14:58:16.187</t>
        </is>
      </c>
      <c r="C4" s="0" t="inlineStr">
        <is>
          <t>Overloaded</t>
        </is>
      </c>
      <c r="D4" s="0">
        <v>17</v>
      </c>
    </row>
    <row r="5" ht="17" customHeight="1">
      <c r="A5" s="6">
        <v>15</v>
      </c>
      <c r="B5" s="6" t="inlineStr">
        <is>
          <t>2026-10-02 14:58:16.188</t>
        </is>
      </c>
      <c r="C5" s="6" t="inlineStr">
        <is>
          <t>Engaged</t>
        </is>
      </c>
      <c r="D5" s="6">
        <v>20</v>
      </c>
    </row>
    <row r="6" ht="17" customHeight="1">
      <c r="A6" s="0">
        <v>45</v>
      </c>
      <c r="B6" s="0" t="inlineStr">
        <is>
          <t>2026-10-02 14:58:28.882</t>
        </is>
      </c>
      <c r="C6" s="0" t="inlineStr">
        <is>
          <t>Overloaded</t>
        </is>
      </c>
      <c r="D6" s="0">
        <v>50</v>
      </c>
    </row>
    <row r="7" ht="17" customHeight="1">
      <c r="A7" s="6">
        <v>47</v>
      </c>
      <c r="B7" s="6" t="inlineStr">
        <is>
          <t>2026-10-02 14:58:28.896</t>
        </is>
      </c>
      <c r="C7" s="6" t="inlineStr">
        <is>
          <t>Engaged</t>
        </is>
      </c>
      <c r="D7" s="6">
        <v>52</v>
      </c>
    </row>
    <row r="8" ht="17" customHeight="1">
      <c r="A8" s="0">
        <v>69</v>
      </c>
      <c r="B8" s="0" t="inlineStr">
        <is>
          <t>2026-10-02 14:58:35.813</t>
        </is>
      </c>
      <c r="C8" s="0" t="inlineStr">
        <is>
          <t>Overloaded</t>
        </is>
      </c>
      <c r="D8" s="0">
        <v>74</v>
      </c>
    </row>
    <row r="9" ht="17" customHeight="1">
      <c r="A9" s="6">
        <v>71</v>
      </c>
      <c r="B9" s="6" t="inlineStr">
        <is>
          <t>2026-10-02 14:58:35.827</t>
        </is>
      </c>
      <c r="C9" s="6" t="inlineStr">
        <is>
          <t>Engaged</t>
        </is>
      </c>
      <c r="D9" s="6">
        <v>76</v>
      </c>
    </row>
    <row r="10" ht="17" customHeight="1">
      <c r="A10" s="0">
        <v>89</v>
      </c>
      <c r="B10" s="0" t="inlineStr">
        <is>
          <t>2026-10-02 14:58:41.521</t>
        </is>
      </c>
      <c r="C10" s="0" t="inlineStr">
        <is>
          <t>Overloaded</t>
        </is>
      </c>
      <c r="D10" s="0">
        <v>94</v>
      </c>
    </row>
    <row r="11" ht="17" customHeight="1">
      <c r="A11" s="6">
        <v>92</v>
      </c>
      <c r="B11" s="6" t="inlineStr">
        <is>
          <t>2026-10-02 14:58:41.522</t>
        </is>
      </c>
      <c r="C11" s="6" t="inlineStr">
        <is>
          <t>Engaged</t>
        </is>
      </c>
      <c r="D11" s="6">
        <v>97</v>
      </c>
    </row>
    <row r="12" ht="17" customHeight="1">
      <c r="A12" s="0">
        <v>105</v>
      </c>
      <c r="B12" s="0" t="inlineStr">
        <is>
          <t>2026-10-02 14:58:53.575</t>
        </is>
      </c>
      <c r="C12" s="0" t="inlineStr">
        <is>
          <t>Overloaded</t>
        </is>
      </c>
      <c r="D12" s="0">
        <v>110</v>
      </c>
    </row>
    <row r="13" ht="17" customHeight="1">
      <c r="A13" s="6">
        <v>107</v>
      </c>
      <c r="B13" s="6" t="inlineStr">
        <is>
          <t>2026-10-02 14:58:53.589</t>
        </is>
      </c>
      <c r="C13" s="6" t="inlineStr">
        <is>
          <t>Engaged</t>
        </is>
      </c>
      <c r="D13" s="6">
        <v>112</v>
      </c>
    </row>
    <row r="14" ht="17" customHeight="1">
      <c r="A14" s="0">
        <v>118</v>
      </c>
      <c r="B14" s="0" t="inlineStr">
        <is>
          <t>2026-10-02 14:59:17.671</t>
        </is>
      </c>
      <c r="C14" s="0" t="inlineStr">
        <is>
          <t>Idle</t>
        </is>
      </c>
      <c r="D14" s="0">
        <v>123</v>
      </c>
    </row>
    <row r="15" ht="17" customHeight="1">
      <c r="A15" s="6">
        <v>120</v>
      </c>
      <c r="B15" s="6" t="inlineStr">
        <is>
          <t>2026-10-02 14:59:17.851</t>
        </is>
      </c>
      <c r="C15" s="6" t="inlineStr">
        <is>
          <t>Engaged</t>
        </is>
      </c>
      <c r="D15" s="6">
        <v>125</v>
      </c>
    </row>
    <row r="16" ht="17" customHeight="1">
      <c r="A16" s="0">
        <v>125</v>
      </c>
      <c r="B16" s="0" t="inlineStr">
        <is>
          <t>2026-10-02 14:59:23.449</t>
        </is>
      </c>
      <c r="C16" s="0" t="inlineStr">
        <is>
          <t>Overloaded</t>
        </is>
      </c>
      <c r="D16" s="0">
        <v>130</v>
      </c>
    </row>
    <row r="17" ht="17" customHeight="1">
      <c r="A17" s="6">
        <v>127</v>
      </c>
      <c r="B17" s="6" t="inlineStr">
        <is>
          <t>2026-10-02 14:59:23.450</t>
        </is>
      </c>
      <c r="C17" s="6" t="inlineStr">
        <is>
          <t>Engaged</t>
        </is>
      </c>
      <c r="D17" s="6">
        <v>132</v>
      </c>
    </row>
    <row r="18" ht="17" customHeight="1">
      <c r="A18" s="0">
        <v>130</v>
      </c>
      <c r="B18" s="0" t="inlineStr">
        <is>
          <t>2026-10-02 14:59:28.451</t>
        </is>
      </c>
      <c r="C18" s="0" t="inlineStr">
        <is>
          <t>Idle</t>
        </is>
      </c>
      <c r="D18" s="0">
        <v>135</v>
      </c>
    </row>
    <row r="19" ht="17" customHeight="1">
      <c r="A19" s="6">
        <v>132</v>
      </c>
      <c r="B19" s="6" t="inlineStr">
        <is>
          <t>2026-10-02 14:59:29.729</t>
        </is>
      </c>
      <c r="C19" s="6" t="inlineStr">
        <is>
          <t>Engaged</t>
        </is>
      </c>
      <c r="D19" s="6">
        <v>137</v>
      </c>
    </row>
    <row r="20" ht="17" customHeight="1">
      <c r="A20" s="0">
        <v>140</v>
      </c>
      <c r="B20" s="0" t="inlineStr">
        <is>
          <t>2026-10-02 14:59:45.368</t>
        </is>
      </c>
      <c r="C20" s="0" t="inlineStr">
        <is>
          <t>Idle</t>
        </is>
      </c>
      <c r="D20" s="0">
        <v>145</v>
      </c>
    </row>
    <row r="21" ht="17" customHeight="1">
      <c r="A21" s="6">
        <v>142</v>
      </c>
      <c r="B21" s="6" t="inlineStr">
        <is>
          <t>2026-10-02 14:59:50.465</t>
        </is>
      </c>
      <c r="C21" s="6" t="inlineStr">
        <is>
          <t>Engaged</t>
        </is>
      </c>
      <c r="D21" s="6">
        <v>147</v>
      </c>
    </row>
    <row r="22" ht="17" customHeight="1">
      <c r="A22" s="0">
        <v>147</v>
      </c>
      <c r="B22" s="0" t="inlineStr">
        <is>
          <t>2026-10-02 14:59:57.187</t>
        </is>
      </c>
      <c r="C22" s="0" t="inlineStr">
        <is>
          <t>Overloaded</t>
        </is>
      </c>
      <c r="D22" s="0">
        <v>152</v>
      </c>
    </row>
    <row r="23" ht="17" customHeight="1">
      <c r="A23" s="6">
        <v>159</v>
      </c>
      <c r="B23" s="6" t="inlineStr">
        <is>
          <t>2026-10-02 15:00:18.250</t>
        </is>
      </c>
      <c r="C23" s="6" t="inlineStr">
        <is>
          <t>Idle</t>
        </is>
      </c>
      <c r="D23" s="6">
        <v>164</v>
      </c>
    </row>
    <row r="24" ht="17" customHeight="1">
      <c r="A24" s="0">
        <v>161</v>
      </c>
      <c r="B24" s="0" t="inlineStr">
        <is>
          <t>2026-10-02 15:00:19.833</t>
        </is>
      </c>
      <c r="C24" s="0" t="inlineStr">
        <is>
          <t>Engaged</t>
        </is>
      </c>
      <c r="D24" s="0">
        <v>166</v>
      </c>
    </row>
    <row r="25" ht="17" customHeight="1">
      <c r="A25" s="6">
        <v>171</v>
      </c>
      <c r="B25" s="6" t="inlineStr">
        <is>
          <t>2026-10-02 15:00:33.753</t>
        </is>
      </c>
      <c r="C25" s="6" t="inlineStr">
        <is>
          <t>Idle</t>
        </is>
      </c>
      <c r="D25" s="6">
        <v>176</v>
      </c>
    </row>
    <row r="26" ht="17" customHeight="1">
      <c r="A26" s="0">
        <v>173</v>
      </c>
      <c r="B26" s="0" t="inlineStr">
        <is>
          <t>2026-10-02 15:00:33.850</t>
        </is>
      </c>
      <c r="C26" s="0" t="inlineStr">
        <is>
          <t>Engaged</t>
        </is>
      </c>
      <c r="D26" s="0">
        <v>178</v>
      </c>
    </row>
    <row r="27" ht="17" customHeight="1">
      <c r="A27" s="6">
        <v>178</v>
      </c>
      <c r="B27" s="6" t="inlineStr">
        <is>
          <t>2026-10-02 15:00:41.044</t>
        </is>
      </c>
      <c r="C27" s="6" t="inlineStr">
        <is>
          <t>Overloaded</t>
        </is>
      </c>
      <c r="D27" s="6">
        <v>183</v>
      </c>
    </row>
    <row r="28" ht="17" customHeight="1">
      <c r="A28" s="0">
        <v>182</v>
      </c>
      <c r="B28" s="0" t="inlineStr">
        <is>
          <t>2026-10-02 15:00:49.530</t>
        </is>
      </c>
      <c r="C28" s="0" t="inlineStr">
        <is>
          <t>Idle</t>
        </is>
      </c>
      <c r="D28" s="0">
        <v>187</v>
      </c>
    </row>
    <row r="29" ht="17" customHeight="1">
      <c r="A29" s="6">
        <v>184</v>
      </c>
      <c r="B29" s="6" t="inlineStr">
        <is>
          <t>2026-10-02 15:00:56.544</t>
        </is>
      </c>
      <c r="C29" s="6" t="inlineStr">
        <is>
          <t>Engaged</t>
        </is>
      </c>
      <c r="D29" s="6">
        <v>189</v>
      </c>
    </row>
    <row r="30" ht="17" customHeight="1">
      <c r="A30" s="0">
        <v>189</v>
      </c>
      <c r="B30" s="0" t="inlineStr">
        <is>
          <t>2026-10-02 15:01:05.669</t>
        </is>
      </c>
      <c r="C30" s="0" t="inlineStr">
        <is>
          <t>Overloaded</t>
        </is>
      </c>
      <c r="D30" s="0">
        <v>194</v>
      </c>
    </row>
    <row r="31" ht="17" customHeight="1">
      <c r="A31" s="6">
        <v>193</v>
      </c>
      <c r="B31" s="6" t="inlineStr">
        <is>
          <t>2026-10-02 15:01:17.723</t>
        </is>
      </c>
      <c r="C31" s="6" t="inlineStr">
        <is>
          <t>Idle</t>
        </is>
      </c>
      <c r="D31" s="6">
        <v>198</v>
      </c>
    </row>
  </sheetData>
  <autoFilter ref="A1:D31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9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14:58:11.134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14:58:11.134 | PlayerState: Idle</t>
        </is>
      </c>
    </row>
    <row r="3" ht="17" customHeight="1">
      <c r="A3" s="6">
        <v>2</v>
      </c>
      <c r="B3" s="6" t="inlineStr">
        <is>
          <t>2026-10-02 14:58:12.090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14:58:12.090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14:58:12.090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14:58:12.090 | PlayerState: Engaged</t>
        </is>
      </c>
    </row>
    <row r="5" ht="17" customHeight="1">
      <c r="A5" s="6">
        <v>4</v>
      </c>
      <c r="B5" s="6" t="inlineStr">
        <is>
          <t>2026-10-02 14:58:12.813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14:58:12.813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14:58:12.840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14:58:12.840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14:58:13.590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14:58:13.590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14:58:13.591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14:58:13.591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14:58:14.368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14:58:14.368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14:58:14.645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14:58:14.645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14:58:15.409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Normal</t>
        </is>
      </c>
      <c r="M11" s="6">
        <v>15</v>
      </c>
      <c r="N11" s="6" t="inlineStr">
        <is>
          <t>2026-10-02 14:58:15.409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14:58:16.187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Normal</t>
        </is>
      </c>
      <c r="M12" s="0">
        <v>16</v>
      </c>
      <c r="N12" s="0" t="inlineStr">
        <is>
          <t>2026-10-02 14:58:16.187 | Minigame: Alex | Type: HammerTouch | Outcome: Missed | Difficulty: Normal | ExpectedTime: 4.7360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14:58:16.187</t>
        </is>
      </c>
      <c r="C13" s="6" t="inlineStr">
        <is>
          <t>PlayerState</t>
        </is>
      </c>
      <c r="H13" s="6" t="inlineStr">
        <is>
          <t>Overloaded</t>
        </is>
      </c>
      <c r="M13" s="6">
        <v>17</v>
      </c>
      <c r="N13" s="6" t="inlineStr">
        <is>
          <t>2026-10-02 14:58:16.187 | PlayerState: Overloaded</t>
        </is>
      </c>
    </row>
    <row r="14" ht="17" customHeight="1">
      <c r="A14" s="0">
        <v>13</v>
      </c>
      <c r="B14" s="0" t="inlineStr">
        <is>
          <t>2026-10-02 14:58:16.187</t>
        </is>
      </c>
      <c r="C14" s="0" t="inlineStr">
        <is>
          <t>DifficultyChanged</t>
        </is>
      </c>
      <c r="D14" s="0" t="inlineStr">
        <is>
          <t>Alex</t>
        </is>
      </c>
      <c r="I14" s="0" t="inlineStr">
        <is>
          <t>Normal -&gt; Easy</t>
        </is>
      </c>
      <c r="J14" s="0" t="inlineStr">
        <is>
          <t>PlayerState: Overloaded</t>
        </is>
      </c>
      <c r="M14" s="0">
        <v>18</v>
      </c>
      <c r="N14" s="0" t="inlineStr">
        <is>
          <t>2026-10-02 14:58:16.187 | DifficultyChanged: Normal -&gt; Easy | Reason: PlayerState: Overloaded | Minigame: Alex | RecentSuccessRate: 0.75</t>
        </is>
      </c>
    </row>
    <row r="15" ht="17" customHeight="1">
      <c r="A15" s="6">
        <v>14</v>
      </c>
      <c r="B15" s="6" t="inlineStr">
        <is>
          <t>2026-10-02 14:58:16.188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Easy</t>
        </is>
      </c>
      <c r="M15" s="6">
        <v>19</v>
      </c>
      <c r="N15" s="6" t="inlineStr">
        <is>
          <t>2026-10-02 14:58:16.188 | Minigame: Alex | Type: HammerTouch | Outcome: Missed | Difficulty: Easy | ExpectedTime: 4.7360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14:58:16.188</t>
        </is>
      </c>
      <c r="C16" s="0" t="inlineStr">
        <is>
          <t>PlayerState</t>
        </is>
      </c>
      <c r="H16" s="0" t="inlineStr">
        <is>
          <t>Engaged</t>
        </is>
      </c>
      <c r="M16" s="0">
        <v>20</v>
      </c>
      <c r="N16" s="0" t="inlineStr">
        <is>
          <t>2026-10-02 14:58:16.188 | PlayerState: Engaged</t>
        </is>
      </c>
    </row>
    <row r="17" ht="17" customHeight="1">
      <c r="A17" s="6">
        <v>16</v>
      </c>
      <c r="B17" s="6" t="inlineStr">
        <is>
          <t>2026-10-02 14:58:16.687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Easy</t>
        </is>
      </c>
      <c r="M17" s="6">
        <v>21</v>
      </c>
      <c r="N17" s="6" t="inlineStr">
        <is>
          <t>2026-10-02 14:58:16.687 | Minigame: Alex | Type: HammerTouch | Outcome: Success | Difficulty: Easy | ExpectedTime: 5.5040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14:58:16.687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M18" s="0">
        <v>22</v>
      </c>
      <c r="N18" s="0" t="inlineStr">
        <is>
          <t>2026-10-02 14:58:16.687 | Minigame: Alex | Type: HammerTouch | Outcome: Success | Difficulty: Easy | ExpectedTime: 5.5040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14:58:18.185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Easy</t>
        </is>
      </c>
      <c r="M19" s="6">
        <v>23</v>
      </c>
      <c r="N19" s="6" t="inlineStr">
        <is>
          <t>2026-10-02 14:58:18.185 | Minigame: Alex | Type: HammerTouch | Outcome: Success | Difficulty: Easy | ExpectedTime: 7.0400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14:58:18.491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Easy</t>
        </is>
      </c>
      <c r="M20" s="0">
        <v>24</v>
      </c>
      <c r="N20" s="0" t="inlineStr">
        <is>
          <t>2026-10-02 14:58:18.491 | Minigame: Alex | Type: HammerTouch | Outcome: Missed | Difficulty: Easy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14:58:19.740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Easy</t>
        </is>
      </c>
      <c r="M21" s="6">
        <v>25</v>
      </c>
      <c r="N21" s="6" t="inlineStr">
        <is>
          <t>2026-10-02 14:58:19.740 | Minigame: Alex | Type: HammerTouch | Outcome: Success | Difficulty: Easy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14:58:19.770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Easy</t>
        </is>
      </c>
      <c r="M22" s="0">
        <v>26</v>
      </c>
      <c r="N22" s="0" t="inlineStr">
        <is>
          <t>2026-10-02 14:58:19.770 | Minigame: Alex | Type: HammerTouch | Outcome: Success | Difficulty: Easy | ExpectedTime: 8.5760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14:58:21.241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Easy</t>
        </is>
      </c>
      <c r="M23" s="6">
        <v>27</v>
      </c>
      <c r="N23" s="6" t="inlineStr">
        <is>
          <t>2026-10-02 14:58:21.241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14:58:21.311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Easy</t>
        </is>
      </c>
      <c r="M24" s="0">
        <v>28</v>
      </c>
      <c r="N24" s="0" t="inlineStr">
        <is>
          <t>2026-10-02 14:58:21.311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14:58:21.312</t>
        </is>
      </c>
      <c r="C25" s="6" t="inlineStr">
        <is>
          <t>DifficultyChanged</t>
        </is>
      </c>
      <c r="D25" s="6" t="inlineStr">
        <is>
          <t>Alex</t>
        </is>
      </c>
      <c r="I25" s="6" t="inlineStr">
        <is>
          <t>Easy -&gt; Normal</t>
        </is>
      </c>
      <c r="J25" s="6" t="inlineStr">
        <is>
          <t>High recent performance</t>
        </is>
      </c>
      <c r="M25" s="6">
        <v>29</v>
      </c>
      <c r="N25" s="6" t="inlineStr">
        <is>
          <t>2026-10-02 14:58:21.312 | DifficultyChanged: Easy -&gt; Normal | Reason: High recent performance | Minigame: Alex | SuccessRate: 0.88</t>
        </is>
      </c>
    </row>
    <row r="26" ht="17" customHeight="1">
      <c r="A26" s="0">
        <v>25</v>
      </c>
      <c r="B26" s="0" t="inlineStr">
        <is>
          <t>2026-10-02 14:58:22.784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K26" s="4">
        <v>0.0158</v>
      </c>
      <c r="M26" s="0">
        <v>30</v>
      </c>
      <c r="N26" s="0" t="inlineStr">
        <is>
          <t>2026-10-02 14:58:22.784 | Minigame: Alex | Type: HammerHit | Outcome: Success | Difficulty: Normal | ExpectedTime: 11.6480 | ActualTime: 11.6638 | TimingOffset: 0.0158 | TimingError: 0.0158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14:58:22.826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Normal</t>
        </is>
      </c>
      <c r="M27" s="6">
        <v>31</v>
      </c>
      <c r="N27" s="6" t="inlineStr">
        <is>
          <t>2026-10-02 14:58:22.826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14:58:23.602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Failed</t>
        </is>
      </c>
      <c r="G28" s="0" t="inlineStr">
        <is>
          <t>Normal</t>
        </is>
      </c>
      <c r="M28" s="0">
        <v>32</v>
      </c>
      <c r="N28" s="0" t="inlineStr">
        <is>
          <t>2026-10-02 14:58:23.602 | Minigame: Alex | Type: HammerTouch | Outcome: Failed | Difficulty: Normal | ExpectedTime: 12.4160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14:58:23.851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Normal</t>
        </is>
      </c>
      <c r="M29" s="6">
        <v>33</v>
      </c>
      <c r="N29" s="6" t="inlineStr">
        <is>
          <t>2026-10-02 14:58:23.851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14:58:24.268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K30" s="4">
        <v>0.0345</v>
      </c>
      <c r="M30" s="0">
        <v>34</v>
      </c>
      <c r="N30" s="0" t="inlineStr">
        <is>
          <t>2026-10-02 14:58:24.268 | Minigame: Alex | Type: HammerHit | Outcome: Success | Difficulty: Normal | ExpectedTime: 13.1840 | ActualTime: 13.1495 | TimingOffset: -0.0345 | TimingError: 0.0345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14:58:24.367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Normal</t>
        </is>
      </c>
      <c r="M31" s="6">
        <v>35</v>
      </c>
      <c r="N31" s="6" t="inlineStr">
        <is>
          <t>2026-10-02 14:58:24.367 | Minigame: Alex | Type: HammerTouch | Outcome: Success | Difficulty: Normal | ExpectedTime: 13.1840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14:58:25.060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Normal</t>
        </is>
      </c>
      <c r="M32" s="0">
        <v>36</v>
      </c>
      <c r="N32" s="0" t="inlineStr">
        <is>
          <t>2026-10-02 14:58:25.060 | Minigame: Alex | Type: HammerTouch | Outcome: Success | Difficulty: Normal | ExpectedTime: 13.9520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14:58:25.062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Failed</t>
        </is>
      </c>
      <c r="G33" s="6" t="inlineStr">
        <is>
          <t>Normal</t>
        </is>
      </c>
      <c r="M33" s="6">
        <v>37</v>
      </c>
      <c r="N33" s="6" t="inlineStr">
        <is>
          <t>2026-10-02 14:58:25.062 | Minigame: Alex | Type: HammerTouch | Outcome: Failed | Difficulty: Normal | ExpectedTime: 13.9520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14:58:25.839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Normal</t>
        </is>
      </c>
      <c r="K34" s="4">
        <v>0.0003</v>
      </c>
      <c r="M34" s="0">
        <v>38</v>
      </c>
      <c r="N34" s="0" t="inlineStr">
        <is>
          <t>2026-10-02 14:58:25.839 | Minigame: Alex | Type: HammerHit | Outcome: Success | Difficulty: Normal | ExpectedTime: 14.7200 | ActualTime: 14.7197 | TimingOffset: -0.0003 | TimingError: 0.0003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14:58:25.922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Normal</t>
        </is>
      </c>
      <c r="M35" s="6">
        <v>39</v>
      </c>
      <c r="N35" s="6" t="inlineStr">
        <is>
          <t>2026-10-02 14:58:25.922 | Minigame: Alex | Type: HammerTouch | Outcome: Success | Difficulty: Normal | ExpectedTime: 14.7200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14:58:26.603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K36" s="4">
        <v>0.018</v>
      </c>
      <c r="M36" s="0">
        <v>40</v>
      </c>
      <c r="N36" s="0" t="inlineStr">
        <is>
          <t>2026-10-02 14:58:26.603 | Minigame: Alex | Type: HammerHit | Outcome: Success | Difficulty: Normal | ExpectedTime: 15.4880 | ActualTime: 15.4700 | TimingOffset: -0.0180 | TimingError: 0.0180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14:58:26.673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Normal</t>
        </is>
      </c>
      <c r="M37" s="6">
        <v>41</v>
      </c>
      <c r="N37" s="6" t="inlineStr">
        <is>
          <t>2026-10-02 14:58:26.673 | Minigame: Alex | Type: HammerTouch | Outcome: Success | Difficulty: Normal | ExpectedTime: 15.4880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14:58:26.673</t>
        </is>
      </c>
      <c r="C38" s="0" t="inlineStr">
        <is>
          <t>DifficultyChanged</t>
        </is>
      </c>
      <c r="D38" s="0" t="inlineStr">
        <is>
          <t>Alex</t>
        </is>
      </c>
      <c r="I38" s="0" t="inlineStr">
        <is>
          <t>Normal -&gt; Hard</t>
        </is>
      </c>
      <c r="J38" s="0" t="inlineStr">
        <is>
          <t>High recent performance</t>
        </is>
      </c>
      <c r="M38" s="0">
        <v>42</v>
      </c>
      <c r="N38" s="0" t="inlineStr">
        <is>
          <t>2026-10-02 14:58:26.673 | DifficultyChanged: Normal -&gt; Hard | Reason: High recent performance | Minigame: Alex | SuccessRate: 0.88</t>
        </is>
      </c>
    </row>
    <row r="39" ht="17" customHeight="1">
      <c r="A39" s="6">
        <v>38</v>
      </c>
      <c r="B39" s="6" t="inlineStr">
        <is>
          <t>2026-10-02 14:58:27.354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0.0219</v>
      </c>
      <c r="M39" s="6">
        <v>43</v>
      </c>
      <c r="N39" s="6" t="inlineStr">
        <is>
          <t>2026-10-02 14:58:27.354 | Minigame: Alex | Type: HammerHit | Outcome: Success | Difficulty: Hard | ExpectedTime: 16.2560 | ActualTime: 16.2341 | TimingOffset: -0.0219 | TimingError: 0.0219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14:58:28.090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M40" s="0">
        <v>44</v>
      </c>
      <c r="N40" s="0" t="inlineStr">
        <is>
          <t>2026-10-02 14:58:28.090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14:58:28.090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14:58:28.090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14:58:28.464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14:58:28.464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14:58:28.868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M43" s="6">
        <v>47</v>
      </c>
      <c r="N43" s="6" t="inlineStr">
        <is>
          <t>2026-10-02 14:58:28.868 | Minigame: Alex | Type: HammerTouch | Outcome: Missed | Difficulty: Hard | ExpectedTime: 17.4080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14:58:28.869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14:58:28.869 | Minigame: Alex | Type: HammerTouch | Outcome: Missed | Difficulty: Hard | ExpectedTime: 17.4080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14:58:28.882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0.0293</v>
      </c>
      <c r="M45" s="6">
        <v>49</v>
      </c>
      <c r="N45" s="6" t="inlineStr">
        <is>
          <t>2026-10-02 14:58:28.882 | Minigame: Alex | Type: HammerHit | Outcome: Success | Difficulty: Hard | ExpectedTime: 17.7920 | ActualTime: 17.7627 | TimingOffset: -0.0293 | TimingError: 0.0293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14:58:28.882</t>
        </is>
      </c>
      <c r="C46" s="0" t="inlineStr">
        <is>
          <t>PlayerState</t>
        </is>
      </c>
      <c r="H46" s="0" t="inlineStr">
        <is>
          <t>Overloaded</t>
        </is>
      </c>
      <c r="M46" s="0">
        <v>50</v>
      </c>
      <c r="N46" s="0" t="inlineStr">
        <is>
          <t>2026-10-02 14:58:28.882 | PlayerState: Overloaded</t>
        </is>
      </c>
    </row>
    <row r="47" ht="17" customHeight="1">
      <c r="A47" s="6">
        <v>46</v>
      </c>
      <c r="B47" s="6" t="inlineStr">
        <is>
          <t>2026-10-02 14:58:28.882</t>
        </is>
      </c>
      <c r="C47" s="6" t="inlineStr">
        <is>
          <t>DifficultyChanged</t>
        </is>
      </c>
      <c r="D47" s="6" t="inlineStr">
        <is>
          <t>Alex</t>
        </is>
      </c>
      <c r="I47" s="6" t="inlineStr">
        <is>
          <t>Hard -&gt; Normal</t>
        </is>
      </c>
      <c r="J47" s="6" t="inlineStr">
        <is>
          <t>PlayerState: Overloaded</t>
        </is>
      </c>
      <c r="M47" s="6">
        <v>51</v>
      </c>
      <c r="N47" s="6" t="inlineStr">
        <is>
          <t>2026-10-02 14:58:28.882 | DifficultyChanged: Hard -&gt; Normal | Reason: PlayerState: Overloaded | Minigame: Alex | RecentSuccessRate: 0.17</t>
        </is>
      </c>
    </row>
    <row r="48" ht="17" customHeight="1">
      <c r="A48" s="0">
        <v>47</v>
      </c>
      <c r="B48" s="0" t="inlineStr">
        <is>
          <t>2026-10-02 14:58:28.896</t>
        </is>
      </c>
      <c r="C48" s="0" t="inlineStr">
        <is>
          <t>PlayerState</t>
        </is>
      </c>
      <c r="H48" s="0" t="inlineStr">
        <is>
          <t>Engaged</t>
        </is>
      </c>
      <c r="M48" s="0">
        <v>52</v>
      </c>
      <c r="N48" s="0" t="inlineStr">
        <is>
          <t>2026-10-02 14:58:28.896 | PlayerState: Engaged</t>
        </is>
      </c>
    </row>
    <row r="49" ht="17" customHeight="1">
      <c r="A49" s="6">
        <v>48</v>
      </c>
      <c r="B49" s="6" t="inlineStr">
        <is>
          <t>2026-10-02 14:58:28.993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M49" s="6">
        <v>53</v>
      </c>
      <c r="N49" s="6" t="inlineStr">
        <is>
          <t>2026-10-02 14:58:28.993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14:58:29.369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M50" s="0">
        <v>54</v>
      </c>
      <c r="N50" s="0" t="inlineStr">
        <is>
          <t>2026-10-02 14:58:29.369 | Minigame: Alex | Type: HammerTouch | Outcome: Success | Difficulty: Normal | ExpectedTime: 18.1760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14:58:29.632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Normal</t>
        </is>
      </c>
      <c r="M51" s="6">
        <v>55</v>
      </c>
      <c r="N51" s="6" t="inlineStr">
        <is>
          <t>2026-10-02 14:58:29.632 | Minigame: Alex | Type: HammerTouch | Outcome: Missed | Difficulty: Normal | ExpectedTime: 18.1760 | ActualTime: N/A | TimingOffset: N/A | TimingError: N/A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14:58:29.688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0.0055</v>
      </c>
      <c r="M52" s="0">
        <v>56</v>
      </c>
      <c r="N52" s="0" t="inlineStr">
        <is>
          <t>2026-10-02 14:58:29.688 | Minigame: Alex | Type: HammerHit | Outcome: Success | Difficulty: Normal | ExpectedTime: 18.5600 | ActualTime: 18.5545 | TimingOffset: -0.0055 | TimingError: 0.0055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14:58:30.507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Normal</t>
        </is>
      </c>
      <c r="M53" s="6">
        <v>57</v>
      </c>
      <c r="N53" s="6" t="inlineStr">
        <is>
          <t>2026-10-02 14:58:30.507 | Minigame: Alex | Type: HammerTouch | Outcome: Success | Difficulty: Normal | ExpectedTime: 19.3280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14:58:30.770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Normal</t>
        </is>
      </c>
      <c r="M54" s="0">
        <v>58</v>
      </c>
      <c r="N54" s="0" t="inlineStr">
        <is>
          <t>2026-10-02 14:58:30.770 | Minigame: Alex | Type: HammerTouch | Outcome: Missed | Difficulty: Normal | ExpectedTime: 19.3280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14:58:31.147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M55" s="6">
        <v>59</v>
      </c>
      <c r="N55" s="6" t="inlineStr">
        <is>
          <t>2026-10-02 14:58:31.147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14:58:31.188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M56" s="0">
        <v>60</v>
      </c>
      <c r="N56" s="0" t="inlineStr">
        <is>
          <t>2026-10-02 14:58:31.188 | Minigame: Alex | Type: HammerTouch | Outcome: Success | Difficulty: Normal | ExpectedTime: 20.0960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14:58:31.229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Failed</t>
        </is>
      </c>
      <c r="G57" s="6" t="inlineStr">
        <is>
          <t>Normal</t>
        </is>
      </c>
      <c r="K57" s="4">
        <v>0.0008</v>
      </c>
      <c r="M57" s="6">
        <v>61</v>
      </c>
      <c r="N57" s="6" t="inlineStr">
        <is>
          <t>2026-10-02 14:58:31.229 | Minigame: Alex | Type: HammerHit | Outcome: Failed | Difficulty: Normal | ExpectedTime: 20.0960 | ActualTime: 20.0968 | TimingOffset: 0.0008 | TimingError: 0.0008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14:58:32.008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Normal</t>
        </is>
      </c>
      <c r="K58" s="4">
        <v>0.0107</v>
      </c>
      <c r="M58" s="0">
        <v>62</v>
      </c>
      <c r="N58" s="0" t="inlineStr">
        <is>
          <t>2026-10-02 14:58:32.008 | Minigame: Alex | Type: HammerHit | Outcome: Success | Difficulty: Normal | ExpectedTime: 20.8640 | ActualTime: 20.8747 | TimingOffset: 0.0107 | TimingError: 0.0107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14:58:32.785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M59" s="6">
        <v>63</v>
      </c>
      <c r="N59" s="6" t="inlineStr">
        <is>
          <t>2026-10-02 14:58:32.785 | Minigame: Alex | Type: HammerTouch | Outcome: Success | Difficulty: Normal | ExpectedTime: 21.6320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14:58:32.800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Normal</t>
        </is>
      </c>
      <c r="M60" s="0">
        <v>64</v>
      </c>
      <c r="N60" s="0" t="inlineStr">
        <is>
          <t>2026-10-02 14:58:32.800 | Minigame: Alex | Type: HammerTouch | Outcome: Success | Difficulty: Normal | ExpectedTime: 21.6320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14:58:33.494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Normal</t>
        </is>
      </c>
      <c r="K61" s="4">
        <v>0.0253</v>
      </c>
      <c r="M61" s="6">
        <v>65</v>
      </c>
      <c r="N61" s="6" t="inlineStr">
        <is>
          <t>2026-10-02 14:58:33.494 | Minigame: Alex | Type: HammerHit | Outcome: Success | Difficulty: Normal | ExpectedTime: 22.4000 | ActualTime: 22.3747 | TimingOffset: -0.0253 | TimingError: 0.0253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14:58:33.605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Success</t>
        </is>
      </c>
      <c r="G62" s="0" t="inlineStr">
        <is>
          <t>Normal</t>
        </is>
      </c>
      <c r="M62" s="0">
        <v>66</v>
      </c>
      <c r="N62" s="0" t="inlineStr">
        <is>
          <t>2026-10-02 14:58:33.605 | Minigame: Alex | Type: HammerTouch | Outcome: Success | Difficulty: Normal | ExpectedTime: 22.4000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14:58:34.271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Normal</t>
        </is>
      </c>
      <c r="M63" s="6">
        <v>67</v>
      </c>
      <c r="N63" s="6" t="inlineStr">
        <is>
          <t>2026-10-02 14:58:34.271 | Minigame: Alex | Type: HammerTouch | Outcome: Success | Difficulty: Normal | ExpectedTime: 23.1680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14:58:34.271</t>
        </is>
      </c>
      <c r="C64" s="0" t="inlineStr">
        <is>
          <t>DifficultyChanged</t>
        </is>
      </c>
      <c r="D64" s="0" t="inlineStr">
        <is>
          <t>Alex</t>
        </is>
      </c>
      <c r="I64" s="0" t="inlineStr">
        <is>
          <t>Normal -&gt; Hard</t>
        </is>
      </c>
      <c r="J64" s="0" t="inlineStr">
        <is>
          <t>High recent performance</t>
        </is>
      </c>
      <c r="M64" s="0">
        <v>68</v>
      </c>
      <c r="N64" s="0" t="inlineStr">
        <is>
          <t>2026-10-02 14:58:34.271 | DifficultyChanged: Normal -&gt; Hard | Reason: High recent performance | Minigame: Alex | SuccessRate: 0.88</t>
        </is>
      </c>
    </row>
    <row r="65" ht="17" customHeight="1">
      <c r="A65" s="6">
        <v>64</v>
      </c>
      <c r="B65" s="6" t="inlineStr">
        <is>
          <t>2026-10-02 14:58:34.272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Failed</t>
        </is>
      </c>
      <c r="G65" s="6" t="inlineStr">
        <is>
          <t>Hard</t>
        </is>
      </c>
      <c r="M65" s="6">
        <v>69</v>
      </c>
      <c r="N65" s="6" t="inlineStr">
        <is>
          <t>2026-10-02 14:58:34.272 | Minigame: Alex | Type: HammerTouch | Outcome: Failed | Difficulty: Hard | ExpectedTime: 23.1680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14:58:35.382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Hard</t>
        </is>
      </c>
      <c r="M66" s="0">
        <v>70</v>
      </c>
      <c r="N66" s="0" t="inlineStr">
        <is>
          <t>2026-10-02 14:58:35.382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14:58:35.770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M67" s="6">
        <v>71</v>
      </c>
      <c r="N67" s="6" t="inlineStr">
        <is>
          <t>2026-10-02 14:58:35.770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14:58:35.770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Hard</t>
        </is>
      </c>
      <c r="M68" s="0">
        <v>72</v>
      </c>
      <c r="N68" s="0" t="inlineStr">
        <is>
          <t>2026-10-02 14:58:35.770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14:58:35.813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Hard</t>
        </is>
      </c>
      <c r="M69" s="6">
        <v>73</v>
      </c>
      <c r="N69" s="6" t="inlineStr">
        <is>
          <t>2026-10-02 14:58:35.813 | Minigame: Alex | Type: HammerTouch | Outcome: Success | Difficulty: Hard | ExpectedTime: 24.7040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14:58:35.813</t>
        </is>
      </c>
      <c r="C70" s="0" t="inlineStr">
        <is>
          <t>PlayerState</t>
        </is>
      </c>
      <c r="H70" s="0" t="inlineStr">
        <is>
          <t>Overloaded</t>
        </is>
      </c>
      <c r="M70" s="0">
        <v>74</v>
      </c>
      <c r="N70" s="0" t="inlineStr">
        <is>
          <t>2026-10-02 14:58:35.813 | PlayerState: Overloaded</t>
        </is>
      </c>
    </row>
    <row r="71" ht="17" customHeight="1">
      <c r="A71" s="6">
        <v>70</v>
      </c>
      <c r="B71" s="6" t="inlineStr">
        <is>
          <t>2026-10-02 14:58:35.813</t>
        </is>
      </c>
      <c r="C71" s="6" t="inlineStr">
        <is>
          <t>DifficultyChanged</t>
        </is>
      </c>
      <c r="D71" s="6" t="inlineStr">
        <is>
          <t>Alex</t>
        </is>
      </c>
      <c r="I71" s="6" t="inlineStr">
        <is>
          <t>Hard -&gt; Normal</t>
        </is>
      </c>
      <c r="J71" s="6" t="inlineStr">
        <is>
          <t>PlayerState: Overloaded</t>
        </is>
      </c>
      <c r="M71" s="6">
        <v>75</v>
      </c>
      <c r="N71" s="6" t="inlineStr">
        <is>
          <t>2026-10-02 14:58:35.813 | DifficultyChanged: Hard -&gt; Normal | Reason: PlayerState: Overloaded | Minigame: Alex | RecentSuccessRate: 0.00</t>
        </is>
      </c>
    </row>
    <row r="72" ht="17" customHeight="1">
      <c r="A72" s="0">
        <v>71</v>
      </c>
      <c r="B72" s="0" t="inlineStr">
        <is>
          <t>2026-10-02 14:58:35.827</t>
        </is>
      </c>
      <c r="C72" s="0" t="inlineStr">
        <is>
          <t>PlayerState</t>
        </is>
      </c>
      <c r="H72" s="0" t="inlineStr">
        <is>
          <t>Engaged</t>
        </is>
      </c>
      <c r="M72" s="0">
        <v>76</v>
      </c>
      <c r="N72" s="0" t="inlineStr">
        <is>
          <t>2026-10-02 14:58:35.827 | PlayerState: Engaged</t>
        </is>
      </c>
    </row>
    <row r="73" ht="17" customHeight="1">
      <c r="A73" s="6">
        <v>72</v>
      </c>
      <c r="B73" s="6" t="inlineStr">
        <is>
          <t>2026-10-02 14:58:35.882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Success</t>
        </is>
      </c>
      <c r="G73" s="6" t="inlineStr">
        <is>
          <t>Normal</t>
        </is>
      </c>
      <c r="M73" s="6">
        <v>77</v>
      </c>
      <c r="N73" s="6" t="inlineStr">
        <is>
          <t>2026-10-02 14:58:35.882 | Minigame: Alex | Type: HammerTouch | Outcome: Success | Difficulty: Normal | ExpectedTime: 24.7040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14:58:36.187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Success</t>
        </is>
      </c>
      <c r="G74" s="0" t="inlineStr">
        <is>
          <t>Normal</t>
        </is>
      </c>
      <c r="M74" s="0">
        <v>78</v>
      </c>
      <c r="N74" s="0" t="inlineStr">
        <is>
          <t>2026-10-02 14:58:36.187 | Minigame: Alex | Type: HammerTouch | Outcome: Success | Difficulty: Normal | ExpectedTime: 25.0880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14:58:36.548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Normal</t>
        </is>
      </c>
      <c r="M75" s="6">
        <v>79</v>
      </c>
      <c r="N75" s="6" t="inlineStr">
        <is>
          <t>2026-10-02 14:58:36.548 | Minigame: Alex | Type: HammerTouch | Outcome: Missed | Difficulty: Normal | ExpectedTime: 25.0880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14:58:36.590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Normal</t>
        </is>
      </c>
      <c r="M76" s="0">
        <v>80</v>
      </c>
      <c r="N76" s="0" t="inlineStr">
        <is>
          <t>2026-10-02 14:58:36.590 | Minigame: Alex | Type: HammerTouch | Outcome: Success | Difficulty: Normal | ExpectedTime: 25.4720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14:58:37.410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Normal</t>
        </is>
      </c>
      <c r="M77" s="6">
        <v>81</v>
      </c>
      <c r="N77" s="6" t="inlineStr">
        <is>
          <t>2026-10-02 14:58:37.410 | Minigame: Alex | Type: HammerTouch | Outcome: Success | Difficulty: Normal | ExpectedTime: 26.2400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14:58:37.687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Normal</t>
        </is>
      </c>
      <c r="M78" s="0">
        <v>82</v>
      </c>
      <c r="N78" s="0" t="inlineStr">
        <is>
          <t>2026-10-02 14:58:37.687 | Minigame: Alex | Type: HammerTouch | Outcome: Missed | Difficulty: Normal | ExpectedTime: 26.2400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14:58:38.104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Normal</t>
        </is>
      </c>
      <c r="M79" s="6">
        <v>83</v>
      </c>
      <c r="N79" s="6" t="inlineStr">
        <is>
          <t>2026-10-02 14:58:38.104 | Minigame: Alex | Type: HammerTouch | Outcome: Success | Difficulty: Normal | ExpectedTime: 27.0080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14:58:38.160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Normal</t>
        </is>
      </c>
      <c r="M80" s="0">
        <v>84</v>
      </c>
      <c r="N80" s="0" t="inlineStr">
        <is>
          <t>2026-10-02 14:58:38.160 | Minigame: Alex | Type: HammerTouch | Outcome: Success | Difficulty: Normal | ExpectedTime: 27.0080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14:58:38.868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Normal</t>
        </is>
      </c>
      <c r="K81" s="4">
        <v>0.0273</v>
      </c>
      <c r="M81" s="6">
        <v>85</v>
      </c>
      <c r="N81" s="6" t="inlineStr">
        <is>
          <t>2026-10-02 14:58:38.868 | Minigame: Alex | Type: HammerHit | Outcome: Success | Difficulty: Normal | ExpectedTime: 27.7760 | ActualTime: 27.7487 | TimingOffset: -0.0273 | TimingError: 0.0273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14:58:38.951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Success</t>
        </is>
      </c>
      <c r="G82" s="0" t="inlineStr">
        <is>
          <t>Normal</t>
        </is>
      </c>
      <c r="M82" s="0">
        <v>86</v>
      </c>
      <c r="N82" s="0" t="inlineStr">
        <is>
          <t>2026-10-02 14:58:38.951 | Minigame: Alex | Type: HammerTouch | Outcome: Success | Difficulty: Normal | ExpectedTime: 27.7760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14:58:39.673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Normal</t>
        </is>
      </c>
      <c r="K83" s="4">
        <v>0.01</v>
      </c>
      <c r="M83" s="6">
        <v>87</v>
      </c>
      <c r="N83" s="6" t="inlineStr">
        <is>
          <t>2026-10-02 14:58:39.673 | Minigame: Alex | Type: HammerHit | Outcome: Success | Difficulty: Normal | ExpectedTime: 28.5440 | ActualTime: 28.5540 | TimingOffset: 0.0100 | TimingError: 0.0100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14:58:39.673</t>
        </is>
      </c>
      <c r="C84" s="0" t="inlineStr">
        <is>
          <t>DifficultyChanged</t>
        </is>
      </c>
      <c r="D84" s="0" t="inlineStr">
        <is>
          <t>Alex</t>
        </is>
      </c>
      <c r="I84" s="0" t="inlineStr">
        <is>
          <t>Normal -&gt; Hard</t>
        </is>
      </c>
      <c r="J84" s="0" t="inlineStr">
        <is>
          <t>High recent performance</t>
        </is>
      </c>
      <c r="M84" s="0">
        <v>88</v>
      </c>
      <c r="N84" s="0" t="inlineStr">
        <is>
          <t>2026-10-02 14:58:39.673 | DifficultyChanged: Normal -&gt; Hard | Reason: High recent performance | Minigame: Alex | SuccessRate: 0.88</t>
        </is>
      </c>
    </row>
    <row r="85" ht="17" customHeight="1">
      <c r="A85" s="6">
        <v>84</v>
      </c>
      <c r="B85" s="6" t="inlineStr">
        <is>
          <t>2026-10-02 14:58:39.729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Success</t>
        </is>
      </c>
      <c r="G85" s="6" t="inlineStr">
        <is>
          <t>Hard</t>
        </is>
      </c>
      <c r="M85" s="6">
        <v>89</v>
      </c>
      <c r="N85" s="6" t="inlineStr">
        <is>
          <t>2026-10-02 14:58:39.729 | Minigame: Alex | Type: HammerTouch | Outcome: Success | Difficulty: Hard | ExpectedTime: 28.5440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14:58:40.770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M86" s="0">
        <v>90</v>
      </c>
      <c r="N86" s="0" t="inlineStr">
        <is>
          <t>2026-10-02 14:58:40.770 | Minigame: Alex | Type: HammerTouch | Outcome: Missed | Difficulty: Hard | ExpectedTime: 29.3120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14:58:40.770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M87" s="6">
        <v>91</v>
      </c>
      <c r="N87" s="6" t="inlineStr">
        <is>
          <t>2026-10-02 14:58:40.770 | Minigame: Alex | Type: HammerTouch | Outcome: Missed | Difficulty: Hard | ExpectedTime: 29.3120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14:58:40.785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0.0301</v>
      </c>
      <c r="M88" s="0">
        <v>92</v>
      </c>
      <c r="N88" s="0" t="inlineStr">
        <is>
          <t>2026-10-02 14:58:40.785 | Minigame: Alex | Type: HammerHit | Outcome: Success | Difficulty: Hard | ExpectedTime: 29.6960 | ActualTime: 29.6659 | TimingOffset: -0.0301 | TimingError: 0.0301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14:58:41.521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M89" s="6">
        <v>93</v>
      </c>
      <c r="N89" s="6" t="inlineStr">
        <is>
          <t>2026-10-02 14:58:41.521 | Minigame: Alex | Type: HammerTouch | Outcome: Missed | Difficulty: Hard | ExpectedTime: 30.0800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14:58:41.521</t>
        </is>
      </c>
      <c r="C90" s="0" t="inlineStr">
        <is>
          <t>PlayerState</t>
        </is>
      </c>
      <c r="H90" s="0" t="inlineStr">
        <is>
          <t>Overloaded</t>
        </is>
      </c>
      <c r="M90" s="0">
        <v>94</v>
      </c>
      <c r="N90" s="0" t="inlineStr">
        <is>
          <t>2026-10-02 14:58:41.521 | PlayerState: Overloaded</t>
        </is>
      </c>
    </row>
    <row r="91" ht="17" customHeight="1">
      <c r="A91" s="6">
        <v>90</v>
      </c>
      <c r="B91" s="6" t="inlineStr">
        <is>
          <t>2026-10-02 14:58:41.521</t>
        </is>
      </c>
      <c r="C91" s="6" t="inlineStr">
        <is>
          <t>DifficultyChanged</t>
        </is>
      </c>
      <c r="D91" s="6" t="inlineStr">
        <is>
          <t>Alex</t>
        </is>
      </c>
      <c r="I91" s="6" t="inlineStr">
        <is>
          <t>Hard -&gt; Normal</t>
        </is>
      </c>
      <c r="J91" s="6" t="inlineStr">
        <is>
          <t>PlayerState: Overloaded</t>
        </is>
      </c>
      <c r="M91" s="6">
        <v>95</v>
      </c>
      <c r="N91" s="6" t="inlineStr">
        <is>
          <t>2026-10-02 14:58:41.521 | DifficultyChanged: Hard -&gt; Normal | Reason: PlayerState: Overloaded | Minigame: Alex | RecentSuccessRate: 0.50</t>
        </is>
      </c>
    </row>
    <row r="92" ht="17" customHeight="1">
      <c r="A92" s="0">
        <v>91</v>
      </c>
      <c r="B92" s="0" t="inlineStr">
        <is>
          <t>2026-10-02 14:58:41.521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Normal</t>
        </is>
      </c>
      <c r="M92" s="0">
        <v>96</v>
      </c>
      <c r="N92" s="0" t="inlineStr">
        <is>
          <t>2026-10-02 14:58:41.521 | Minigame: Alex | Type: HammerTouch | Outcome: Missed | Difficulty: Normal | ExpectedTime: 30.0800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14:58:41.522</t>
        </is>
      </c>
      <c r="C93" s="6" t="inlineStr">
        <is>
          <t>PlayerState</t>
        </is>
      </c>
      <c r="H93" s="6" t="inlineStr">
        <is>
          <t>Engaged</t>
        </is>
      </c>
      <c r="M93" s="6">
        <v>97</v>
      </c>
      <c r="N93" s="6" t="inlineStr">
        <is>
          <t>2026-10-02 14:58:41.522 | PlayerState: Engaged</t>
        </is>
      </c>
    </row>
    <row r="94" ht="17" customHeight="1">
      <c r="A94" s="0">
        <v>93</v>
      </c>
      <c r="B94" s="0" t="inlineStr">
        <is>
          <t>2026-10-02 14:58:41.910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Normal</t>
        </is>
      </c>
      <c r="M94" s="0">
        <v>98</v>
      </c>
      <c r="N94" s="0" t="inlineStr">
        <is>
          <t>2026-10-02 14:58:41.910 | Minigame: Alex | Type: HammerTouch | Outcome: Missed | Difficulty: Normal | ExpectedTime: 30.4640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14:58:42.284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Normal</t>
        </is>
      </c>
      <c r="M95" s="6">
        <v>99</v>
      </c>
      <c r="N95" s="6" t="inlineStr">
        <is>
          <t>2026-10-02 14:58:42.284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14:58:42.284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Missed</t>
        </is>
      </c>
      <c r="G96" s="0" t="inlineStr">
        <is>
          <t>Normal</t>
        </is>
      </c>
      <c r="M96" s="0">
        <v>100</v>
      </c>
      <c r="N96" s="0" t="inlineStr">
        <is>
          <t>2026-10-02 14:58:42.284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14:58:45.130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K97" s="4">
        <v>0.0772</v>
      </c>
      <c r="M97" s="6">
        <v>101</v>
      </c>
      <c r="N97" s="6" t="inlineStr">
        <is>
          <t>2026-10-02 14:58:45.130 | Minigame: Joaquin | Type: GuitarHit | Outcome: Success | Difficulty: Normal | ExpectedTime: 33.9200 | ActualTime: 33.9972 | TimingOffset: 0.0772 | TimingError: 0.0772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14:58:47.186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GuitarHit</t>
        </is>
      </c>
      <c r="F98" s="0" t="inlineStr">
        <is>
          <t>Success</t>
        </is>
      </c>
      <c r="G98" s="0" t="inlineStr">
        <is>
          <t>Normal</t>
        </is>
      </c>
      <c r="K98" s="4">
        <v>0.1713</v>
      </c>
      <c r="M98" s="0">
        <v>102</v>
      </c>
      <c r="N98" s="0" t="inlineStr">
        <is>
          <t>2026-10-02 14:58:47.186 | Minigame: Joaquin | Type: GuitarHit | Outcome: Success | Difficulty: Normal | ExpectedTime: 36.2240 | ActualTime: 36.0527 | TimingOffset: -0.1713 | TimingError: 0.1713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14:58:48.435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Normal</t>
        </is>
      </c>
      <c r="M99" s="6">
        <v>103</v>
      </c>
      <c r="N99" s="6" t="inlineStr">
        <is>
          <t>2026-10-02 14:58:48.435 | Minigame: Joaquin | Type: PlayerHit | Outcome: Failed | Difficulty: Normal | ExpectedTime: 37.3025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14:58:49.491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K100" s="4">
        <v>0.1697</v>
      </c>
      <c r="M100" s="0">
        <v>104</v>
      </c>
      <c r="N100" s="0" t="inlineStr">
        <is>
          <t>2026-10-02 14:58:49.491 | Minigame: Joaquin | Type: GuitarHit | Outcome: Success | Difficulty: Normal | ExpectedTime: 38.5280 | ActualTime: 38.3583 | TimingOffset: -0.1697 | TimingError: 0.1697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14:58:50.200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PlayerHit</t>
        </is>
      </c>
      <c r="F101" s="6" t="inlineStr">
        <is>
          <t>Failed</t>
        </is>
      </c>
      <c r="G101" s="6" t="inlineStr">
        <is>
          <t>Normal</t>
        </is>
      </c>
      <c r="M101" s="6">
        <v>105</v>
      </c>
      <c r="N101" s="6" t="inlineStr">
        <is>
          <t>2026-10-02 14:58:50.200 | Minigame: Joaquin | Type: PlayerHit | Outcome: Failed | Difficulty: Normal | ExpectedTime: 39.0663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14:58:52.284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Normal</t>
        </is>
      </c>
      <c r="M102" s="0">
        <v>106</v>
      </c>
      <c r="N102" s="0" t="inlineStr">
        <is>
          <t>2026-10-02 14:58:52.284 | Minigame: Joaquin | Type: PlayerHit | Outcome: Failed | Difficulty: Normal | ExpectedTime: 41.1507 | ActualTime: N/A | TimingOffset: N/A | TimingError: N/A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14:58:52.728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Normal</t>
        </is>
      </c>
      <c r="K103" s="4">
        <v>0.0052</v>
      </c>
      <c r="M103" s="6">
        <v>107</v>
      </c>
      <c r="N103" s="6" t="inlineStr">
        <is>
          <t>2026-10-02 14:58:52.728 | Minigame: Joaquin | Type: GuitarHit | Outcome: Success | Difficulty: Normal | ExpectedTime: 41.6000 | ActualTime: 41.5948 | TimingOffset: -0.0052 | TimingError: 0.0052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14:58:53.436</t>
        </is>
      </c>
      <c r="C104" s="0" t="inlineStr">
        <is>
          <t>Interaction</t>
        </is>
      </c>
      <c r="D104" s="0" t="inlineStr">
        <is>
          <t>Joaquin</t>
        </is>
      </c>
      <c r="E104" s="0" t="inlineStr">
        <is>
          <t>PlayerHit</t>
        </is>
      </c>
      <c r="F104" s="0" t="inlineStr">
        <is>
          <t>Failed</t>
        </is>
      </c>
      <c r="G104" s="0" t="inlineStr">
        <is>
          <t>Normal</t>
        </is>
      </c>
      <c r="M104" s="0">
        <v>108</v>
      </c>
      <c r="N104" s="0" t="inlineStr">
        <is>
          <t>2026-10-02 14:58:53.436 | Minigame: Joaquin | Type: PlayerHit | Outcome: Failed | Difficulty: Normal | ExpectedTime: 42.3026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14:58:53.575</t>
        </is>
      </c>
      <c r="C105" s="6" t="inlineStr">
        <is>
          <t>Interaction</t>
        </is>
      </c>
      <c r="D105" s="6" t="inlineStr">
        <is>
          <t>Joaquin</t>
        </is>
      </c>
      <c r="E105" s="6" t="inlineStr">
        <is>
          <t>PlayerHit</t>
        </is>
      </c>
      <c r="F105" s="6" t="inlineStr">
        <is>
          <t>Failed</t>
        </is>
      </c>
      <c r="G105" s="6" t="inlineStr">
        <is>
          <t>Normal</t>
        </is>
      </c>
      <c r="M105" s="6">
        <v>109</v>
      </c>
      <c r="N105" s="6" t="inlineStr">
        <is>
          <t>2026-10-02 14:58:53.575 | Minigame: Joaquin | Type: PlayerHit | Outcome: Failed | Difficulty: Normal | ExpectedTime: 42.4417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14:58:53.575</t>
        </is>
      </c>
      <c r="C106" s="0" t="inlineStr">
        <is>
          <t>PlayerState</t>
        </is>
      </c>
      <c r="H106" s="0" t="inlineStr">
        <is>
          <t>Overloaded</t>
        </is>
      </c>
      <c r="M106" s="0">
        <v>110</v>
      </c>
      <c r="N106" s="0" t="inlineStr">
        <is>
          <t>2026-10-02 14:58:53.575 | PlayerState: Overloaded</t>
        </is>
      </c>
    </row>
    <row r="107" ht="17" customHeight="1">
      <c r="A107" s="6">
        <v>106</v>
      </c>
      <c r="B107" s="6" t="inlineStr">
        <is>
          <t>2026-10-02 14:58:53.575</t>
        </is>
      </c>
      <c r="C107" s="6" t="inlineStr">
        <is>
          <t>DifficultyChanged</t>
        </is>
      </c>
      <c r="D107" s="6" t="inlineStr">
        <is>
          <t>Joaquin</t>
        </is>
      </c>
      <c r="I107" s="6" t="inlineStr">
        <is>
          <t>Normal -&gt; Easy</t>
        </is>
      </c>
      <c r="J107" s="6" t="inlineStr">
        <is>
          <t>PlayerState: Overloaded</t>
        </is>
      </c>
      <c r="M107" s="6">
        <v>111</v>
      </c>
      <c r="N107" s="6" t="inlineStr">
        <is>
          <t>2026-10-02 14:58:53.575 | DifficultyChanged: Normal -&gt; Easy | Reason: PlayerState: Overloaded | Minigame: Joaquin | RecentSuccessRate: 0.50</t>
        </is>
      </c>
    </row>
    <row r="108" ht="17" customHeight="1">
      <c r="A108" s="0">
        <v>107</v>
      </c>
      <c r="B108" s="0" t="inlineStr">
        <is>
          <t>2026-10-02 14:58:53.589</t>
        </is>
      </c>
      <c r="C108" s="0" t="inlineStr">
        <is>
          <t>PlayerState</t>
        </is>
      </c>
      <c r="H108" s="0" t="inlineStr">
        <is>
          <t>Engaged</t>
        </is>
      </c>
      <c r="M108" s="0">
        <v>112</v>
      </c>
      <c r="N108" s="0" t="inlineStr">
        <is>
          <t>2026-10-02 14:58:53.589 | PlayerState: Engaged</t>
        </is>
      </c>
    </row>
    <row r="109" ht="17" customHeight="1">
      <c r="A109" s="6">
        <v>108</v>
      </c>
      <c r="B109" s="6" t="inlineStr">
        <is>
          <t>2026-10-02 14:58:54.088</t>
        </is>
      </c>
      <c r="C109" s="6" t="inlineStr">
        <is>
          <t>Interaction</t>
        </is>
      </c>
      <c r="D109" s="6" t="inlineStr">
        <is>
          <t>Joaquin</t>
        </is>
      </c>
      <c r="E109" s="6" t="inlineStr">
        <is>
          <t>GuitarHit</t>
        </is>
      </c>
      <c r="F109" s="6" t="inlineStr">
        <is>
          <t>Success</t>
        </is>
      </c>
      <c r="G109" s="6" t="inlineStr">
        <is>
          <t>Easy</t>
        </is>
      </c>
      <c r="K109" s="4">
        <v>0.1803</v>
      </c>
      <c r="M109" s="6">
        <v>113</v>
      </c>
      <c r="N109" s="6" t="inlineStr">
        <is>
          <t>2026-10-02 14:58:54.088 | Minigame: Joaquin | Type: GuitarHit | Outcome: Success | Difficulty: Easy | ExpectedTime: 43.1360 | ActualTime: 42.9557 | TimingOffset: -0.1803 | TimingError: 0.1803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14:58:56.698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Easy</t>
        </is>
      </c>
      <c r="K110" s="4">
        <v>0.1264</v>
      </c>
      <c r="M110" s="0">
        <v>114</v>
      </c>
      <c r="N110" s="0" t="inlineStr">
        <is>
          <t>2026-10-02 14:58:56.698 | Minigame: Joaquin | Type: GuitarHit | Outcome: Success | Difficulty: Easy | ExpectedTime: 45.4400 | ActualTime: 45.5664 | TimingOffset: 0.1264 | TimingError: 0.1264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14:58:59.351</t>
        </is>
      </c>
      <c r="C111" s="6" t="inlineStr">
        <is>
          <t>Interaction</t>
        </is>
      </c>
      <c r="D111" s="6" t="inlineStr">
        <is>
          <t>Joaquin</t>
        </is>
      </c>
      <c r="E111" s="6" t="inlineStr">
        <is>
          <t>GuitarHit</t>
        </is>
      </c>
      <c r="F111" s="6" t="inlineStr">
        <is>
          <t>Success</t>
        </is>
      </c>
      <c r="G111" s="6" t="inlineStr">
        <is>
          <t>Easy</t>
        </is>
      </c>
      <c r="K111" s="4">
        <v>0.0906</v>
      </c>
      <c r="M111" s="6">
        <v>115</v>
      </c>
      <c r="N111" s="6" t="inlineStr">
        <is>
          <t>2026-10-02 14:58:59.351 | Minigame: Joaquin | Type: GuitarHit | Outcome: Success | Difficulty: Easy | ExpectedTime: 48.1280 | ActualTime: 48.2186 | TimingOffset: 0.0906 | TimingError: 0.0906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14:59:01.740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Easy</t>
        </is>
      </c>
      <c r="K112" s="4">
        <v>0.1749</v>
      </c>
      <c r="M112" s="0">
        <v>116</v>
      </c>
      <c r="N112" s="0" t="inlineStr">
        <is>
          <t>2026-10-02 14:59:01.740 | Minigame: Joaquin | Type: GuitarHit | Outcome: Success | Difficulty: Easy | ExpectedTime: 50.4320 | ActualTime: 50.6069 | TimingOffset: 0.1749 | TimingError: 0.1749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14:59:04.129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Easy</t>
        </is>
      </c>
      <c r="K113" s="4">
        <v>0.1242</v>
      </c>
      <c r="M113" s="6">
        <v>117</v>
      </c>
      <c r="N113" s="6" t="inlineStr">
        <is>
          <t>2026-10-02 14:59:04.129 | Minigame: Joaquin | Type: GuitarHit | Outcome: Success | Difficulty: Easy | ExpectedTime: 53.1200 | ActualTime: 52.9958 | TimingOffset: -0.1242 | TimingError: 0.1242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14:59:06.767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Easy</t>
        </is>
      </c>
      <c r="K114" s="4">
        <v>0.1742</v>
      </c>
      <c r="M114" s="0">
        <v>118</v>
      </c>
      <c r="N114" s="0" t="inlineStr">
        <is>
          <t>2026-10-02 14:59:06.767 | Minigame: Joaquin | Type: GuitarHit | Outcome: Success | Difficulty: Easy | ExpectedTime: 55.8080 | ActualTime: 55.6338 | TimingOffset: -0.1742 | TimingError: 0.1742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14:59:10.420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Easy</t>
        </is>
      </c>
      <c r="K115" s="4">
        <v>0.0229</v>
      </c>
      <c r="M115" s="6">
        <v>119</v>
      </c>
      <c r="N115" s="6" t="inlineStr">
        <is>
          <t>2026-10-02 14:59:10.420 | Minigame: Joaquin | Type: GuitarHit | Outcome: Success | Difficulty: Easy | ExpectedTime: 59.2640 | ActualTime: 59.2869 | TimingOffset: 0.0229 | TimingError: 0.0229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14:59:12.531</t>
        </is>
      </c>
      <c r="C116" s="0" t="inlineStr">
        <is>
          <t>Interaction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Easy</t>
        </is>
      </c>
      <c r="K116" s="4">
        <v>0.1695</v>
      </c>
      <c r="M116" s="0">
        <v>120</v>
      </c>
      <c r="N116" s="0" t="inlineStr">
        <is>
          <t>2026-10-02 14:59:12.531 | Minigame: Joaquin | Type: GuitarHit | Outcome: Success | Difficulty: Easy | ExpectedTime: 61.5680 | ActualTime: 61.3985 | TimingOffset: -0.1695 | TimingError: 0.1695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14:59:12.531</t>
        </is>
      </c>
      <c r="C117" s="6" t="inlineStr">
        <is>
          <t>DifficultyChanged</t>
        </is>
      </c>
      <c r="D117" s="6" t="inlineStr">
        <is>
          <t>Joaquin</t>
        </is>
      </c>
      <c r="I117" s="6" t="inlineStr">
        <is>
          <t>Easy -&gt; Normal</t>
        </is>
      </c>
      <c r="J117" s="6" t="inlineStr">
        <is>
          <t>High recent performance</t>
        </is>
      </c>
      <c r="M117" s="6">
        <v>121</v>
      </c>
      <c r="N117" s="6" t="inlineStr">
        <is>
          <t>2026-10-02 14:59:12.531 | DifficultyChanged: Easy -&gt; Normal | Reason: High recent performance | Minigame: Joaquin | SuccessRate: 1.00</t>
        </is>
      </c>
    </row>
    <row r="118" ht="17" customHeight="1">
      <c r="A118" s="0">
        <v>117</v>
      </c>
      <c r="B118" s="0" t="inlineStr">
        <is>
          <t>2026-10-02 14:59:12.670</t>
        </is>
      </c>
      <c r="C118" s="0" t="inlineStr">
        <is>
          <t>Interaction</t>
        </is>
      </c>
      <c r="D118" s="0" t="inlineStr">
        <is>
          <t>Joaquin</t>
        </is>
      </c>
      <c r="E118" s="0" t="inlineStr">
        <is>
          <t>GuitarHit</t>
        </is>
      </c>
      <c r="F118" s="0" t="inlineStr">
        <is>
          <t>Success</t>
        </is>
      </c>
      <c r="G118" s="0" t="inlineStr">
        <is>
          <t>Normal</t>
        </is>
      </c>
      <c r="K118" s="4">
        <v>0.0308</v>
      </c>
      <c r="M118" s="0">
        <v>122</v>
      </c>
      <c r="N118" s="0" t="inlineStr">
        <is>
          <t>2026-10-02 14:59:12.670 | Minigame: Joaquin | Type: GuitarHit | Outcome: Success | Difficulty: Normal | ExpectedTime: 61.5680 | ActualTime: 61.5372 | TimingOffset: -0.0308 | TimingError: 0.0308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14:59:17.671</t>
        </is>
      </c>
      <c r="C119" s="6" t="inlineStr">
        <is>
          <t>PlayerState</t>
        </is>
      </c>
      <c r="H119" s="6" t="inlineStr">
        <is>
          <t>Idle</t>
        </is>
      </c>
      <c r="M119" s="6">
        <v>123</v>
      </c>
      <c r="N119" s="6" t="inlineStr">
        <is>
          <t>2026-10-02 14:59:17.671 | PlayerState: Idle</t>
        </is>
      </c>
    </row>
    <row r="120" ht="17" customHeight="1">
      <c r="A120" s="0">
        <v>119</v>
      </c>
      <c r="B120" s="0" t="inlineStr">
        <is>
          <t>2026-10-02 14:59:17.851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Normal</t>
        </is>
      </c>
      <c r="K120" s="4">
        <v>0.0813</v>
      </c>
      <c r="L120" s="4">
        <v>0.9261</v>
      </c>
      <c r="M120" s="0">
        <v>124</v>
      </c>
      <c r="N120" s="0" t="inlineStr">
        <is>
          <t>2026-10-02 14:59:17.851 | Minigame: Shipi | Type: FoodCut | Outcome: Failed | Difficulty: Normal | ExpectedTime: 66.6368 | ActualTime: 66.7181 | TimingOffset: 0.0813 | TimingError: 0.0813 | ReactionTime: 0.9261 | SpatialAccuracy: N/A | DirectionAccuracy: 0.0000 | CorrectHand: N/A</t>
        </is>
      </c>
    </row>
    <row r="121" ht="17" customHeight="1">
      <c r="A121" s="6">
        <v>120</v>
      </c>
      <c r="B121" s="6" t="inlineStr">
        <is>
          <t>2026-10-02 14:59:17.851</t>
        </is>
      </c>
      <c r="C121" s="6" t="inlineStr">
        <is>
          <t>PlayerState</t>
        </is>
      </c>
      <c r="H121" s="6" t="inlineStr">
        <is>
          <t>Engaged</t>
        </is>
      </c>
      <c r="M121" s="6">
        <v>125</v>
      </c>
      <c r="N121" s="6" t="inlineStr">
        <is>
          <t>2026-10-02 14:59:17.851 | PlayerState: Engaged</t>
        </is>
      </c>
    </row>
    <row r="122" ht="17" customHeight="1">
      <c r="A122" s="0">
        <v>121</v>
      </c>
      <c r="B122" s="0" t="inlineStr">
        <is>
          <t>2026-10-02 14:59:19.086</t>
        </is>
      </c>
      <c r="C122" s="0" t="inlineStr">
        <is>
          <t>Interaction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Normal</t>
        </is>
      </c>
      <c r="K122" s="4">
        <v>0.2188</v>
      </c>
      <c r="L122" s="4">
        <v>0.626</v>
      </c>
      <c r="M122" s="0">
        <v>126</v>
      </c>
      <c r="N122" s="0" t="inlineStr">
        <is>
          <t>2026-10-02 14:59:19.086 | Minigame: Shipi | Type: FoodCut | Outcome: Failed | Difficulty: Normal | ExpectedTime: 68.1728 | ActualTime: 67.9540 | TimingOffset: -0.2188 | TimingError: 0.2188 | ReactionTime: 0.6260 | SpatialAccuracy: N/A | DirectionAccuracy: 0.0000 | CorrectHand: N/A</t>
        </is>
      </c>
    </row>
    <row r="123" ht="17" customHeight="1">
      <c r="A123" s="6">
        <v>122</v>
      </c>
      <c r="B123" s="6" t="inlineStr">
        <is>
          <t>2026-10-02 14:59:20.406</t>
        </is>
      </c>
      <c r="C123" s="6" t="inlineStr">
        <is>
          <t>Interaction</t>
        </is>
      </c>
      <c r="D123" s="6" t="inlineStr">
        <is>
          <t>Shipi</t>
        </is>
      </c>
      <c r="E123" s="6" t="inlineStr">
        <is>
          <t>FoodCut</t>
        </is>
      </c>
      <c r="F123" s="6" t="inlineStr">
        <is>
          <t>Success</t>
        </is>
      </c>
      <c r="G123" s="6" t="inlineStr">
        <is>
          <t>Normal</t>
        </is>
      </c>
      <c r="K123" s="4">
        <v>0.4353</v>
      </c>
      <c r="L123" s="4">
        <v>0.4095</v>
      </c>
      <c r="M123" s="6">
        <v>127</v>
      </c>
      <c r="N123" s="6" t="inlineStr">
        <is>
          <t>2026-10-02 14:59:20.406 | Minigame: Shipi | Type: FoodCut | Outcome: Success | Difficulty: Normal | ExpectedTime: 69.7088 | ActualTime: 69.2735 | TimingOffset: -0.4353 | TimingError: 0.4353 | ReactionTime: 0.4095 | SpatialAccuracy: N/A | DirectionAccuracy: 1.0000 | CorrectHand: N/A</t>
        </is>
      </c>
    </row>
    <row r="124" ht="17" customHeight="1">
      <c r="A124" s="0">
        <v>123</v>
      </c>
      <c r="B124" s="0" t="inlineStr">
        <is>
          <t>2026-10-02 14:59:21.962</t>
        </is>
      </c>
      <c r="C124" s="0" t="inlineStr">
        <is>
          <t>Interaction</t>
        </is>
      </c>
      <c r="D124" s="0" t="inlineStr">
        <is>
          <t>Shipi</t>
        </is>
      </c>
      <c r="E124" s="0" t="inlineStr">
        <is>
          <t>FoodCut</t>
        </is>
      </c>
      <c r="F124" s="0" t="inlineStr">
        <is>
          <t>Failed</t>
        </is>
      </c>
      <c r="G124" s="0" t="inlineStr">
        <is>
          <t>Normal</t>
        </is>
      </c>
      <c r="K124" s="4">
        <v>0.4155</v>
      </c>
      <c r="L124" s="4">
        <v>0.4293</v>
      </c>
      <c r="M124" s="0">
        <v>128</v>
      </c>
      <c r="N124" s="0" t="inlineStr">
        <is>
          <t>2026-10-02 14:59:21.962 | Minigame: Shipi | Type: FoodCut | Outcome: Failed | Difficulty: Normal | ExpectedTime: 71.2448 | ActualTime: 70.8293 | TimingOffset: -0.4155 | TimingError: 0.4155 | ReactionTime: 0.4293 | SpatialAccuracy: N/A | DirectionAccuracy: 0.0000 | CorrectHand: N/A</t>
        </is>
      </c>
    </row>
    <row r="125" ht="17" customHeight="1">
      <c r="A125" s="6">
        <v>124</v>
      </c>
      <c r="B125" s="6" t="inlineStr">
        <is>
          <t>2026-10-02 14:59:23.449</t>
        </is>
      </c>
      <c r="C125" s="6" t="inlineStr">
        <is>
          <t>Interaction</t>
        </is>
      </c>
      <c r="D125" s="6" t="inlineStr">
        <is>
          <t>Shipi</t>
        </is>
      </c>
      <c r="E125" s="6" t="inlineStr">
        <is>
          <t>FoodCut</t>
        </is>
      </c>
      <c r="F125" s="6" t="inlineStr">
        <is>
          <t>Failed</t>
        </is>
      </c>
      <c r="G125" s="6" t="inlineStr">
        <is>
          <t>Normal</t>
        </is>
      </c>
      <c r="K125" s="4">
        <v>0.465</v>
      </c>
      <c r="L125" s="4">
        <v>0.3798</v>
      </c>
      <c r="M125" s="6">
        <v>129</v>
      </c>
      <c r="N125" s="6" t="inlineStr">
        <is>
          <t>2026-10-02 14:59:23.449 | Minigame: Shipi | Type: FoodCut | Outcome: Failed | Difficulty: Normal | ExpectedTime: 72.7808 | ActualTime: 72.3158 | TimingOffset: -0.4650 | TimingError: 0.4650 | ReactionTime: 0.3798 | SpatialAccuracy: N/A | DirectionAccuracy: 0.0000 | CorrectHand: N/A</t>
        </is>
      </c>
    </row>
    <row r="126" ht="17" customHeight="1">
      <c r="A126" s="0">
        <v>125</v>
      </c>
      <c r="B126" s="0" t="inlineStr">
        <is>
          <t>2026-10-02 14:59:23.449</t>
        </is>
      </c>
      <c r="C126" s="0" t="inlineStr">
        <is>
          <t>PlayerState</t>
        </is>
      </c>
      <c r="H126" s="0" t="inlineStr">
        <is>
          <t>Overloaded</t>
        </is>
      </c>
      <c r="M126" s="0">
        <v>130</v>
      </c>
      <c r="N126" s="0" t="inlineStr">
        <is>
          <t>2026-10-02 14:59:23.449 | PlayerState: Overloaded</t>
        </is>
      </c>
    </row>
    <row r="127" ht="17" customHeight="1">
      <c r="A127" s="6">
        <v>126</v>
      </c>
      <c r="B127" s="6" t="inlineStr">
        <is>
          <t>2026-10-02 14:59:23.450</t>
        </is>
      </c>
      <c r="C127" s="6" t="inlineStr">
        <is>
          <t>DifficultyChanged</t>
        </is>
      </c>
      <c r="D127" s="6" t="inlineStr">
        <is>
          <t>Shipi</t>
        </is>
      </c>
      <c r="I127" s="6" t="inlineStr">
        <is>
          <t>Normal -&gt; Easy</t>
        </is>
      </c>
      <c r="J127" s="6" t="inlineStr">
        <is>
          <t>PlayerState: Overloaded</t>
        </is>
      </c>
      <c r="M127" s="6">
        <v>131</v>
      </c>
      <c r="N127" s="6" t="inlineStr">
        <is>
          <t>2026-10-02 14:59:23.450 | DifficultyChanged: Normal -&gt; Easy | Reason: PlayerState: Overloaded | Minigame: Shipi | RecentSuccessRate: 0.25</t>
        </is>
      </c>
    </row>
    <row r="128" ht="17" customHeight="1">
      <c r="A128" s="0">
        <v>127</v>
      </c>
      <c r="B128" s="0" t="inlineStr">
        <is>
          <t>2026-10-02 14:59:23.450</t>
        </is>
      </c>
      <c r="C128" s="0" t="inlineStr">
        <is>
          <t>PlayerState</t>
        </is>
      </c>
      <c r="H128" s="0" t="inlineStr">
        <is>
          <t>Engaged</t>
        </is>
      </c>
      <c r="M128" s="0">
        <v>132</v>
      </c>
      <c r="N128" s="0" t="inlineStr">
        <is>
          <t>2026-10-02 14:59:23.450 | PlayerState: Engaged</t>
        </is>
      </c>
    </row>
    <row r="129" ht="17" customHeight="1">
      <c r="A129" s="6">
        <v>128</v>
      </c>
      <c r="B129" s="6" t="inlineStr">
        <is>
          <t>2026-10-02 14:59:25.408</t>
        </is>
      </c>
      <c r="C129" s="6" t="inlineStr">
        <is>
          <t>Interaction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Failed</t>
        </is>
      </c>
      <c r="G129" s="6" t="inlineStr">
        <is>
          <t>Normal</t>
        </is>
      </c>
      <c r="M129" s="6">
        <v>133</v>
      </c>
      <c r="N129" s="6" t="inlineStr">
        <is>
          <t>2026-10-02 14:59:25.408 | Minigame: Shipi | Type: FoodCut | Outcome: Failed | Difficulty: Normal | ExpectedTime: 74.9120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14:59:27.450</t>
        </is>
      </c>
      <c r="C130" s="0" t="inlineStr">
        <is>
          <t>Interaction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Failed</t>
        </is>
      </c>
      <c r="G130" s="0" t="inlineStr">
        <is>
          <t>Normal</t>
        </is>
      </c>
      <c r="K130" s="4">
        <v>0.5146</v>
      </c>
      <c r="L130" s="4">
        <v>0.5414</v>
      </c>
      <c r="M130" s="0">
        <v>134</v>
      </c>
      <c r="N130" s="0" t="inlineStr">
        <is>
          <t>2026-10-02 14:59:27.450 | Minigame: Shipi | Type: FoodCut | Outcome: Failed | Difficulty: Normal | ExpectedTime: 76.8320 | ActualTime: 76.3174 | TimingOffset: -0.5146 | TimingError: 0.5146 | ReactionTime: 0.5414 | SpatialAccuracy: N/A | DirectionAccuracy: 0.0000 | CorrectHand: N/A</t>
        </is>
      </c>
    </row>
    <row r="131" ht="17" customHeight="1">
      <c r="A131" s="6">
        <v>130</v>
      </c>
      <c r="B131" s="6" t="inlineStr">
        <is>
          <t>2026-10-02 14:59:28.451</t>
        </is>
      </c>
      <c r="C131" s="6" t="inlineStr">
        <is>
          <t>PlayerState</t>
        </is>
      </c>
      <c r="H131" s="6" t="inlineStr">
        <is>
          <t>Idle</t>
        </is>
      </c>
      <c r="M131" s="6">
        <v>135</v>
      </c>
      <c r="N131" s="6" t="inlineStr">
        <is>
          <t>2026-10-02 14:59:28.451 | PlayerState: Idle</t>
        </is>
      </c>
    </row>
    <row r="132" ht="17" customHeight="1">
      <c r="A132" s="0">
        <v>131</v>
      </c>
      <c r="B132" s="0" t="inlineStr">
        <is>
          <t>2026-10-02 14:59:29.728</t>
        </is>
      </c>
      <c r="C132" s="0" t="inlineStr">
        <is>
          <t>Interaction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Success</t>
        </is>
      </c>
      <c r="G132" s="0" t="inlineStr">
        <is>
          <t>Easy</t>
        </is>
      </c>
      <c r="K132" s="4">
        <v>0.1572</v>
      </c>
      <c r="L132" s="4">
        <v>0.8988</v>
      </c>
      <c r="M132" s="0">
        <v>136</v>
      </c>
      <c r="N132" s="0" t="inlineStr">
        <is>
          <t>2026-10-02 14:59:29.728 | Minigame: Shipi | Type: FoodCut | Outcome: Success | Difficulty: Easy | ExpectedTime: 78.7520 | ActualTime: 78.5948 | TimingOffset: -0.1572 | TimingError: 0.1572 | ReactionTime: 0.8988 | SpatialAccuracy: N/A | DirectionAccuracy: 1.0000 | CorrectHand: N/A</t>
        </is>
      </c>
    </row>
    <row r="133" ht="17" customHeight="1">
      <c r="A133" s="6">
        <v>132</v>
      </c>
      <c r="B133" s="6" t="inlineStr">
        <is>
          <t>2026-10-02 14:59:29.729</t>
        </is>
      </c>
      <c r="C133" s="6" t="inlineStr">
        <is>
          <t>PlayerState</t>
        </is>
      </c>
      <c r="H133" s="6" t="inlineStr">
        <is>
          <t>Engaged</t>
        </is>
      </c>
      <c r="M133" s="6">
        <v>137</v>
      </c>
      <c r="N133" s="6" t="inlineStr">
        <is>
          <t>2026-10-02 14:59:29.729 | PlayerState: Engaged</t>
        </is>
      </c>
    </row>
    <row r="134" ht="17" customHeight="1">
      <c r="A134" s="0">
        <v>133</v>
      </c>
      <c r="B134" s="0" t="inlineStr">
        <is>
          <t>2026-10-02 14:59:31.589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Success</t>
        </is>
      </c>
      <c r="G134" s="0" t="inlineStr">
        <is>
          <t>Easy</t>
        </is>
      </c>
      <c r="K134" s="4">
        <v>0.2163</v>
      </c>
      <c r="L134" s="4">
        <v>0.8397</v>
      </c>
      <c r="M134" s="0">
        <v>138</v>
      </c>
      <c r="N134" s="0" t="inlineStr">
        <is>
          <t>2026-10-02 14:59:31.589 | Minigame: Shipi | Type: FoodCut | Outcome: Success | Difficulty: Easy | ExpectedTime: 80.6720 | ActualTime: 80.4557 | TimingOffset: -0.2163 | TimingError: 0.2163 | ReactionTime: 0.8397 | SpatialAccuracy: N/A | DirectionAccuracy: 1.0000 | CorrectHand: N/A</t>
        </is>
      </c>
    </row>
    <row r="135" ht="17" customHeight="1">
      <c r="A135" s="6">
        <v>134</v>
      </c>
      <c r="B135" s="6" t="inlineStr">
        <is>
          <t>2026-10-02 14:59:34.602</t>
        </is>
      </c>
      <c r="C135" s="6" t="inlineStr">
        <is>
          <t>Interaction</t>
        </is>
      </c>
      <c r="D135" s="6" t="inlineStr">
        <is>
          <t>Shipi</t>
        </is>
      </c>
      <c r="E135" s="6" t="inlineStr">
        <is>
          <t>FoodClear</t>
        </is>
      </c>
      <c r="F135" s="6" t="inlineStr">
        <is>
          <t>Success</t>
        </is>
      </c>
      <c r="G135" s="6" t="inlineStr">
        <is>
          <t>Easy</t>
        </is>
      </c>
      <c r="M135" s="6">
        <v>139</v>
      </c>
      <c r="N135" s="6" t="inlineStr">
        <is>
          <t>2026-10-02 14:59:34.602 | Minigame: Shipi | Type: FoodClear | Outcome: Success | Difficulty: Easy | ExpectedTime: 82.5920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14:59:35.282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Easy</t>
        </is>
      </c>
      <c r="K136" s="4">
        <v>0.3621</v>
      </c>
      <c r="L136" s="4">
        <v>0.6939</v>
      </c>
      <c r="M136" s="0">
        <v>140</v>
      </c>
      <c r="N136" s="0" t="inlineStr">
        <is>
          <t>2026-10-02 14:59:35.282 | Minigame: Shipi | Type: FoodCut | Outcome: Success | Difficulty: Easy | ExpectedTime: 84.5120 | ActualTime: 84.1499 | TimingOffset: -0.3621 | TimingError: 0.3621 | ReactionTime: 0.6939 | SpatialAccuracy: N/A | DirectionAccuracy: 1.0000 | CorrectHand: N/A</t>
        </is>
      </c>
    </row>
    <row r="137" ht="17" customHeight="1">
      <c r="A137" s="6">
        <v>136</v>
      </c>
      <c r="B137" s="6" t="inlineStr">
        <is>
          <t>2026-10-02 14:59:37.352</t>
        </is>
      </c>
      <c r="C137" s="6" t="inlineStr">
        <is>
          <t>Interaction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Easy</t>
        </is>
      </c>
      <c r="K137" s="4">
        <v>0.2126</v>
      </c>
      <c r="L137" s="4">
        <v>0.8434</v>
      </c>
      <c r="M137" s="6">
        <v>141</v>
      </c>
      <c r="N137" s="6" t="inlineStr">
        <is>
          <t>2026-10-02 14:59:37.352 | Minigame: Shipi | Type: FoodCut | Outcome: Success | Difficulty: Easy | ExpectedTime: 86.4320 | ActualTime: 86.2194 | TimingOffset: -0.2126 | TimingError: 0.2126 | ReactionTime: 0.8434 | SpatialAccuracy: N/A | DirectionAccuracy: 1.0000 | CorrectHand: N/A</t>
        </is>
      </c>
    </row>
    <row r="138" ht="17" customHeight="1">
      <c r="A138" s="0">
        <v>137</v>
      </c>
      <c r="B138" s="0" t="inlineStr">
        <is>
          <t>2026-10-02 14:59:39.366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Easy</t>
        </is>
      </c>
      <c r="K138" s="4">
        <v>0.1196</v>
      </c>
      <c r="L138" s="4">
        <v>0.9364</v>
      </c>
      <c r="M138" s="0">
        <v>142</v>
      </c>
      <c r="N138" s="0" t="inlineStr">
        <is>
          <t>2026-10-02 14:59:39.366 | Minigame: Shipi | Type: FoodCut | Outcome: Failed | Difficulty: Easy | ExpectedTime: 88.3520 | ActualTime: 88.2324 | TimingOffset: -0.1196 | TimingError: 0.1196 | ReactionTime: 0.9364 | SpatialAccuracy: N/A | DirectionAccuracy: 0.0000 | CorrectHand: N/A</t>
        </is>
      </c>
    </row>
    <row r="139" ht="17" customHeight="1">
      <c r="A139" s="6">
        <v>138</v>
      </c>
      <c r="B139" s="6" t="inlineStr">
        <is>
          <t>2026-10-02 14:59:40.366</t>
        </is>
      </c>
      <c r="C139" s="6" t="inlineStr">
        <is>
          <t>Interaction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Easy</t>
        </is>
      </c>
      <c r="K139" s="4">
        <v>1.0387</v>
      </c>
      <c r="L139" s="4">
        <v>0.0173</v>
      </c>
      <c r="M139" s="6">
        <v>143</v>
      </c>
      <c r="N139" s="6" t="inlineStr">
        <is>
          <t>2026-10-02 14:59:40.366 | Minigame: Shipi | Type: FoodCut | Outcome: Failed | Difficulty: Easy | ExpectedTime: 90.2720 | ActualTime: 89.2333 | TimingOffset: -1.0387 | TimingError: 1.0387 | ReactionTime: 0.0173 | SpatialAccuracy: N/A | DirectionAccuracy: 0.0000 | CorrectHand: N/A</t>
        </is>
      </c>
    </row>
    <row r="140" ht="17" customHeight="1">
      <c r="A140" s="0">
        <v>139</v>
      </c>
      <c r="B140" s="0" t="inlineStr">
        <is>
          <t>2026-10-02 14:59:44.200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FoodClear</t>
        </is>
      </c>
      <c r="F140" s="0" t="inlineStr">
        <is>
          <t>Success</t>
        </is>
      </c>
      <c r="G140" s="0" t="inlineStr">
        <is>
          <t>Easy</t>
        </is>
      </c>
      <c r="M140" s="0">
        <v>144</v>
      </c>
      <c r="N140" s="0" t="inlineStr">
        <is>
          <t>2026-10-02 14:59:44.200 | Minigame: Shipi | Type: FoodClear | Outcome: Success | Difficulty: Easy | ExpectedTime: 92.1920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14:59:45.368</t>
        </is>
      </c>
      <c r="C141" s="6" t="inlineStr">
        <is>
          <t>PlayerState</t>
        </is>
      </c>
      <c r="H141" s="6" t="inlineStr">
        <is>
          <t>Idle</t>
        </is>
      </c>
      <c r="M141" s="6">
        <v>145</v>
      </c>
      <c r="N141" s="6" t="inlineStr">
        <is>
          <t>2026-10-02 14:59:45.368 | PlayerState: Idle</t>
        </is>
      </c>
    </row>
    <row r="142" ht="17" customHeight="1">
      <c r="A142" s="0">
        <v>141</v>
      </c>
      <c r="B142" s="0" t="inlineStr">
        <is>
          <t>2026-10-02 14:59:50.465</t>
        </is>
      </c>
      <c r="C142" s="0" t="inlineStr">
        <is>
          <t>Interaction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Failed</t>
        </is>
      </c>
      <c r="G142" s="0" t="inlineStr">
        <is>
          <t>Easy</t>
        </is>
      </c>
      <c r="K142" s="4">
        <v>2.2303</v>
      </c>
      <c r="M142" s="0">
        <v>146</v>
      </c>
      <c r="N142" s="0" t="inlineStr">
        <is>
          <t>2026-10-02 14:59:50.465 | Minigame: JuanAndres | Type: GroomStroke | Outcome: Failed | Difficulty: Easy | ExpectedTime: 94.9760 | ActualTime: 97.2063 | TimingOffset: 2.2303 | TimingError: 2.2303 | ReactionTime: N/A | SpatialAccuracy: N/A | DirectionAccuracy: 0.0000 | CorrectHand: True</t>
        </is>
      </c>
    </row>
    <row r="143" ht="17" customHeight="1">
      <c r="A143" s="6">
        <v>142</v>
      </c>
      <c r="B143" s="6" t="inlineStr">
        <is>
          <t>2026-10-02 14:59:50.465</t>
        </is>
      </c>
      <c r="C143" s="6" t="inlineStr">
        <is>
          <t>PlayerState</t>
        </is>
      </c>
      <c r="H143" s="6" t="inlineStr">
        <is>
          <t>Engaged</t>
        </is>
      </c>
      <c r="M143" s="6">
        <v>147</v>
      </c>
      <c r="N143" s="6" t="inlineStr">
        <is>
          <t>2026-10-02 14:59:50.465 | PlayerState: Engaged</t>
        </is>
      </c>
    </row>
    <row r="144" ht="17" customHeight="1">
      <c r="A144" s="0">
        <v>143</v>
      </c>
      <c r="B144" s="0" t="inlineStr">
        <is>
          <t>2026-10-02 14:59:52.423</t>
        </is>
      </c>
      <c r="C144" s="0" t="inlineStr">
        <is>
          <t>Interaction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Failed</t>
        </is>
      </c>
      <c r="G144" s="0" t="inlineStr">
        <is>
          <t>Easy</t>
        </is>
      </c>
      <c r="K144" s="4">
        <v>0.1638</v>
      </c>
      <c r="M144" s="0">
        <v>148</v>
      </c>
      <c r="N144" s="0" t="inlineStr">
        <is>
          <t>2026-10-02 14:59:52.423 | Minigame: JuanAndres | Type: GroomStroke | Outcome: Failed | Difficulty: Easy | ExpectedTime: 101.1200 | ActualTime: 100.9562 | TimingOffset: -0.1638 | TimingError: 0.1638 | ReactionTime: N/A | SpatialAccuracy: N/A | DirectionAccuracy: 0.0000 | CorrectHand: True</t>
        </is>
      </c>
    </row>
    <row r="145" ht="17" customHeight="1">
      <c r="A145" s="6">
        <v>144</v>
      </c>
      <c r="B145" s="6" t="inlineStr">
        <is>
          <t>2026-10-02 14:59:53.270</t>
        </is>
      </c>
      <c r="C145" s="6" t="inlineStr">
        <is>
          <t>Interaction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Missed</t>
        </is>
      </c>
      <c r="G145" s="6" t="inlineStr">
        <is>
          <t>Easy</t>
        </is>
      </c>
      <c r="M145" s="6">
        <v>149</v>
      </c>
      <c r="N145" s="6" t="inlineStr">
        <is>
          <t>2026-10-02 14:59:53.270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14:59:53.841</t>
        </is>
      </c>
      <c r="C146" s="0" t="inlineStr">
        <is>
          <t>Interaction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Failed</t>
        </is>
      </c>
      <c r="G146" s="0" t="inlineStr">
        <is>
          <t>Easy</t>
        </is>
      </c>
      <c r="K146" s="4">
        <v>0.4631</v>
      </c>
      <c r="M146" s="0">
        <v>150</v>
      </c>
      <c r="N146" s="0" t="inlineStr">
        <is>
          <t>2026-10-02 14:59:53.841 | Minigame: JuanAndres | Type: GroomStroke | Outcome: Failed | Difficulty: Easy | ExpectedTime: 102.6560 | ActualTime: 102.1929 | TimingOffset: -0.4631 | TimingError: 0.4631 | ReactionTime: N/A | SpatialAccuracy: N/A | DirectionAccuracy: 0.0000 | CorrectHand: False</t>
        </is>
      </c>
    </row>
    <row r="147" ht="17" customHeight="1">
      <c r="A147" s="6">
        <v>146</v>
      </c>
      <c r="B147" s="6" t="inlineStr">
        <is>
          <t>2026-10-02 14:59:57.187</t>
        </is>
      </c>
      <c r="C147" s="6" t="inlineStr">
        <is>
          <t>Interaction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Failed</t>
        </is>
      </c>
      <c r="G147" s="6" t="inlineStr">
        <is>
          <t>Easy</t>
        </is>
      </c>
      <c r="K147" s="4">
        <v>0.9132</v>
      </c>
      <c r="M147" s="6">
        <v>151</v>
      </c>
      <c r="N147" s="6" t="inlineStr">
        <is>
          <t>2026-10-02 14:59:57.187 | Minigame: JuanAndres | Type: GroomStroke | Outcome: Failed | Difficulty: Easy | ExpectedTime: 104.9600 | ActualTime: 105.8732 | TimingOffset: 0.9132 | TimingError: 0.9132 | ReactionTime: N/A | SpatialAccuracy: N/A | DirectionAccuracy: 0.0000 | CorrectHand: True</t>
        </is>
      </c>
    </row>
    <row r="148" ht="17" customHeight="1">
      <c r="A148" s="0">
        <v>147</v>
      </c>
      <c r="B148" s="0" t="inlineStr">
        <is>
          <t>2026-10-02 14:59:57.187</t>
        </is>
      </c>
      <c r="C148" s="0" t="inlineStr">
        <is>
          <t>PlayerState</t>
        </is>
      </c>
      <c r="H148" s="0" t="inlineStr">
        <is>
          <t>Overloaded</t>
        </is>
      </c>
      <c r="M148" s="0">
        <v>152</v>
      </c>
      <c r="N148" s="0" t="inlineStr">
        <is>
          <t>2026-10-02 14:59:57.187 | PlayerState: Overloaded</t>
        </is>
      </c>
    </row>
    <row r="149" ht="17" customHeight="1">
      <c r="A149" s="6">
        <v>148</v>
      </c>
      <c r="B149" s="6" t="inlineStr">
        <is>
          <t>2026-10-02 14:59:59.185</t>
        </is>
      </c>
      <c r="C149" s="6" t="inlineStr">
        <is>
          <t>Interaction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Success</t>
        </is>
      </c>
      <c r="G149" s="6" t="inlineStr">
        <is>
          <t>Easy</t>
        </is>
      </c>
      <c r="K149" s="4">
        <v>1.0067</v>
      </c>
      <c r="M149" s="6">
        <v>153</v>
      </c>
      <c r="N149" s="6" t="inlineStr">
        <is>
          <t>2026-10-02 14:59:59.185 | Minigame: JuanAndres | Type: GroomStroke | Outcome: Success | Difficulty: Easy | ExpectedTime: 106.8800 | ActualTime: 107.8867 | TimingOffset: 1.0067 | TimingError: 1.0067 | ReactionTime: N/A | SpatialAccuracy: N/A | DirectionAccuracy: 1.0000 | CorrectHand: True</t>
        </is>
      </c>
    </row>
    <row r="150" ht="17" customHeight="1">
      <c r="A150" s="0">
        <v>149</v>
      </c>
      <c r="B150" s="0" t="inlineStr">
        <is>
          <t>2026-10-02 15:00:01.339</t>
        </is>
      </c>
      <c r="C150" s="0" t="inlineStr">
        <is>
          <t>Interaction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Missed</t>
        </is>
      </c>
      <c r="G150" s="0" t="inlineStr">
        <is>
          <t>Easy</t>
        </is>
      </c>
      <c r="M150" s="0">
        <v>154</v>
      </c>
      <c r="N150" s="0" t="inlineStr">
        <is>
          <t>2026-10-02 15:00:01.339 | Minigame: JuanAndres | Type: GroomStroke | Outcome: Missed | Difficulty: Easy | ExpectedTime: 104.1920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15:00:02.519</t>
        </is>
      </c>
      <c r="C151" s="6" t="inlineStr">
        <is>
          <t>Interaction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Failed</t>
        </is>
      </c>
      <c r="G151" s="6" t="inlineStr">
        <is>
          <t>Easy</t>
        </is>
      </c>
      <c r="K151" s="4">
        <v>0.1295</v>
      </c>
      <c r="M151" s="6">
        <v>155</v>
      </c>
      <c r="N151" s="6" t="inlineStr">
        <is>
          <t>2026-10-02 15:00:02.519 | Minigame: JuanAndres | Type: GroomStroke | Outcome: Failed | Difficulty: Easy | ExpectedTime: 111.1040 | ActualTime: 111.2335 | TimingOffset: 0.1295 | TimingError: 0.1295 | ReactionTime: N/A | SpatialAccuracy: N/A | DirectionAccuracy: 1.0000 | CorrectHand: False</t>
        </is>
      </c>
    </row>
    <row r="152" ht="17" customHeight="1">
      <c r="A152" s="0">
        <v>151</v>
      </c>
      <c r="B152" s="0" t="inlineStr">
        <is>
          <t>2026-10-02 15:00:03.546</t>
        </is>
      </c>
      <c r="C152" s="0" t="inlineStr">
        <is>
          <t>Interaction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Success</t>
        </is>
      </c>
      <c r="G152" s="0" t="inlineStr">
        <is>
          <t>Easy</t>
        </is>
      </c>
      <c r="K152" s="4">
        <v>2.2438</v>
      </c>
      <c r="M152" s="0">
        <v>156</v>
      </c>
      <c r="N152" s="0" t="inlineStr">
        <is>
          <t>2026-10-02 15:00:03.546 | Minigame: JuanAndres | Type: GroomStroke | Outcome: Success | Difficulty: Easy | ExpectedTime: 109.1840 | ActualTime: 111.4278 | TimingOffset: 2.2438 | TimingError: 2.2438 | ReactionTime: N/A | SpatialAccuracy: N/A | DirectionAccuracy: 1.0000 | CorrectHand: True</t>
        </is>
      </c>
    </row>
    <row r="153" ht="17" customHeight="1">
      <c r="A153" s="6">
        <v>152</v>
      </c>
      <c r="B153" s="6" t="inlineStr">
        <is>
          <t>2026-10-02 15:00:04.630</t>
        </is>
      </c>
      <c r="C153" s="6" t="inlineStr">
        <is>
          <t>Interaction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Easy</t>
        </is>
      </c>
      <c r="K153" s="4">
        <v>0.4613</v>
      </c>
      <c r="M153" s="6">
        <v>157</v>
      </c>
      <c r="N153" s="6" t="inlineStr">
        <is>
          <t>2026-10-02 15:00:04.630 | Minigame: JuanAndres | Type: GroomStroke | Outcome: Failed | Difficulty: Easy | ExpectedTime: 113.7920 | ActualTime: 113.3307 | TimingOffset: -0.4613 | TimingError: 0.4613 | ReactionTime: N/A | SpatialAccuracy: N/A | DirectionAccuracy: 0.0000 | CorrectHand: False</t>
        </is>
      </c>
    </row>
    <row r="154" ht="17" customHeight="1">
      <c r="A154" s="0">
        <v>153</v>
      </c>
      <c r="B154" s="0" t="inlineStr">
        <is>
          <t>2026-10-02 15:00:06.824</t>
        </is>
      </c>
      <c r="C154" s="0" t="inlineStr">
        <is>
          <t>Interaction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Failed</t>
        </is>
      </c>
      <c r="G154" s="0" t="inlineStr">
        <is>
          <t>Easy</t>
        </is>
      </c>
      <c r="K154" s="4">
        <v>2.4314</v>
      </c>
      <c r="M154" s="0">
        <v>158</v>
      </c>
      <c r="N154" s="0" t="inlineStr">
        <is>
          <t>2026-10-02 15:00:06.824 | Minigame: JuanAndres | Type: GroomStroke | Outcome: Failed | Difficulty: Easy | ExpectedTime: 113.0240 | ActualTime: 115.4554 | TimingOffset: 2.4314 | TimingError: 2.4314 | ReactionTime: N/A | SpatialAccuracy: N/A | DirectionAccuracy: 0.0000 | CorrectHand: True</t>
        </is>
      </c>
    </row>
    <row r="155" ht="17" customHeight="1">
      <c r="A155" s="6">
        <v>154</v>
      </c>
      <c r="B155" s="6" t="inlineStr">
        <is>
          <t>2026-10-02 15:00:07.782</t>
        </is>
      </c>
      <c r="C155" s="6" t="inlineStr">
        <is>
          <t>Interaction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K155" s="4">
        <v>0.4148</v>
      </c>
      <c r="M155" s="6">
        <v>159</v>
      </c>
      <c r="N155" s="6" t="inlineStr">
        <is>
          <t>2026-10-02 15:00:07.782 | Minigame: JuanAndres | Type: GroomStroke | Outcome: Failed | Difficulty: Easy | ExpectedTime: 116.0960 | ActualTime: 116.5108 | TimingOffset: 0.4148 | TimingError: 0.4148 | ReactionTime: N/A | SpatialAccuracy: N/A | DirectionAccuracy: 0.0000 | CorrectHand: False</t>
        </is>
      </c>
    </row>
    <row r="156" ht="17" customHeight="1">
      <c r="A156" s="0">
        <v>155</v>
      </c>
      <c r="B156" s="0" t="inlineStr">
        <is>
          <t>2026-10-02 15:00:08.948</t>
        </is>
      </c>
      <c r="C156" s="0" t="inlineStr">
        <is>
          <t>Interaction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Failed</t>
        </is>
      </c>
      <c r="G156" s="0" t="inlineStr">
        <is>
          <t>Easy</t>
        </is>
      </c>
      <c r="K156" s="4">
        <v>0.0403</v>
      </c>
      <c r="M156" s="0">
        <v>160</v>
      </c>
      <c r="N156" s="0" t="inlineStr">
        <is>
          <t>2026-10-02 15:00:08.948 | Minigame: JuanAndres | Type: GroomStroke | Outcome: Failed | Difficulty: Easy | ExpectedTime: 117.2480 | ActualTime: 117.2883 | TimingOffset: 0.0403 | TimingError: 0.0403 | ReactionTime: N/A | SpatialAccuracy: N/A | DirectionAccuracy: 0.0000 | CorrectHand: True</t>
        </is>
      </c>
    </row>
    <row r="157" ht="17" customHeight="1">
      <c r="A157" s="6">
        <v>156</v>
      </c>
      <c r="B157" s="6" t="inlineStr">
        <is>
          <t>2026-10-02 15:00:09.921</t>
        </is>
      </c>
      <c r="C157" s="6" t="inlineStr">
        <is>
          <t>Interaction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Failed</t>
        </is>
      </c>
      <c r="G157" s="6" t="inlineStr">
        <is>
          <t>Easy</t>
        </is>
      </c>
      <c r="K157" s="4">
        <v>0.4453</v>
      </c>
      <c r="M157" s="6">
        <v>161</v>
      </c>
      <c r="N157" s="6" t="inlineStr">
        <is>
          <t>2026-10-02 15:00:09.921 | Minigame: JuanAndres | Type: GroomStroke | Outcome: Failed | Difficulty: Easy | ExpectedTime: 118.4000 | ActualTime: 117.9547 | TimingOffset: -0.4453 | TimingError: 0.4453 | ReactionTime: N/A | SpatialAccuracy: N/A | DirectionAccuracy: 1.0000 | CorrectHand: False</t>
        </is>
      </c>
    </row>
    <row r="158" ht="17" customHeight="1">
      <c r="A158" s="0">
        <v>157</v>
      </c>
      <c r="B158" s="0" t="inlineStr">
        <is>
          <t>2026-10-02 15:00:11.686</t>
        </is>
      </c>
      <c r="C158" s="0" t="inlineStr">
        <is>
          <t>Interaction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Failed</t>
        </is>
      </c>
      <c r="G158" s="0" t="inlineStr">
        <is>
          <t>Easy</t>
        </is>
      </c>
      <c r="K158" s="4">
        <v>0.3106</v>
      </c>
      <c r="M158" s="0">
        <v>162</v>
      </c>
      <c r="N158" s="0" t="inlineStr">
        <is>
          <t>2026-10-02 15:00:11.686 | Minigame: JuanAndres | Type: GroomStroke | Outcome: Failed | Difficulty: Easy | ExpectedTime: 119.9360 | ActualTime: 120.2466 | TimingOffset: 0.3106 | TimingError: 0.3106 | ReactionTime: N/A | SpatialAccuracy: N/A | DirectionAccuracy: 0.0000 | CorrectHand: True</t>
        </is>
      </c>
    </row>
    <row r="159" ht="17" customHeight="1">
      <c r="A159" s="6">
        <v>158</v>
      </c>
      <c r="B159" s="6" t="inlineStr">
        <is>
          <t>2026-10-02 15:00:13.241</t>
        </is>
      </c>
      <c r="C159" s="6" t="inlineStr">
        <is>
          <t>Interaction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Easy</t>
        </is>
      </c>
      <c r="K159" s="4">
        <v>0.2472</v>
      </c>
      <c r="M159" s="6">
        <v>163</v>
      </c>
      <c r="N159" s="6" t="inlineStr">
        <is>
          <t>2026-10-02 15:00:13.241 | Minigame: JuanAndres | Type: GroomStroke | Outcome: Success | Difficulty: Easy | ExpectedTime: 121.4720 | ActualTime: 121.7192 | TimingOffset: 0.2472 | TimingError: 0.2472 | ReactionTime: N/A | SpatialAccuracy: N/A | DirectionAccuracy: 1.0000 | CorrectHand: True</t>
        </is>
      </c>
    </row>
    <row r="160" ht="17" customHeight="1">
      <c r="A160" s="0">
        <v>159</v>
      </c>
      <c r="B160" s="0" t="inlineStr">
        <is>
          <t>2026-10-02 15:00:18.250</t>
        </is>
      </c>
      <c r="C160" s="0" t="inlineStr">
        <is>
          <t>PlayerState</t>
        </is>
      </c>
      <c r="H160" s="0" t="inlineStr">
        <is>
          <t>Idle</t>
        </is>
      </c>
      <c r="M160" s="0">
        <v>164</v>
      </c>
      <c r="N160" s="0" t="inlineStr">
        <is>
          <t>2026-10-02 15:00:18.250 | PlayerState: Idle</t>
        </is>
      </c>
    </row>
    <row r="161" ht="17" customHeight="1">
      <c r="A161" s="6">
        <v>160</v>
      </c>
      <c r="B161" s="6" t="inlineStr">
        <is>
          <t>2026-10-02 15:00:19.831</t>
        </is>
      </c>
      <c r="C161" s="6" t="inlineStr">
        <is>
          <t>Interaction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Success</t>
        </is>
      </c>
      <c r="G161" s="6" t="inlineStr">
        <is>
          <t>Easy</t>
        </is>
      </c>
      <c r="K161" s="4">
        <v>0.1575</v>
      </c>
      <c r="M161" s="6">
        <v>165</v>
      </c>
      <c r="N161" s="6" t="inlineStr">
        <is>
          <t>2026-10-02 15:00:19.831 | Minigame: Danniel | Type: GunShoot | Outcome: Success | Difficulty: Easy | ExpectedTime: 128.3840 | ActualTime: 128.2265 | TimingOffset: -0.1575 | TimingError: 0.1575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15:00:19.833</t>
        </is>
      </c>
      <c r="C162" s="0" t="inlineStr">
        <is>
          <t>PlayerState</t>
        </is>
      </c>
      <c r="H162" s="0" t="inlineStr">
        <is>
          <t>Engaged</t>
        </is>
      </c>
      <c r="M162" s="0">
        <v>166</v>
      </c>
      <c r="N162" s="0" t="inlineStr">
        <is>
          <t>2026-10-02 15:00:19.833 | PlayerState: Engaged</t>
        </is>
      </c>
    </row>
    <row r="163" ht="17" customHeight="1">
      <c r="A163" s="6">
        <v>162</v>
      </c>
      <c r="B163" s="6" t="inlineStr">
        <is>
          <t>2026-10-02 15:00:20.972</t>
        </is>
      </c>
      <c r="C163" s="6" t="inlineStr">
        <is>
          <t>Interaction</t>
        </is>
      </c>
      <c r="D163" s="6" t="inlineStr">
        <is>
          <t>Danniel</t>
        </is>
      </c>
      <c r="E163" s="6" t="inlineStr">
        <is>
          <t>PlayerHit</t>
        </is>
      </c>
      <c r="F163" s="6" t="inlineStr">
        <is>
          <t>Failed</t>
        </is>
      </c>
      <c r="G163" s="6" t="inlineStr">
        <is>
          <t>Easy</t>
        </is>
      </c>
      <c r="M163" s="6">
        <v>167</v>
      </c>
      <c r="N163" s="6" t="inlineStr">
        <is>
          <t>2026-10-02 15:00:20.972 | Minigame: Danniel | Type: PlayerHit | Outcome: Failed | Difficulty: Easy | ExpectedTime: 129.8391 | ActualTime: N/A | TimingOffset: N/A | TimingError: N/A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15:00:22.889</t>
        </is>
      </c>
      <c r="C164" s="0" t="inlineStr">
        <is>
          <t>Interaction</t>
        </is>
      </c>
      <c r="D164" s="0" t="inlineStr">
        <is>
          <t>Danniel</t>
        </is>
      </c>
      <c r="E164" s="0" t="inlineStr">
        <is>
          <t>GunShoot</t>
        </is>
      </c>
      <c r="F164" s="0" t="inlineStr">
        <is>
          <t>Success</t>
        </is>
      </c>
      <c r="G164" s="0" t="inlineStr">
        <is>
          <t>Easy</t>
        </is>
      </c>
      <c r="K164" s="4">
        <v>0.0591</v>
      </c>
      <c r="M164" s="0">
        <v>168</v>
      </c>
      <c r="N164" s="0" t="inlineStr">
        <is>
          <t>2026-10-02 15:00:22.889 | Minigame: Danniel | Type: GunShoot | Outcome: Success | Difficulty: Easy | ExpectedTime: 131.0720 | ActualTime: 131.1311 | TimingOffset: 0.0591 | TimingError: 0.0591 | ReactionTime: N/A | SpatialAccuracy: N/A | DirectionAccuracy: N/A | CorrectHand: N/A</t>
        </is>
      </c>
    </row>
    <row r="165" ht="17" customHeight="1">
      <c r="A165" s="6">
        <v>164</v>
      </c>
      <c r="B165" s="6" t="inlineStr">
        <is>
          <t>2026-10-02 15:00:23.390</t>
        </is>
      </c>
      <c r="C165" s="6" t="inlineStr">
        <is>
          <t>Interaction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Success</t>
        </is>
      </c>
      <c r="G165" s="6" t="inlineStr">
        <is>
          <t>Easy</t>
        </is>
      </c>
      <c r="K165" s="4">
        <v>0.0697</v>
      </c>
      <c r="M165" s="6">
        <v>169</v>
      </c>
      <c r="N165" s="6" t="inlineStr">
        <is>
          <t>2026-10-02 15:00:23.390 | Minigame: Danniel | Type: GunShoot | Outcome: Success | Difficulty: Easy | ExpectedTime: 131.8400 | ActualTime: 131.7703 | TimingOffset: -0.0697 | TimingError: 0.0697 | ReactionTime: N/A | SpatialAccuracy: N/A | DirectionAccuracy: N/A | CorrectHand: N/A</t>
        </is>
      </c>
    </row>
    <row r="166" ht="17" customHeight="1">
      <c r="A166" s="0">
        <v>165</v>
      </c>
      <c r="B166" s="0" t="inlineStr">
        <is>
          <t>2026-10-02 15:00:23.904</t>
        </is>
      </c>
      <c r="C166" s="0" t="inlineStr">
        <is>
          <t>Interaction</t>
        </is>
      </c>
      <c r="D166" s="0" t="inlineStr">
        <is>
          <t>Danniel</t>
        </is>
      </c>
      <c r="E166" s="0" t="inlineStr">
        <is>
          <t>GunShoot</t>
        </is>
      </c>
      <c r="F166" s="0" t="inlineStr">
        <is>
          <t>Failed</t>
        </is>
      </c>
      <c r="G166" s="0" t="inlineStr">
        <is>
          <t>Easy</t>
        </is>
      </c>
      <c r="M166" s="0">
        <v>170</v>
      </c>
      <c r="N166" s="0" t="inlineStr">
        <is>
          <t>2026-10-02 15:00:23.904 | Minigame: Danniel | Type: GunShoot | Outcome: Failed | Difficulty: Easy | ExpectedTime: 132.7708 | ActualTime: N/A | TimingOffset: N/A | TimingError: N/A | ReactionTime: N/A | SpatialAccuracy: N/A | DirectionAccuracy: N/A | CorrectHand: N/A</t>
        </is>
      </c>
    </row>
    <row r="167" ht="17" customHeight="1">
      <c r="A167" s="6">
        <v>166</v>
      </c>
      <c r="B167" s="6" t="inlineStr">
        <is>
          <t>2026-10-02 15:00:26.446</t>
        </is>
      </c>
      <c r="C167" s="6" t="inlineStr">
        <is>
          <t>Interaction</t>
        </is>
      </c>
      <c r="D167" s="6" t="inlineStr">
        <is>
          <t>Danniel</t>
        </is>
      </c>
      <c r="E167" s="6" t="inlineStr">
        <is>
          <t>PlayerHit</t>
        </is>
      </c>
      <c r="F167" s="6" t="inlineStr">
        <is>
          <t>Failed</t>
        </is>
      </c>
      <c r="G167" s="6" t="inlineStr">
        <is>
          <t>Easy</t>
        </is>
      </c>
      <c r="M167" s="6">
        <v>171</v>
      </c>
      <c r="N167" s="6" t="inlineStr">
        <is>
          <t>2026-10-02 15:00:26.446 | Minigame: Danniel | Type: PlayerHit | Outcome: Failed | Difficulty: Easy | ExpectedTime: 135.3133 | ActualTime: N/A | TimingOffset: N/A | TimingError: N/A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15:00:27.599</t>
        </is>
      </c>
      <c r="C168" s="0" t="inlineStr">
        <is>
          <t>Interaction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Easy</t>
        </is>
      </c>
      <c r="K168" s="4">
        <v>0.1026</v>
      </c>
      <c r="M168" s="0">
        <v>172</v>
      </c>
      <c r="N168" s="0" t="inlineStr">
        <is>
          <t>2026-10-02 15:00:27.599 | Minigame: Danniel | Type: GunShoot | Outcome: Success | Difficulty: Easy | ExpectedTime: 135.6800 | ActualTime: 135.5774 | TimingOffset: -0.1026 | TimingError: 0.1026 | ReactionTime: N/A | SpatialAccuracy: N/A | DirectionAccuracy: N/A | CorrectHand: N/A</t>
        </is>
      </c>
    </row>
    <row r="169" ht="17" customHeight="1">
      <c r="A169" s="6">
        <v>168</v>
      </c>
      <c r="B169" s="6" t="inlineStr">
        <is>
          <t>2026-10-02 15:00:27.766</t>
        </is>
      </c>
      <c r="C169" s="6" t="inlineStr">
        <is>
          <t>Interaction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Failed</t>
        </is>
      </c>
      <c r="G169" s="6" t="inlineStr">
        <is>
          <t>Easy</t>
        </is>
      </c>
      <c r="M169" s="6">
        <v>173</v>
      </c>
      <c r="N169" s="6" t="inlineStr">
        <is>
          <t>2026-10-02 15:00:27.766 | Minigame: Danniel | Type: GunShoot | Outcome: Failed | Difficulty: Easy | ExpectedTime: 136.6327 | ActualTime: N/A | TimingOffset: N/A | TimingError: N/A | ReactionTime: N/A | SpatialAccuracy: N/A | DirectionAccuracy: N/A | CorrectHand: N/A</t>
        </is>
      </c>
    </row>
    <row r="170" ht="17" customHeight="1">
      <c r="A170" s="0">
        <v>169</v>
      </c>
      <c r="B170" s="0" t="inlineStr">
        <is>
          <t>2026-10-02 15:00:27.808</t>
        </is>
      </c>
      <c r="C170" s="0" t="inlineStr">
        <is>
          <t>Interaction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K170" s="4">
        <v>0.056</v>
      </c>
      <c r="M170" s="0">
        <v>174</v>
      </c>
      <c r="N170" s="0" t="inlineStr">
        <is>
          <t>2026-10-02 15:00:27.808 | Minigame: Danniel | Type: GunShoot | Outcome: Success | Difficulty: Easy | ExpectedTime: 136.0640 | ActualTime: 136.0080 | TimingOffset: -0.0560 | TimingError: 0.0560 | ReactionTime: N/A | SpatialAccuracy: N/A | DirectionAccuracy: N/A | CorrectHand: N/A</t>
        </is>
      </c>
    </row>
    <row r="171" ht="17" customHeight="1">
      <c r="A171" s="6">
        <v>170</v>
      </c>
      <c r="B171" s="6" t="inlineStr">
        <is>
          <t>2026-10-02 15:00:28.752</t>
        </is>
      </c>
      <c r="C171" s="6" t="inlineStr">
        <is>
          <t>Interaction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Failed</t>
        </is>
      </c>
      <c r="G171" s="6" t="inlineStr">
        <is>
          <t>Easy</t>
        </is>
      </c>
      <c r="M171" s="6">
        <v>175</v>
      </c>
      <c r="N171" s="6" t="inlineStr">
        <is>
          <t>2026-10-02 15:00:28.752 | Minigame: Danniel | Type: GunShoot | Outcome: Failed | Difficulty: Easy | ExpectedTime: 137.6191 | ActualTime: N/A | TimingOffset: N/A | TimingError: N/A | ReactionTime: N/A | SpatialAccuracy: N/A | DirectionAccuracy: N/A | CorrectHand: N/A</t>
        </is>
      </c>
    </row>
    <row r="172" ht="17" customHeight="1">
      <c r="A172" s="0">
        <v>171</v>
      </c>
      <c r="B172" s="0" t="inlineStr">
        <is>
          <t>2026-10-02 15:00:33.753</t>
        </is>
      </c>
      <c r="C172" s="0" t="inlineStr">
        <is>
          <t>PlayerState</t>
        </is>
      </c>
      <c r="H172" s="0" t="inlineStr">
        <is>
          <t>Idle</t>
        </is>
      </c>
      <c r="M172" s="0">
        <v>176</v>
      </c>
      <c r="N172" s="0" t="inlineStr">
        <is>
          <t>2026-10-02 15:00:33.753 | PlayerState: Idle</t>
        </is>
      </c>
    </row>
    <row r="173" ht="17" customHeight="1">
      <c r="A173" s="6">
        <v>172</v>
      </c>
      <c r="B173" s="6" t="inlineStr">
        <is>
          <t>2026-10-02 15:00:33.850</t>
        </is>
      </c>
      <c r="C173" s="6" t="inlineStr">
        <is>
          <t>Interaction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Failed</t>
        </is>
      </c>
      <c r="G173" s="6" t="inlineStr">
        <is>
          <t>Easy</t>
        </is>
      </c>
      <c r="M173" s="6">
        <v>177</v>
      </c>
      <c r="N173" s="6" t="inlineStr">
        <is>
          <t>2026-10-02 15:00:33.850 | Minigame: Danniel | Type: GunShoot | Outcome: Failed | Difficulty: Easy | ExpectedTime: 142.7168 | ActualTime: N/A | TimingOffset: N/A | TimingError: N/A | ReactionTime: N/A | SpatialAccuracy: N/A | DirectionAccuracy: N/A | CorrectHand: N/A</t>
        </is>
      </c>
    </row>
    <row r="174" ht="17" customHeight="1">
      <c r="A174" s="0">
        <v>173</v>
      </c>
      <c r="B174" s="0" t="inlineStr">
        <is>
          <t>2026-10-02 15:00:33.850</t>
        </is>
      </c>
      <c r="C174" s="0" t="inlineStr">
        <is>
          <t>PlayerState</t>
        </is>
      </c>
      <c r="H174" s="0" t="inlineStr">
        <is>
          <t>Engaged</t>
        </is>
      </c>
      <c r="M174" s="0">
        <v>178</v>
      </c>
      <c r="N174" s="0" t="inlineStr">
        <is>
          <t>2026-10-02 15:00:33.850 | PlayerState: Engaged</t>
        </is>
      </c>
    </row>
    <row r="175" ht="17" customHeight="1">
      <c r="A175" s="6">
        <v>174</v>
      </c>
      <c r="B175" s="6" t="inlineStr">
        <is>
          <t>2026-10-02 15:00:34.946</t>
        </is>
      </c>
      <c r="C175" s="6" t="inlineStr">
        <is>
          <t>Interaction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Easy</t>
        </is>
      </c>
      <c r="K175" s="4">
        <v>0.1853</v>
      </c>
      <c r="M175" s="6">
        <v>179</v>
      </c>
      <c r="N175" s="6" t="inlineStr">
        <is>
          <t>2026-10-02 15:00:34.946 | Minigame: Danniel | Type: GunShoot | Outcome: Success | Difficulty: Easy | ExpectedTime: 143.3600 | ActualTime: 143.1747 | TimingOffset: -0.1853 | TimingError: 0.1853 | ReactionTime: N/A | SpatialAccuracy: N/A | DirectionAccuracy: N/A | CorrectHand: N/A</t>
        </is>
      </c>
    </row>
    <row r="176" ht="17" customHeight="1">
      <c r="A176" s="0">
        <v>175</v>
      </c>
      <c r="B176" s="0" t="inlineStr">
        <is>
          <t>2026-10-02 15:00:37.488</t>
        </is>
      </c>
      <c r="C176" s="0" t="inlineStr">
        <is>
          <t>Interaction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Failed</t>
        </is>
      </c>
      <c r="G176" s="0" t="inlineStr">
        <is>
          <t>Easy</t>
        </is>
      </c>
      <c r="M176" s="0">
        <v>180</v>
      </c>
      <c r="N176" s="0" t="inlineStr">
        <is>
          <t>2026-10-02 15:00:37.488 | Minigame: Danniel | Type: GunShoot | Outcome: Failed | Difficulty: Easy | ExpectedTime: 146.3548 | ActualTime: N/A | TimingOffset: N/A | TimingError: N/A | ReactionTime: N/A | SpatialAccuracy: N/A | DirectionAccuracy: N/A | CorrectHand: N/A</t>
        </is>
      </c>
    </row>
    <row r="177" ht="17" customHeight="1">
      <c r="A177" s="6">
        <v>176</v>
      </c>
      <c r="B177" s="6" t="inlineStr">
        <is>
          <t>2026-10-02 15:00:38.002</t>
        </is>
      </c>
      <c r="C177" s="6" t="inlineStr">
        <is>
          <t>Interaction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Success</t>
        </is>
      </c>
      <c r="G177" s="6" t="inlineStr">
        <is>
          <t>Easy</t>
        </is>
      </c>
      <c r="K177" s="4">
        <v>0.1679</v>
      </c>
      <c r="M177" s="6">
        <v>181</v>
      </c>
      <c r="N177" s="6" t="inlineStr">
        <is>
          <t>2026-10-02 15:00:38.002 | Minigame: Danniel | Type: GunShoot | Outcome: Success | Difficulty: Easy | ExpectedTime: 146.0480 | ActualTime: 146.2159 | TimingOffset: 0.1679 | TimingError: 0.1679 | ReactionTime: N/A | SpatialAccuracy: N/A | DirectionAccuracy: N/A | CorrectHand: N/A</t>
        </is>
      </c>
    </row>
    <row r="178" ht="17" customHeight="1">
      <c r="A178" s="0">
        <v>177</v>
      </c>
      <c r="B178" s="0" t="inlineStr">
        <is>
          <t>2026-10-02 15:00:41.044</t>
        </is>
      </c>
      <c r="C178" s="0" t="inlineStr">
        <is>
          <t>Interaction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Failed</t>
        </is>
      </c>
      <c r="G178" s="0" t="inlineStr">
        <is>
          <t>Easy</t>
        </is>
      </c>
      <c r="M178" s="0">
        <v>182</v>
      </c>
      <c r="N178" s="0" t="inlineStr">
        <is>
          <t>2026-10-02 15:00:41.044 | Minigame: Danniel | Type: GunShoot | Outcome: Failed | Difficulty: Easy | ExpectedTime: 149.9111 | ActualTime: N/A | TimingOffset: N/A | TimingError: N/A | ReactionTime: N/A | SpatialAccuracy: N/A | DirectionAccuracy: N/A | CorrectHand: N/A</t>
        </is>
      </c>
    </row>
    <row r="179" ht="17" customHeight="1">
      <c r="A179" s="6">
        <v>178</v>
      </c>
      <c r="B179" s="6" t="inlineStr">
        <is>
          <t>2026-10-02 15:00:41.044</t>
        </is>
      </c>
      <c r="C179" s="6" t="inlineStr">
        <is>
          <t>PlayerState</t>
        </is>
      </c>
      <c r="H179" s="6" t="inlineStr">
        <is>
          <t>Overloaded</t>
        </is>
      </c>
      <c r="M179" s="6">
        <v>183</v>
      </c>
      <c r="N179" s="6" t="inlineStr">
        <is>
          <t>2026-10-02 15:00:41.044 | PlayerState: Overloaded</t>
        </is>
      </c>
    </row>
    <row r="180" ht="17" customHeight="1">
      <c r="A180" s="0">
        <v>179</v>
      </c>
      <c r="B180" s="0" t="inlineStr">
        <is>
          <t>2026-10-02 15:00:43.252</t>
        </is>
      </c>
      <c r="C180" s="0" t="inlineStr">
        <is>
          <t>Interaction</t>
        </is>
      </c>
      <c r="D180" s="0" t="inlineStr">
        <is>
          <t>Danniel</t>
        </is>
      </c>
      <c r="E180" s="0" t="inlineStr">
        <is>
          <t>GunShoot</t>
        </is>
      </c>
      <c r="F180" s="0" t="inlineStr">
        <is>
          <t>Failed</t>
        </is>
      </c>
      <c r="G180" s="0" t="inlineStr">
        <is>
          <t>Easy</t>
        </is>
      </c>
      <c r="M180" s="0">
        <v>184</v>
      </c>
      <c r="N180" s="0" t="inlineStr">
        <is>
          <t>2026-10-02 15:00:43.252 | Minigame: Danniel | Type: GunShoot | Outcome: Failed | Difficulty: Easy | ExpectedTime: 152.1192 | ActualTime: N/A | TimingOffset: N/A | TimingError: N/A | ReactionTime: N/A | SpatialAccuracy: N/A | DirectionAccuracy: N/A | CorrectHand: N/A</t>
        </is>
      </c>
    </row>
    <row r="181" ht="17" customHeight="1">
      <c r="A181" s="6">
        <v>180</v>
      </c>
      <c r="B181" s="6" t="inlineStr">
        <is>
          <t>2026-10-02 15:00:44.044</t>
        </is>
      </c>
      <c r="C181" s="6" t="inlineStr">
        <is>
          <t>Interaction</t>
        </is>
      </c>
      <c r="D181" s="6" t="inlineStr">
        <is>
          <t>Danniel</t>
        </is>
      </c>
      <c r="E181" s="6" t="inlineStr">
        <is>
          <t>GunShoot</t>
        </is>
      </c>
      <c r="F181" s="6" t="inlineStr">
        <is>
          <t>Missed</t>
        </is>
      </c>
      <c r="G181" s="6" t="inlineStr">
        <is>
          <t>Easy</t>
        </is>
      </c>
      <c r="M181" s="6">
        <v>185</v>
      </c>
      <c r="N181" s="6" t="inlineStr">
        <is>
          <t>2026-10-02 15:00:44.044 | Minigame: Danniel | Type: GunShoot | Outcome: Missed | Difficulty: Easy | ExpectedTime: 152.9104 | ActualTime: N/A | TimingOffset: N/A | TimingError: N/A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15:00:44.529</t>
        </is>
      </c>
      <c r="C182" s="0" t="inlineStr">
        <is>
          <t>Interaction</t>
        </is>
      </c>
      <c r="D182" s="0" t="inlineStr">
        <is>
          <t>Danniel</t>
        </is>
      </c>
      <c r="E182" s="0" t="inlineStr">
        <is>
          <t>GunShoot</t>
        </is>
      </c>
      <c r="F182" s="0" t="inlineStr">
        <is>
          <t>Failed</t>
        </is>
      </c>
      <c r="G182" s="0" t="inlineStr">
        <is>
          <t>Easy</t>
        </is>
      </c>
      <c r="M182" s="0">
        <v>186</v>
      </c>
      <c r="N182" s="0" t="inlineStr">
        <is>
          <t>2026-10-02 15:00:44.529 | Minigame: Danniel | Type: GunShoot | Outcome: Failed | Difficulty: Easy | ExpectedTime: 153.3963 | ActualTime: N/A | TimingOffset: N/A | TimingError: N/A | ReactionTime: N/A | SpatialAccuracy: N/A | DirectionAccuracy: N/A | CorrectHand: N/A</t>
        </is>
      </c>
    </row>
    <row r="183" ht="17" customHeight="1">
      <c r="A183" s="6">
        <v>182</v>
      </c>
      <c r="B183" s="6" t="inlineStr">
        <is>
          <t>2026-10-02 15:00:49.530</t>
        </is>
      </c>
      <c r="C183" s="6" t="inlineStr">
        <is>
          <t>PlayerState</t>
        </is>
      </c>
      <c r="H183" s="6" t="inlineStr">
        <is>
          <t>Idle</t>
        </is>
      </c>
      <c r="M183" s="6">
        <v>187</v>
      </c>
      <c r="N183" s="6" t="inlineStr">
        <is>
          <t>2026-10-02 15:00:49.530 | PlayerState: Idle</t>
        </is>
      </c>
    </row>
    <row r="184" ht="17" customHeight="1">
      <c r="A184" s="0">
        <v>183</v>
      </c>
      <c r="B184" s="0" t="inlineStr">
        <is>
          <t>2026-10-02 15:00:56.544</t>
        </is>
      </c>
      <c r="C184" s="0" t="inlineStr">
        <is>
          <t>Interaction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Failed</t>
        </is>
      </c>
      <c r="G184" s="0" t="inlineStr">
        <is>
          <t>Easy</t>
        </is>
      </c>
      <c r="K184" s="4">
        <v>0.004</v>
      </c>
      <c r="M184" s="0">
        <v>188</v>
      </c>
      <c r="N184" s="0" t="inlineStr">
        <is>
          <t>2026-10-02 15:00:56.544 | Minigame: Jeremy | Type: SwordCut | Outcome: Failed | Difficulty: Easy | ExpectedTime: 165.4073 | ActualTime: 165.4113 | TimingOffset: 0.0040 | TimingError: 0.0040 | ReactionTime: N/A | SpatialAccuracy: N/A | DirectionAccuracy: 0.0000 | CorrectHand: True</t>
        </is>
      </c>
    </row>
    <row r="185" ht="17" customHeight="1">
      <c r="A185" s="6">
        <v>184</v>
      </c>
      <c r="B185" s="6" t="inlineStr">
        <is>
          <t>2026-10-02 15:00:56.544</t>
        </is>
      </c>
      <c r="C185" s="6" t="inlineStr">
        <is>
          <t>PlayerState</t>
        </is>
      </c>
      <c r="H185" s="6" t="inlineStr">
        <is>
          <t>Engaged</t>
        </is>
      </c>
      <c r="M185" s="6">
        <v>189</v>
      </c>
      <c r="N185" s="6" t="inlineStr">
        <is>
          <t>2026-10-02 15:00:56.544 | PlayerState: Engaged</t>
        </is>
      </c>
    </row>
    <row r="186" ht="17" customHeight="1">
      <c r="A186" s="0">
        <v>185</v>
      </c>
      <c r="B186" s="0" t="inlineStr">
        <is>
          <t>2026-10-02 15:00:59.476</t>
        </is>
      </c>
      <c r="C186" s="0" t="inlineStr">
        <is>
          <t>Interaction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Missed</t>
        </is>
      </c>
      <c r="G186" s="0" t="inlineStr">
        <is>
          <t>Easy</t>
        </is>
      </c>
      <c r="M186" s="0">
        <v>190</v>
      </c>
      <c r="N186" s="0" t="inlineStr">
        <is>
          <t>2026-10-02 15:00:59.476 | Minigame: Jeremy | Type: SwordCut | Outcome: Missed | Difficulty: Easy | ExpectedTime: 167.7061 | ActualTime: N/A | TimingOffset: N/A | TimingError: N/A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15:01:01.183</t>
        </is>
      </c>
      <c r="C187" s="6" t="inlineStr">
        <is>
          <t>Interaction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Success</t>
        </is>
      </c>
      <c r="G187" s="6" t="inlineStr">
        <is>
          <t>Easy</t>
        </is>
      </c>
      <c r="K187" s="4">
        <v>0.0458</v>
      </c>
      <c r="M187" s="6">
        <v>191</v>
      </c>
      <c r="N187" s="6" t="inlineStr">
        <is>
          <t>2026-10-02 15:01:01.183 | Minigame: Jeremy | Type: SwordCut | Outcome: Success | Difficulty: Easy | ExpectedTime: 170.0049 | ActualTime: 170.0507 | TimingOffset: 0.0458 | TimingError: 0.0458 | ReactionTime: N/A | SpatialAccuracy: N/A | DirectionAccuracy: 1.0000 | CorrectHand: True</t>
        </is>
      </c>
    </row>
    <row r="188" ht="17" customHeight="1">
      <c r="A188" s="0">
        <v>187</v>
      </c>
      <c r="B188" s="0" t="inlineStr">
        <is>
          <t>2026-10-02 15:01:03.600</t>
        </is>
      </c>
      <c r="C188" s="0" t="inlineStr">
        <is>
          <t>Interaction</t>
        </is>
      </c>
      <c r="D188" s="0" t="inlineStr">
        <is>
          <t>Jeremy</t>
        </is>
      </c>
      <c r="E188" s="0" t="inlineStr">
        <is>
          <t>SwordCut</t>
        </is>
      </c>
      <c r="F188" s="0" t="inlineStr">
        <is>
          <t>Failed</t>
        </is>
      </c>
      <c r="G188" s="0" t="inlineStr">
        <is>
          <t>Easy</t>
        </is>
      </c>
      <c r="K188" s="4">
        <v>0.1629</v>
      </c>
      <c r="M188" s="0">
        <v>192</v>
      </c>
      <c r="N188" s="0" t="inlineStr">
        <is>
          <t>2026-10-02 15:01:03.600 | Minigame: Jeremy | Type: SwordCut | Outcome: Failed | Difficulty: Easy | ExpectedTime: 172.3037 | ActualTime: 172.4665 | TimingOffset: 0.1629 | TimingError: 0.1629 | ReactionTime: N/A | SpatialAccuracy: N/A | DirectionAccuracy: 0.0000 | CorrectHand: True</t>
        </is>
      </c>
    </row>
    <row r="189" ht="17" customHeight="1">
      <c r="A189" s="6">
        <v>188</v>
      </c>
      <c r="B189" s="6" t="inlineStr">
        <is>
          <t>2026-10-02 15:01:05.669</t>
        </is>
      </c>
      <c r="C189" s="6" t="inlineStr">
        <is>
          <t>Interaction</t>
        </is>
      </c>
      <c r="D189" s="6" t="inlineStr">
        <is>
          <t>Jeremy</t>
        </is>
      </c>
      <c r="E189" s="6" t="inlineStr">
        <is>
          <t>SwordCut</t>
        </is>
      </c>
      <c r="F189" s="6" t="inlineStr">
        <is>
          <t>Failed</t>
        </is>
      </c>
      <c r="G189" s="6" t="inlineStr">
        <is>
          <t>Easy</t>
        </is>
      </c>
      <c r="K189" s="4">
        <v>0.0664</v>
      </c>
      <c r="M189" s="6">
        <v>193</v>
      </c>
      <c r="N189" s="6" t="inlineStr">
        <is>
          <t>2026-10-02 15:01:05.669 | Minigame: Jeremy | Type: SwordCut | Outcome: Failed | Difficulty: Easy | ExpectedTime: 174.6024 | ActualTime: 174.5360 | TimingOffset: -0.0664 | TimingError: 0.0664 | ReactionTime: N/A | SpatialAccuracy: N/A | DirectionAccuracy: 0.0000 | CorrectHand: True</t>
        </is>
      </c>
    </row>
    <row r="190" ht="17" customHeight="1">
      <c r="A190" s="0">
        <v>189</v>
      </c>
      <c r="B190" s="0" t="inlineStr">
        <is>
          <t>2026-10-02 15:01:05.669</t>
        </is>
      </c>
      <c r="C190" s="0" t="inlineStr">
        <is>
          <t>PlayerState</t>
        </is>
      </c>
      <c r="H190" s="0" t="inlineStr">
        <is>
          <t>Overloaded</t>
        </is>
      </c>
      <c r="M190" s="0">
        <v>194</v>
      </c>
      <c r="N190" s="0" t="inlineStr">
        <is>
          <t>2026-10-02 15:01:05.669 | PlayerState: Overloaded</t>
        </is>
      </c>
    </row>
    <row r="191" ht="17" customHeight="1">
      <c r="A191" s="6">
        <v>190</v>
      </c>
      <c r="B191" s="6" t="inlineStr">
        <is>
          <t>2026-10-02 15:01:07.865</t>
        </is>
      </c>
      <c r="C191" s="6" t="inlineStr">
        <is>
          <t>Interaction</t>
        </is>
      </c>
      <c r="D191" s="6" t="inlineStr">
        <is>
          <t>Jeremy</t>
        </is>
      </c>
      <c r="E191" s="6" t="inlineStr">
        <is>
          <t>SwordCut</t>
        </is>
      </c>
      <c r="F191" s="6" t="inlineStr">
        <is>
          <t>Success</t>
        </is>
      </c>
      <c r="G191" s="6" t="inlineStr">
        <is>
          <t>Easy</t>
        </is>
      </c>
      <c r="K191" s="4">
        <v>0.1699</v>
      </c>
      <c r="M191" s="6">
        <v>195</v>
      </c>
      <c r="N191" s="6" t="inlineStr">
        <is>
          <t>2026-10-02 15:01:07.865 | Minigame: Jeremy | Type: SwordCut | Outcome: Success | Difficulty: Easy | ExpectedTime: 176.9012 | ActualTime: 176.7313 | TimingOffset: -0.1699 | TimingError: 0.1699 | ReactionTime: N/A | SpatialAccuracy: N/A | DirectionAccuracy: 1.0000 | CorrectHand: True</t>
        </is>
      </c>
    </row>
    <row r="192" ht="17" customHeight="1">
      <c r="A192" s="0">
        <v>191</v>
      </c>
      <c r="B192" s="0" t="inlineStr">
        <is>
          <t>2026-10-02 15:01:10.418</t>
        </is>
      </c>
      <c r="C192" s="0" t="inlineStr">
        <is>
          <t>Interaction</t>
        </is>
      </c>
      <c r="D192" s="0" t="inlineStr">
        <is>
          <t>Jeremy</t>
        </is>
      </c>
      <c r="E192" s="0" t="inlineStr">
        <is>
          <t>SwordCut</t>
        </is>
      </c>
      <c r="F192" s="0" t="inlineStr">
        <is>
          <t>Success</t>
        </is>
      </c>
      <c r="G192" s="0" t="inlineStr">
        <is>
          <t>Easy</t>
        </is>
      </c>
      <c r="K192" s="4">
        <v>0.0864</v>
      </c>
      <c r="M192" s="0">
        <v>196</v>
      </c>
      <c r="N192" s="0" t="inlineStr">
        <is>
          <t>2026-10-02 15:01:10.418 | Minigame: Jeremy | Type: SwordCut | Outcome: Success | Difficulty: Easy | ExpectedTime: 179.2000 | ActualTime: 179.2864 | TimingOffset: 0.0864 | TimingError: 0.0864 | ReactionTime: N/A | SpatialAccuracy: N/A | DirectionAccuracy: 1.0000 | CorrectHand: True</t>
        </is>
      </c>
    </row>
    <row r="193" ht="17" customHeight="1">
      <c r="A193" s="6">
        <v>192</v>
      </c>
      <c r="B193" s="6" t="inlineStr">
        <is>
          <t>2026-10-02 15:01:12.724</t>
        </is>
      </c>
      <c r="C193" s="6" t="inlineStr">
        <is>
          <t>Interaction</t>
        </is>
      </c>
      <c r="D193" s="6" t="inlineStr">
        <is>
          <t>Jeremy</t>
        </is>
      </c>
      <c r="E193" s="6" t="inlineStr">
        <is>
          <t>SwordCut</t>
        </is>
      </c>
      <c r="F193" s="6" t="inlineStr">
        <is>
          <t>Failed</t>
        </is>
      </c>
      <c r="G193" s="6" t="inlineStr">
        <is>
          <t>Easy</t>
        </is>
      </c>
      <c r="K193" s="4">
        <v>0.0925</v>
      </c>
      <c r="M193" s="6">
        <v>197</v>
      </c>
      <c r="N193" s="6" t="inlineStr">
        <is>
          <t>2026-10-02 15:01:12.724 | Minigame: Jeremy | Type: SwordCut | Outcome: Failed | Difficulty: Easy | ExpectedTime: 181.4988 | ActualTime: 181.5913 | TimingOffset: 0.0925 | TimingError: 0.0925 | ReactionTime: N/A | SpatialAccuracy: N/A | DirectionAccuracy: 0.0000 | CorrectHand: True</t>
        </is>
      </c>
    </row>
    <row r="194" ht="17" customHeight="1">
      <c r="A194" s="0">
        <v>193</v>
      </c>
      <c r="B194" s="0" t="inlineStr">
        <is>
          <t>2026-10-02 15:01:17.723</t>
        </is>
      </c>
      <c r="C194" s="0" t="inlineStr">
        <is>
          <t>PlayerState</t>
        </is>
      </c>
      <c r="H194" s="0" t="inlineStr">
        <is>
          <t>Idle</t>
        </is>
      </c>
      <c r="M194" s="0">
        <v>198</v>
      </c>
      <c r="N194" s="0" t="inlineStr">
        <is>
          <t>2026-10-02 15:01:17.723 | PlayerState: Idle</t>
        </is>
      </c>
    </row>
  </sheetData>
  <autoFilter ref="A1:N194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