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P032</t>
        </is>
      </c>
    </row>
    <row r="2" ht="17" customHeight="1"/>
    <row r="3" ht="17" customHeight="1">
      <c r="A3" s="6" t="inlineStr">
        <is>
          <t>Inicio: 2026-10-02 16:37:19     |     Fuente: Metrics_P032_2026-10-02_16-37-19.txt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127.0</v>
      </c>
      <c r="C6" s="0">
        <f>COUNTA('Interacciones'!$A$2:$A$128)</f>
        <v>127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70.0</v>
      </c>
      <c r="C7" s="6">
        <f>COUNTIF('Interacciones'!$F$2:$F$128,"Success")</f>
        <v>70</v>
      </c>
      <c r="E7" s="6" t="inlineStr">
        <is>
          <t>Estados del jugador</t>
        </is>
      </c>
      <c r="F7" s="6">
        <v>22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50.0</v>
      </c>
      <c r="C8" s="0">
        <f>COUNTIF('Interacciones'!$F$2:$F$128,"Failed")</f>
        <v>50</v>
      </c>
      <c r="E8" s="0" t="inlineStr">
        <is>
          <t>Eventos totales</t>
        </is>
      </c>
      <c r="F8" s="0">
        <v>154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7.0</v>
      </c>
      <c r="C9" s="6">
        <f>COUNTIF('Interacciones'!$F$2:$F$128,"Missed")</f>
        <v>7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0.5512</v>
      </c>
      <c r="C10" s="0">
        <f>IFERROR(C7/C6,0)</f>
        <v>0.5511811023622047</v>
      </c>
    </row>
    <row r="11" ht="17" customHeight="1">
      <c r="A11" s="6" t="inlineStr">
        <is>
          <t>Error timing medio (s)</t>
        </is>
      </c>
      <c r="B11" s="6">
        <v>0.2664</v>
      </c>
      <c r="C11" s="6">
        <f>IFERROR(AVERAGE('Interacciones'!$K$2:$K$128),"")</f>
        <v>0.26644772727272725</v>
      </c>
    </row>
    <row r="12" ht="17" customHeight="1">
      <c r="A12" s="0" t="inlineStr">
        <is>
          <t>Reacción media (s)</t>
        </is>
      </c>
      <c r="B12" s="0">
        <v>0.6474</v>
      </c>
      <c r="C12" s="0">
        <f>IFERROR(AVERAGE('Interacciones'!$L$2:$L$128),"")</f>
        <v>0.64745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IFERROR(AVERAGE('Interacciones'!$M$2:$M$128),"")</f>
        <v/>
      </c>
    </row>
    <row r="14" ht="17" customHeight="1">
      <c r="A14" s="0" t="inlineStr">
        <is>
          <t>Precisión dirección media</t>
        </is>
      </c>
      <c r="B14" s="0">
        <v>0.5882</v>
      </c>
      <c r="C14" s="0">
        <f>IFERROR(AVERAGE('Interacciones'!$N$2:$N$128),"")</f>
        <v>0.5882352941176471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COUNTIF('Interacciones'!$D$2:$D$128,$A5)</f>
        <v>48</v>
      </c>
      <c r="C5" s="6">
        <f>COUNTIFS('Interacciones'!$D$2:$D$128,$A5,'Interacciones'!$F$2:$F$128,"Success")</f>
        <v>30</v>
      </c>
      <c r="D5" s="6">
        <f>COUNTIFS('Interacciones'!$D$2:$D$128,$A5,'Interacciones'!$F$2:$F$128,"Failed")</f>
        <v>13</v>
      </c>
      <c r="E5" s="6">
        <f>COUNTIFS('Interacciones'!$D$2:$D$128,$A5,'Interacciones'!$F$2:$F$128,"Missed")</f>
        <v>5</v>
      </c>
      <c r="F5" s="3">
        <f>IFERROR(C5/B5,0)</f>
        <v>0.625</v>
      </c>
      <c r="G5" s="4">
        <f>IFERROR(AVERAGEIF('Interacciones'!$D$2:$D$128,$A5,'Interacciones'!$K$2:$K$128),"")</f>
        <v>0.0305375</v>
      </c>
      <c r="H5" s="4" t="str">
        <f>IFERROR(AVERAGEIF('Interacciones'!$D$2:$D$128,$A5,'Interacciones'!$L$2:$L$128),"")</f>
        <v/>
      </c>
      <c r="I5" s="6">
        <f>COUNTIF('Adaptaciones'!$C$2:$C$6,$A5)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COUNTIF('Interacciones'!$D$2:$D$128,$A6)</f>
        <v>20</v>
      </c>
      <c r="C6" s="0">
        <f>COUNTIFS('Interacciones'!$D$2:$D$128,$A6,'Interacciones'!$F$2:$F$128,"Success")</f>
        <v>11</v>
      </c>
      <c r="D6" s="0">
        <f>COUNTIFS('Interacciones'!$D$2:$D$128,$A6,'Interacciones'!$F$2:$F$128,"Failed")</f>
        <v>8</v>
      </c>
      <c r="E6" s="0">
        <f>COUNTIFS('Interacciones'!$D$2:$D$128,$A6,'Interacciones'!$F$2:$F$128,"Missed")</f>
        <v>1</v>
      </c>
      <c r="F6" s="3">
        <f>IFERROR(C6/B6,0)</f>
        <v>0.55</v>
      </c>
      <c r="G6" s="4">
        <f>IFERROR(AVERAGEIF('Interacciones'!$D$2:$D$128,$A6,'Interacciones'!$K$2:$K$128),"")</f>
        <v>0.08732727272727273</v>
      </c>
      <c r="H6" s="4" t="str">
        <f>IFERROR(AVERAGEIF('Interacciones'!$D$2:$D$128,$A6,'Interacciones'!$L$2:$L$128),"")</f>
        <v/>
      </c>
      <c r="I6" s="0">
        <f>COUNTIF('Adaptaciones'!$C$2:$C$6,$A6)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COUNTIF('Interacciones'!$D$2:$D$128,$A7)</f>
        <v>8</v>
      </c>
      <c r="C7" s="6">
        <f>COUNTIFS('Interacciones'!$D$2:$D$128,$A7,'Interacciones'!$F$2:$F$128,"Success")</f>
        <v>3</v>
      </c>
      <c r="D7" s="6">
        <f>COUNTIFS('Interacciones'!$D$2:$D$128,$A7,'Interacciones'!$F$2:$F$128,"Failed")</f>
        <v>4</v>
      </c>
      <c r="E7" s="6">
        <f>COUNTIFS('Interacciones'!$D$2:$D$128,$A7,'Interacciones'!$F$2:$F$128,"Missed")</f>
        <v>1</v>
      </c>
      <c r="F7" s="3">
        <f>IFERROR(C7/B7,0)</f>
        <v>0.375</v>
      </c>
      <c r="G7" s="4">
        <f>IFERROR(AVERAGEIF('Interacciones'!$D$2:$D$128,$A7,'Interacciones'!$K$2:$K$128),"")</f>
        <v>0.14004285714285714</v>
      </c>
      <c r="H7" s="4" t="str">
        <f>IFERROR(AVERAGEIF('Interacciones'!$D$2:$D$128,$A7,'Interacciones'!$L$2:$L$128),"")</f>
        <v/>
      </c>
      <c r="I7" s="6">
        <f>COUNTIF('Adaptaciones'!$C$2:$C$6,$A7)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COUNTIF('Interacciones'!$D$2:$D$128,$A8)</f>
        <v>20</v>
      </c>
      <c r="C8" s="0">
        <f>COUNTIFS('Interacciones'!$D$2:$D$128,$A8,'Interacciones'!$F$2:$F$128,"Success")</f>
        <v>11</v>
      </c>
      <c r="D8" s="0">
        <f>COUNTIFS('Interacciones'!$D$2:$D$128,$A8,'Interacciones'!$F$2:$F$128,"Failed")</f>
        <v>9</v>
      </c>
      <c r="E8" s="0">
        <f>COUNTIFS('Interacciones'!$D$2:$D$128,$A8,'Interacciones'!$F$2:$F$128,"Missed")</f>
        <v>0</v>
      </c>
      <c r="F8" s="3">
        <f>IFERROR(C8/B8,0)</f>
        <v>0.55</v>
      </c>
      <c r="G8" s="4">
        <f>IFERROR(AVERAGEIF('Interacciones'!$D$2:$D$128,$A8,'Interacciones'!$K$2:$K$128),"")</f>
        <v>0.09842727272727272</v>
      </c>
      <c r="H8" s="4" t="str">
        <f>IFERROR(AVERAGEIF('Interacciones'!$D$2:$D$128,$A8,'Interacciones'!$L$2:$L$128),"")</f>
        <v/>
      </c>
      <c r="I8" s="0">
        <f>COUNTIF('Adaptaciones'!$C$2:$C$6,$A8)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COUNTIF('Interacciones'!$D$2:$D$128,$A9)</f>
        <v>17</v>
      </c>
      <c r="C9" s="6">
        <f>COUNTIFS('Interacciones'!$D$2:$D$128,$A9,'Interacciones'!$F$2:$F$128,"Success")</f>
        <v>7</v>
      </c>
      <c r="D9" s="6">
        <f>COUNTIFS('Interacciones'!$D$2:$D$128,$A9,'Interacciones'!$F$2:$F$128,"Failed")</f>
        <v>10</v>
      </c>
      <c r="E9" s="6">
        <f>COUNTIFS('Interacciones'!$D$2:$D$128,$A9,'Interacciones'!$F$2:$F$128,"Missed")</f>
        <v>0</v>
      </c>
      <c r="F9" s="3">
        <f>IFERROR(C9/B9,0)</f>
        <v>0.4117647058823529</v>
      </c>
      <c r="G9" s="4">
        <f>IFERROR(AVERAGEIF('Interacciones'!$D$2:$D$128,$A9,'Interacciones'!$K$2:$K$128),"")</f>
        <v>0.9035941176470588</v>
      </c>
      <c r="H9" s="4" t="str">
        <f>IFERROR(AVERAGEIF('Interacciones'!$D$2:$D$128,$A9,'Interacciones'!$L$2:$L$128),"")</f>
        <v/>
      </c>
      <c r="I9" s="6">
        <f>COUNTIF('Adaptaciones'!$C$2:$C$6,$A9)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COUNTIF('Interacciones'!$D$2:$D$128,$A10)</f>
        <v>14</v>
      </c>
      <c r="C10" s="0">
        <f>COUNTIFS('Interacciones'!$D$2:$D$128,$A10,'Interacciones'!$F$2:$F$128,"Success")</f>
        <v>8</v>
      </c>
      <c r="D10" s="0">
        <f>COUNTIFS('Interacciones'!$D$2:$D$128,$A10,'Interacciones'!$F$2:$F$128,"Failed")</f>
        <v>6</v>
      </c>
      <c r="E10" s="0">
        <f>COUNTIFS('Interacciones'!$D$2:$D$128,$A10,'Interacciones'!$F$2:$F$128,"Missed")</f>
        <v>0</v>
      </c>
      <c r="F10" s="3">
        <f>IFERROR(C10/B10,0)</f>
        <v>0.5714285714285714</v>
      </c>
      <c r="G10" s="4">
        <f>IFERROR(AVERAGEIF('Interacciones'!$D$2:$D$128,$A10,'Interacciones'!$K$2:$K$128),"")</f>
        <v>0.40854999999999997</v>
      </c>
      <c r="H10" s="4">
        <f>IFERROR(AVERAGEIF('Interacciones'!$D$2:$D$128,$A10,'Interacciones'!$L$2:$L$128),"")</f>
        <v>0.64745</v>
      </c>
      <c r="I10" s="0">
        <f>COUNTIF('Adaptaciones'!$C$2:$C$6,$A10)</f>
        <v>0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COUNTIFS('Interacciones'!$D$2:$D$128,$A5,'Interacciones'!$E$2:$E$128,$B5)</f>
        <v>36</v>
      </c>
      <c r="D5" s="6">
        <f>COUNTIFS('Interacciones'!$D$2:$D$128,$A5,'Interacciones'!$E$2:$E$128,$B5,'Interacciones'!$F$2:$F$128,"Success")</f>
        <v>26</v>
      </c>
      <c r="E5" s="6">
        <f>COUNTIFS('Interacciones'!$D$2:$D$128,$A5,'Interacciones'!$E$2:$E$128,$B5,'Interacciones'!$F$2:$F$128,"Failed")</f>
        <v>10</v>
      </c>
      <c r="F5" s="6">
        <f>COUNTIFS('Interacciones'!$D$2:$D$128,$A5,'Interacciones'!$E$2:$E$128,$B5,'Interacciones'!$F$2:$F$128,"Missed")</f>
        <v>0</v>
      </c>
      <c r="G5" s="3">
        <f>IFERROR(D5/C5,0)</f>
        <v>0.7222222222222222</v>
      </c>
      <c r="H5" s="4">
        <f>IFERROR(AVERAGEIFS('Interacciones'!$K$2:$K$128,'Interacciones'!$D$2:$D$128,$A5,'Interacciones'!$E$2:$E$128,$B5),"")</f>
        <v>0.0305375</v>
      </c>
      <c r="I5" s="4" t="str">
        <f>IFERROR(AVERAGEIFS('Interacciones'!$L$2:$L$128,'Interacciones'!$D$2:$D$128,$A5,'Interacciones'!$E$2:$E$128,$B5),"")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COUNTIFS('Interacciones'!$D$2:$D$128,$A6,'Interacciones'!$E$2:$E$128,$B6)</f>
        <v>12</v>
      </c>
      <c r="D6" s="0">
        <f>COUNTIFS('Interacciones'!$D$2:$D$128,$A6,'Interacciones'!$E$2:$E$128,$B6,'Interacciones'!$F$2:$F$128,"Success")</f>
        <v>4</v>
      </c>
      <c r="E6" s="0">
        <f>COUNTIFS('Interacciones'!$D$2:$D$128,$A6,'Interacciones'!$E$2:$E$128,$B6,'Interacciones'!$F$2:$F$128,"Failed")</f>
        <v>3</v>
      </c>
      <c r="F6" s="0">
        <f>COUNTIFS('Interacciones'!$D$2:$D$128,$A6,'Interacciones'!$E$2:$E$128,$B6,'Interacciones'!$F$2:$F$128,"Missed")</f>
        <v>5</v>
      </c>
      <c r="G6" s="3">
        <f>IFERROR(D6/C6,0)</f>
        <v>0.3333333333333333</v>
      </c>
      <c r="H6" s="4" t="str">
        <f>IFERROR(AVERAGEIFS('Interacciones'!$K$2:$K$128,'Interacciones'!$D$2:$D$128,$A6,'Interacciones'!$E$2:$E$128,$B6),"")</f>
        <v/>
      </c>
      <c r="I6" s="4" t="str">
        <f>IFERROR(AVERAGEIFS('Interacciones'!$L$2:$L$128,'Interacciones'!$D$2:$D$128,$A6,'Interacciones'!$E$2:$E$128,$B6),"")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COUNTIFS('Interacciones'!$D$2:$D$128,$A7,'Interacciones'!$E$2:$E$128,$B7)</f>
        <v>17</v>
      </c>
      <c r="D7" s="6">
        <f>COUNTIFS('Interacciones'!$D$2:$D$128,$A7,'Interacciones'!$E$2:$E$128,$B7,'Interacciones'!$F$2:$F$128,"Success")</f>
        <v>11</v>
      </c>
      <c r="E7" s="6">
        <f>COUNTIFS('Interacciones'!$D$2:$D$128,$A7,'Interacciones'!$E$2:$E$128,$B7,'Interacciones'!$F$2:$F$128,"Failed")</f>
        <v>5</v>
      </c>
      <c r="F7" s="6">
        <f>COUNTIFS('Interacciones'!$D$2:$D$128,$A7,'Interacciones'!$E$2:$E$128,$B7,'Interacciones'!$F$2:$F$128,"Missed")</f>
        <v>1</v>
      </c>
      <c r="G7" s="3">
        <f>IFERROR(D7/C7,0)</f>
        <v>0.6470588235294118</v>
      </c>
      <c r="H7" s="4">
        <f>IFERROR(AVERAGEIFS('Interacciones'!$K$2:$K$128,'Interacciones'!$D$2:$D$128,$A7,'Interacciones'!$E$2:$E$128,$B7),"")</f>
        <v>0.08732727272727273</v>
      </c>
      <c r="I7" s="4" t="str">
        <f>IFERROR(AVERAGEIFS('Interacciones'!$L$2:$L$128,'Interacciones'!$D$2:$D$128,$A7,'Interacciones'!$E$2:$E$128,$B7),"")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COUNTIFS('Interacciones'!$D$2:$D$128,$A8,'Interacciones'!$E$2:$E$128,$B8)</f>
        <v>3</v>
      </c>
      <c r="D8" s="0">
        <f>COUNTIFS('Interacciones'!$D$2:$D$128,$A8,'Interacciones'!$E$2:$E$128,$B8,'Interacciones'!$F$2:$F$128,"Success")</f>
        <v>0</v>
      </c>
      <c r="E8" s="0">
        <f>COUNTIFS('Interacciones'!$D$2:$D$128,$A8,'Interacciones'!$E$2:$E$128,$B8,'Interacciones'!$F$2:$F$128,"Failed")</f>
        <v>3</v>
      </c>
      <c r="F8" s="0">
        <f>COUNTIFS('Interacciones'!$D$2:$D$128,$A8,'Interacciones'!$E$2:$E$128,$B8,'Interacciones'!$F$2:$F$128,"Missed")</f>
        <v>0</v>
      </c>
      <c r="G8" s="3">
        <f>IFERROR(D8/C8,0)</f>
        <v>0.0</v>
      </c>
      <c r="H8" s="4" t="str">
        <f>IFERROR(AVERAGEIFS('Interacciones'!$K$2:$K$128,'Interacciones'!$D$2:$D$128,$A8,'Interacciones'!$E$2:$E$128,$B8),"")</f>
        <v/>
      </c>
      <c r="I8" s="4" t="str">
        <f>IFERROR(AVERAGEIFS('Interacciones'!$L$2:$L$128,'Interacciones'!$D$2:$D$128,$A8,'Interacciones'!$E$2:$E$128,$B8),"")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COUNTIFS('Interacciones'!$D$2:$D$128,$A9,'Interacciones'!$E$2:$E$128,$B9)</f>
        <v>8</v>
      </c>
      <c r="D9" s="6">
        <f>COUNTIFS('Interacciones'!$D$2:$D$128,$A9,'Interacciones'!$E$2:$E$128,$B9,'Interacciones'!$F$2:$F$128,"Success")</f>
        <v>3</v>
      </c>
      <c r="E9" s="6">
        <f>COUNTIFS('Interacciones'!$D$2:$D$128,$A9,'Interacciones'!$E$2:$E$128,$B9,'Interacciones'!$F$2:$F$128,"Failed")</f>
        <v>4</v>
      </c>
      <c r="F9" s="6">
        <f>COUNTIFS('Interacciones'!$D$2:$D$128,$A9,'Interacciones'!$E$2:$E$128,$B9,'Interacciones'!$F$2:$F$128,"Missed")</f>
        <v>1</v>
      </c>
      <c r="G9" s="3">
        <f>IFERROR(D9/C9,0)</f>
        <v>0.375</v>
      </c>
      <c r="H9" s="4">
        <f>IFERROR(AVERAGEIFS('Interacciones'!$K$2:$K$128,'Interacciones'!$D$2:$D$128,$A9,'Interacciones'!$E$2:$E$128,$B9),"")</f>
        <v>0.14004285714285714</v>
      </c>
      <c r="I9" s="4" t="str">
        <f>IFERROR(AVERAGEIFS('Interacciones'!$L$2:$L$128,'Interacciones'!$D$2:$D$128,$A9,'Interacciones'!$E$2:$E$128,$B9),"")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COUNTIFS('Interacciones'!$D$2:$D$128,$A10,'Interacciones'!$E$2:$E$128,$B10)</f>
        <v>11</v>
      </c>
      <c r="D10" s="0">
        <f>COUNTIFS('Interacciones'!$D$2:$D$128,$A10,'Interacciones'!$E$2:$E$128,$B10,'Interacciones'!$F$2:$F$128,"Success")</f>
        <v>11</v>
      </c>
      <c r="E10" s="0">
        <f>COUNTIFS('Interacciones'!$D$2:$D$128,$A10,'Interacciones'!$E$2:$E$128,$B10,'Interacciones'!$F$2:$F$128,"Failed")</f>
        <v>0</v>
      </c>
      <c r="F10" s="0">
        <f>COUNTIFS('Interacciones'!$D$2:$D$128,$A10,'Interacciones'!$E$2:$E$128,$B10,'Interacciones'!$F$2:$F$128,"Missed")</f>
        <v>0</v>
      </c>
      <c r="G10" s="3">
        <f>IFERROR(D10/C10,0)</f>
        <v>1.0</v>
      </c>
      <c r="H10" s="4">
        <f>IFERROR(AVERAGEIFS('Interacciones'!$K$2:$K$128,'Interacciones'!$D$2:$D$128,$A10,'Interacciones'!$E$2:$E$128,$B10),"")</f>
        <v>0.09842727272727272</v>
      </c>
      <c r="I10" s="4" t="str">
        <f>IFERROR(AVERAGEIFS('Interacciones'!$L$2:$L$128,'Interacciones'!$D$2:$D$128,$A10,'Interacciones'!$E$2:$E$128,$B10),"")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COUNTIFS('Interacciones'!$D$2:$D$128,$A11,'Interacciones'!$E$2:$E$128,$B11)</f>
        <v>9</v>
      </c>
      <c r="D11" s="6">
        <f>COUNTIFS('Interacciones'!$D$2:$D$128,$A11,'Interacciones'!$E$2:$E$128,$B11,'Interacciones'!$F$2:$F$128,"Success")</f>
        <v>0</v>
      </c>
      <c r="E11" s="6">
        <f>COUNTIFS('Interacciones'!$D$2:$D$128,$A11,'Interacciones'!$E$2:$E$128,$B11,'Interacciones'!$F$2:$F$128,"Failed")</f>
        <v>9</v>
      </c>
      <c r="F11" s="6">
        <f>COUNTIFS('Interacciones'!$D$2:$D$128,$A11,'Interacciones'!$E$2:$E$128,$B11,'Interacciones'!$F$2:$F$128,"Missed")</f>
        <v>0</v>
      </c>
      <c r="G11" s="3">
        <f>IFERROR(D11/C11,0)</f>
        <v>0.0</v>
      </c>
      <c r="H11" s="4" t="str">
        <f>IFERROR(AVERAGEIFS('Interacciones'!$K$2:$K$128,'Interacciones'!$D$2:$D$128,$A11,'Interacciones'!$E$2:$E$128,$B11),"")</f>
        <v/>
      </c>
      <c r="I11" s="4" t="str">
        <f>IFERROR(AVERAGEIFS('Interacciones'!$L$2:$L$128,'Interacciones'!$D$2:$D$128,$A11,'Interacciones'!$E$2:$E$128,$B11),"")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COUNTIFS('Interacciones'!$D$2:$D$128,$A12,'Interacciones'!$E$2:$E$128,$B12)</f>
        <v>17</v>
      </c>
      <c r="D12" s="0">
        <f>COUNTIFS('Interacciones'!$D$2:$D$128,$A12,'Interacciones'!$E$2:$E$128,$B12,'Interacciones'!$F$2:$F$128,"Success")</f>
        <v>7</v>
      </c>
      <c r="E12" s="0">
        <f>COUNTIFS('Interacciones'!$D$2:$D$128,$A12,'Interacciones'!$E$2:$E$128,$B12,'Interacciones'!$F$2:$F$128,"Failed")</f>
        <v>10</v>
      </c>
      <c r="F12" s="0">
        <f>COUNTIFS('Interacciones'!$D$2:$D$128,$A12,'Interacciones'!$E$2:$E$128,$B12,'Interacciones'!$F$2:$F$128,"Missed")</f>
        <v>0</v>
      </c>
      <c r="G12" s="3">
        <f>IFERROR(D12/C12,0)</f>
        <v>0.4117647058823529</v>
      </c>
      <c r="H12" s="4">
        <f>IFERROR(AVERAGEIFS('Interacciones'!$K$2:$K$128,'Interacciones'!$D$2:$D$128,$A12,'Interacciones'!$E$2:$E$128,$B12),"")</f>
        <v>0.9035941176470588</v>
      </c>
      <c r="I12" s="4" t="str">
        <f>IFERROR(AVERAGEIFS('Interacciones'!$L$2:$L$128,'Interacciones'!$D$2:$D$128,$A12,'Interacciones'!$E$2:$E$128,$B12),"")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COUNTIFS('Interacciones'!$D$2:$D$128,$A13,'Interacciones'!$E$2:$E$128,$B13)</f>
        <v>1</v>
      </c>
      <c r="D13" s="6">
        <f>COUNTIFS('Interacciones'!$D$2:$D$128,$A13,'Interacciones'!$E$2:$E$128,$B13,'Interacciones'!$F$2:$F$128,"Success")</f>
        <v>1</v>
      </c>
      <c r="E13" s="6">
        <f>COUNTIFS('Interacciones'!$D$2:$D$128,$A13,'Interacciones'!$E$2:$E$128,$B13,'Interacciones'!$F$2:$F$128,"Failed")</f>
        <v>0</v>
      </c>
      <c r="F13" s="6">
        <f>COUNTIFS('Interacciones'!$D$2:$D$128,$A13,'Interacciones'!$E$2:$E$128,$B13,'Interacciones'!$F$2:$F$128,"Missed")</f>
        <v>0</v>
      </c>
      <c r="G13" s="3">
        <f>IFERROR(D13/C13,0)</f>
        <v>1.0</v>
      </c>
      <c r="H13" s="4" t="str">
        <f>IFERROR(AVERAGEIFS('Interacciones'!$K$2:$K$128,'Interacciones'!$D$2:$D$128,$A13,'Interacciones'!$E$2:$E$128,$B13),"")</f>
        <v/>
      </c>
      <c r="I13" s="4" t="str">
        <f>IFERROR(AVERAGEIFS('Interacciones'!$L$2:$L$128,'Interacciones'!$D$2:$D$128,$A13,'Interacciones'!$E$2:$E$128,$B13),"")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COUNTIFS('Interacciones'!$D$2:$D$128,$A14,'Interacciones'!$E$2:$E$128,$B14)</f>
        <v>13</v>
      </c>
      <c r="D14" s="0">
        <f>COUNTIFS('Interacciones'!$D$2:$D$128,$A14,'Interacciones'!$E$2:$E$128,$B14,'Interacciones'!$F$2:$F$128,"Success")</f>
        <v>7</v>
      </c>
      <c r="E14" s="0">
        <f>COUNTIFS('Interacciones'!$D$2:$D$128,$A14,'Interacciones'!$E$2:$E$128,$B14,'Interacciones'!$F$2:$F$128,"Failed")</f>
        <v>6</v>
      </c>
      <c r="F14" s="0">
        <f>COUNTIFS('Interacciones'!$D$2:$D$128,$A14,'Interacciones'!$E$2:$E$128,$B14,'Interacciones'!$F$2:$F$128,"Missed")</f>
        <v>0</v>
      </c>
      <c r="G14" s="3">
        <f>IFERROR(D14/C14,0)</f>
        <v>0.5384615384615384</v>
      </c>
      <c r="H14" s="4">
        <f>IFERROR(AVERAGEIFS('Interacciones'!$K$2:$K$128,'Interacciones'!$D$2:$D$128,$A14,'Interacciones'!$E$2:$E$128,$B14),"")</f>
        <v>0.40854999999999997</v>
      </c>
      <c r="I14" s="4">
        <f>IFERROR(AVERAGEIFS('Interacciones'!$L$2:$L$128,'Interacciones'!$D$2:$D$128,$A14,'Interacciones'!$E$2:$E$128,$B14),"")</f>
        <v>0.64745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2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P032</t>
        </is>
      </c>
      <c r="C2" s="0" t="inlineStr">
        <is>
          <t>2026-10-02 16:37:22.031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P032</t>
        </is>
      </c>
      <c r="C3" s="6" t="inlineStr">
        <is>
          <t>2026-10-02 16:37:22.754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1.6516</v>
      </c>
      <c r="J3" s="4">
        <v>-0.0124</v>
      </c>
      <c r="K3" s="4">
        <v>0.0124</v>
      </c>
      <c r="P3" s="6">
        <v>9</v>
      </c>
    </row>
    <row r="4" ht="17" customHeight="1">
      <c r="A4" s="0">
        <v>5</v>
      </c>
      <c r="B4" s="0" t="inlineStr">
        <is>
          <t>P032</t>
        </is>
      </c>
      <c r="C4" s="0" t="inlineStr">
        <is>
          <t>2026-10-02 16:37:22.767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1.6659</v>
      </c>
      <c r="J4" s="4">
        <v>0.0019</v>
      </c>
      <c r="K4" s="4">
        <v>0.0019</v>
      </c>
      <c r="P4" s="0">
        <v>10</v>
      </c>
    </row>
    <row r="5" ht="17" customHeight="1">
      <c r="A5" s="6">
        <v>6</v>
      </c>
      <c r="B5" s="6" t="inlineStr">
        <is>
          <t>P032</t>
        </is>
      </c>
      <c r="C5" s="6" t="inlineStr">
        <is>
          <t>2026-10-02 16:37:23.559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2.4573</v>
      </c>
      <c r="J5" s="4">
        <v>0.0253</v>
      </c>
      <c r="K5" s="4">
        <v>0.0253</v>
      </c>
      <c r="P5" s="6">
        <v>11</v>
      </c>
    </row>
    <row r="6" ht="17" customHeight="1">
      <c r="A6" s="0">
        <v>7</v>
      </c>
      <c r="B6" s="0" t="inlineStr">
        <is>
          <t>P032</t>
        </is>
      </c>
      <c r="C6" s="0" t="inlineStr">
        <is>
          <t>2026-10-02 16:37:24.267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H6" s="4">
        <v>3.2</v>
      </c>
      <c r="I6" s="4">
        <v>3.1659</v>
      </c>
      <c r="J6" s="4">
        <v>-0.0341</v>
      </c>
      <c r="K6" s="4">
        <v>0.0341</v>
      </c>
      <c r="P6" s="0">
        <v>12</v>
      </c>
    </row>
    <row r="7" ht="17" customHeight="1">
      <c r="A7" s="6">
        <v>8</v>
      </c>
      <c r="B7" s="6" t="inlineStr">
        <is>
          <t>P032</t>
        </is>
      </c>
      <c r="C7" s="6" t="inlineStr">
        <is>
          <t>2026-10-02 16:37:24.629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P032</t>
        </is>
      </c>
      <c r="C8" s="0" t="inlineStr">
        <is>
          <t>2026-10-02 16:37:25.072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P032</t>
        </is>
      </c>
      <c r="C9" s="6" t="inlineStr">
        <is>
          <t>2026-10-02 16:37:25.391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H9" s="4">
        <v>3.968</v>
      </c>
      <c r="P9" s="6">
        <v>15</v>
      </c>
    </row>
    <row r="10" ht="17" customHeight="1">
      <c r="A10" s="0">
        <v>11</v>
      </c>
      <c r="B10" s="0" t="inlineStr">
        <is>
          <t>P032</t>
        </is>
      </c>
      <c r="C10" s="0" t="inlineStr">
        <is>
          <t>2026-10-02 16:37:25.796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I10" s="4">
        <v>4.6933</v>
      </c>
      <c r="J10" s="4">
        <v>-0.0427</v>
      </c>
      <c r="K10" s="4">
        <v>0.0427</v>
      </c>
      <c r="P10" s="0">
        <v>16</v>
      </c>
    </row>
    <row r="11" ht="17" customHeight="1">
      <c r="A11" s="6">
        <v>12</v>
      </c>
      <c r="B11" s="6" t="inlineStr">
        <is>
          <t>P032</t>
        </is>
      </c>
      <c r="C11" s="6" t="inlineStr">
        <is>
          <t>2026-10-02 16:37:25.796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H11" s="4">
        <v>4.736</v>
      </c>
      <c r="I11" s="4">
        <v>4.6933</v>
      </c>
      <c r="J11" s="4">
        <v>-0.0427</v>
      </c>
      <c r="K11" s="4">
        <v>0.0427</v>
      </c>
      <c r="P11" s="6">
        <v>17</v>
      </c>
    </row>
    <row r="12" ht="17" customHeight="1">
      <c r="A12" s="0">
        <v>16</v>
      </c>
      <c r="B12" s="0" t="inlineStr">
        <is>
          <t>P032</t>
        </is>
      </c>
      <c r="C12" s="0" t="inlineStr">
        <is>
          <t>2026-10-02 16:37:26.573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Easy</t>
        </is>
      </c>
      <c r="H12" s="4">
        <v>5.504</v>
      </c>
      <c r="I12" s="4">
        <v>5.4573</v>
      </c>
      <c r="J12" s="4">
        <v>-0.0467</v>
      </c>
      <c r="K12" s="4">
        <v>0.0467</v>
      </c>
      <c r="P12" s="0">
        <v>21</v>
      </c>
    </row>
    <row r="13" ht="17" customHeight="1">
      <c r="A13" s="6">
        <v>17</v>
      </c>
      <c r="B13" s="6" t="inlineStr">
        <is>
          <t>P032</t>
        </is>
      </c>
      <c r="C13" s="6" t="inlineStr">
        <is>
          <t>2026-10-02 16:37:28.155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Failed</t>
        </is>
      </c>
      <c r="G13" s="6" t="inlineStr">
        <is>
          <t>Easy</t>
        </is>
      </c>
      <c r="H13" s="4">
        <v>7.04</v>
      </c>
      <c r="P13" s="6">
        <v>22</v>
      </c>
    </row>
    <row r="14" ht="17" customHeight="1">
      <c r="A14" s="0">
        <v>18</v>
      </c>
      <c r="B14" s="0" t="inlineStr">
        <is>
          <t>P032</t>
        </is>
      </c>
      <c r="C14" s="0" t="inlineStr">
        <is>
          <t>2026-10-02 16:37:28.461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Easy</t>
        </is>
      </c>
      <c r="H14" s="4">
        <v>7.04</v>
      </c>
      <c r="P14" s="0">
        <v>23</v>
      </c>
    </row>
    <row r="15" ht="17" customHeight="1">
      <c r="A15" s="6">
        <v>19</v>
      </c>
      <c r="B15" s="6" t="inlineStr">
        <is>
          <t>P032</t>
        </is>
      </c>
      <c r="C15" s="6" t="inlineStr">
        <is>
          <t>2026-10-02 16:37:29.656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H15" s="4">
        <v>8.576</v>
      </c>
      <c r="I15" s="4">
        <v>8.5535</v>
      </c>
      <c r="J15" s="4">
        <v>-0.0225</v>
      </c>
      <c r="K15" s="4">
        <v>0.0225</v>
      </c>
      <c r="P15" s="6">
        <v>24</v>
      </c>
    </row>
    <row r="16" ht="17" customHeight="1">
      <c r="A16" s="0">
        <v>20</v>
      </c>
      <c r="B16" s="0" t="inlineStr">
        <is>
          <t>P032</t>
        </is>
      </c>
      <c r="C16" s="0" t="inlineStr">
        <is>
          <t>2026-10-02 16:37:29.697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8.576</v>
      </c>
      <c r="P16" s="0">
        <v>25</v>
      </c>
    </row>
    <row r="17" ht="17" customHeight="1">
      <c r="A17" s="6">
        <v>22</v>
      </c>
      <c r="B17" s="6" t="inlineStr">
        <is>
          <t>P032</t>
        </is>
      </c>
      <c r="C17" s="6" t="inlineStr">
        <is>
          <t>2026-10-02 16:37:31.183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H17" s="4">
        <v>10.112</v>
      </c>
      <c r="I17" s="4">
        <v>10.0805</v>
      </c>
      <c r="J17" s="4">
        <v>-0.0315</v>
      </c>
      <c r="K17" s="4">
        <v>0.0315</v>
      </c>
      <c r="P17" s="6">
        <v>27</v>
      </c>
    </row>
    <row r="18" ht="17" customHeight="1">
      <c r="A18" s="0">
        <v>23</v>
      </c>
      <c r="B18" s="0" t="inlineStr">
        <is>
          <t>P032</t>
        </is>
      </c>
      <c r="C18" s="0" t="inlineStr">
        <is>
          <t>2026-10-02 16:37:31.197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10.112</v>
      </c>
      <c r="I18" s="4">
        <v>10.0946</v>
      </c>
      <c r="J18" s="4">
        <v>-0.0174</v>
      </c>
      <c r="K18" s="4">
        <v>0.0174</v>
      </c>
      <c r="P18" s="0">
        <v>28</v>
      </c>
    </row>
    <row r="19" ht="17" customHeight="1">
      <c r="A19" s="6">
        <v>24</v>
      </c>
      <c r="B19" s="6" t="inlineStr">
        <is>
          <t>P032</t>
        </is>
      </c>
      <c r="C19" s="6" t="inlineStr">
        <is>
          <t>2026-10-02 16:37:32.710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Failed</t>
        </is>
      </c>
      <c r="G19" s="6" t="inlineStr">
        <is>
          <t>Easy</t>
        </is>
      </c>
      <c r="H19" s="4">
        <v>11.648</v>
      </c>
      <c r="I19" s="4">
        <v>11.5937</v>
      </c>
      <c r="J19" s="4">
        <v>-0.0543</v>
      </c>
      <c r="K19" s="4">
        <v>0.0543</v>
      </c>
      <c r="P19" s="6">
        <v>29</v>
      </c>
    </row>
    <row r="20" ht="17" customHeight="1">
      <c r="A20" s="0">
        <v>25</v>
      </c>
      <c r="B20" s="0" t="inlineStr">
        <is>
          <t>P032</t>
        </is>
      </c>
      <c r="C20" s="0" t="inlineStr">
        <is>
          <t>2026-10-02 16:37:32.724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H20" s="4">
        <v>11.648</v>
      </c>
      <c r="P20" s="0">
        <v>30</v>
      </c>
    </row>
    <row r="21" ht="17" customHeight="1">
      <c r="A21" s="6">
        <v>26</v>
      </c>
      <c r="B21" s="6" t="inlineStr">
        <is>
          <t>P032</t>
        </is>
      </c>
      <c r="C21" s="6" t="inlineStr">
        <is>
          <t>2026-10-02 16:37:34.209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H21" s="4">
        <v>13.184</v>
      </c>
      <c r="I21" s="4">
        <v>13.1074</v>
      </c>
      <c r="J21" s="4">
        <v>-0.0766</v>
      </c>
      <c r="K21" s="4">
        <v>0.0766</v>
      </c>
      <c r="P21" s="6">
        <v>31</v>
      </c>
    </row>
    <row r="22" ht="17" customHeight="1">
      <c r="A22" s="0">
        <v>27</v>
      </c>
      <c r="B22" s="0" t="inlineStr">
        <is>
          <t>P032</t>
        </is>
      </c>
      <c r="C22" s="0" t="inlineStr">
        <is>
          <t>2026-10-02 16:37:34.251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13.184</v>
      </c>
      <c r="I22" s="4">
        <v>13.1491</v>
      </c>
      <c r="J22" s="4">
        <v>-0.0349</v>
      </c>
      <c r="K22" s="4">
        <v>0.0349</v>
      </c>
      <c r="P22" s="0">
        <v>32</v>
      </c>
    </row>
    <row r="23" ht="17" customHeight="1">
      <c r="A23" s="6">
        <v>28</v>
      </c>
      <c r="B23" s="6" t="inlineStr">
        <is>
          <t>P032</t>
        </is>
      </c>
      <c r="C23" s="6" t="inlineStr">
        <is>
          <t>2026-10-02 16:37:35.779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Easy</t>
        </is>
      </c>
      <c r="H23" s="4">
        <v>14.72</v>
      </c>
      <c r="I23" s="4">
        <v>14.6634</v>
      </c>
      <c r="J23" s="4">
        <v>-0.0566</v>
      </c>
      <c r="K23" s="4">
        <v>0.0566</v>
      </c>
      <c r="P23" s="6">
        <v>33</v>
      </c>
    </row>
    <row r="24" ht="17" customHeight="1">
      <c r="A24" s="0">
        <v>29</v>
      </c>
      <c r="B24" s="0" t="inlineStr">
        <is>
          <t>P032</t>
        </is>
      </c>
      <c r="C24" s="0" t="inlineStr">
        <is>
          <t>2026-10-02 16:37:35.780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Failed</t>
        </is>
      </c>
      <c r="G24" s="0" t="inlineStr">
        <is>
          <t>Easy</t>
        </is>
      </c>
      <c r="H24" s="4">
        <v>14.72</v>
      </c>
      <c r="P24" s="0">
        <v>34</v>
      </c>
    </row>
    <row r="25" ht="17" customHeight="1">
      <c r="A25" s="6">
        <v>30</v>
      </c>
      <c r="B25" s="6" t="inlineStr">
        <is>
          <t>P032</t>
        </is>
      </c>
      <c r="C25" s="6" t="inlineStr">
        <is>
          <t>2026-10-02 16:37:37.335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Failed</t>
        </is>
      </c>
      <c r="G25" s="6" t="inlineStr">
        <is>
          <t>Easy</t>
        </is>
      </c>
      <c r="H25" s="4">
        <v>16.256</v>
      </c>
      <c r="P25" s="6">
        <v>35</v>
      </c>
    </row>
    <row r="26" ht="17" customHeight="1">
      <c r="A26" s="0">
        <v>31</v>
      </c>
      <c r="B26" s="0" t="inlineStr">
        <is>
          <t>P032</t>
        </is>
      </c>
      <c r="C26" s="0" t="inlineStr">
        <is>
          <t>2026-10-02 16:37:37.336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Easy</t>
        </is>
      </c>
      <c r="H26" s="4">
        <v>16.256</v>
      </c>
      <c r="P26" s="0">
        <v>36</v>
      </c>
    </row>
    <row r="27" ht="17" customHeight="1">
      <c r="A27" s="6">
        <v>32</v>
      </c>
      <c r="B27" s="6" t="inlineStr">
        <is>
          <t>P032</t>
        </is>
      </c>
      <c r="C27" s="6" t="inlineStr">
        <is>
          <t>2026-10-02 16:37:38.877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H27" s="4">
        <v>17.792</v>
      </c>
      <c r="I27" s="4">
        <v>17.7753</v>
      </c>
      <c r="J27" s="4">
        <v>-0.0167</v>
      </c>
      <c r="K27" s="4">
        <v>0.0167</v>
      </c>
      <c r="P27" s="6">
        <v>37</v>
      </c>
    </row>
    <row r="28" ht="17" customHeight="1">
      <c r="A28" s="0">
        <v>33</v>
      </c>
      <c r="B28" s="0" t="inlineStr">
        <is>
          <t>P032</t>
        </is>
      </c>
      <c r="C28" s="0" t="inlineStr">
        <is>
          <t>2026-10-02 16:37:40.418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19.328</v>
      </c>
      <c r="I28" s="4">
        <v>19.3164</v>
      </c>
      <c r="J28" s="4">
        <v>-0.0116</v>
      </c>
      <c r="K28" s="4">
        <v>0.0116</v>
      </c>
      <c r="P28" s="0">
        <v>38</v>
      </c>
    </row>
    <row r="29" ht="17" customHeight="1">
      <c r="A29" s="6">
        <v>34</v>
      </c>
      <c r="B29" s="6" t="inlineStr">
        <is>
          <t>P032</t>
        </is>
      </c>
      <c r="C29" s="6" t="inlineStr">
        <is>
          <t>2026-10-02 16:37:40.418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19.328</v>
      </c>
      <c r="I29" s="4">
        <v>19.3164</v>
      </c>
      <c r="J29" s="4">
        <v>-0.0116</v>
      </c>
      <c r="K29" s="4">
        <v>0.0116</v>
      </c>
      <c r="P29" s="6">
        <v>39</v>
      </c>
    </row>
    <row r="30" ht="17" customHeight="1">
      <c r="A30" s="0">
        <v>35</v>
      </c>
      <c r="B30" s="0" t="inlineStr">
        <is>
          <t>P032</t>
        </is>
      </c>
      <c r="C30" s="0" t="inlineStr">
        <is>
          <t>2026-10-02 16:37:41.959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H30" s="4">
        <v>20.864</v>
      </c>
      <c r="I30" s="4">
        <v>20.844</v>
      </c>
      <c r="J30" s="4">
        <v>-0.02</v>
      </c>
      <c r="K30" s="4">
        <v>0.02</v>
      </c>
      <c r="P30" s="0">
        <v>40</v>
      </c>
    </row>
    <row r="31" ht="17" customHeight="1">
      <c r="A31" s="6">
        <v>36</v>
      </c>
      <c r="B31" s="6" t="inlineStr">
        <is>
          <t>P032</t>
        </is>
      </c>
      <c r="C31" s="6" t="inlineStr">
        <is>
          <t>2026-10-02 16:37:43.474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22.4</v>
      </c>
      <c r="I31" s="4">
        <v>22.3715</v>
      </c>
      <c r="J31" s="4">
        <v>-0.0285</v>
      </c>
      <c r="K31" s="4">
        <v>0.0285</v>
      </c>
      <c r="P31" s="6">
        <v>41</v>
      </c>
    </row>
    <row r="32" ht="17" customHeight="1">
      <c r="A32" s="0">
        <v>37</v>
      </c>
      <c r="B32" s="0" t="inlineStr">
        <is>
          <t>P032</t>
        </is>
      </c>
      <c r="C32" s="0" t="inlineStr">
        <is>
          <t>2026-10-02 16:37:43.487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H32" s="4">
        <v>22.4</v>
      </c>
      <c r="I32" s="4">
        <v>22.3856</v>
      </c>
      <c r="J32" s="4">
        <v>-0.0144</v>
      </c>
      <c r="K32" s="4">
        <v>0.0144</v>
      </c>
      <c r="P32" s="0">
        <v>42</v>
      </c>
    </row>
    <row r="33" ht="17" customHeight="1">
      <c r="A33" s="6">
        <v>38</v>
      </c>
      <c r="B33" s="6" t="inlineStr">
        <is>
          <t>P032</t>
        </is>
      </c>
      <c r="C33" s="6" t="inlineStr">
        <is>
          <t>2026-10-02 16:37:45.016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23.936</v>
      </c>
      <c r="I33" s="4">
        <v>23.9144</v>
      </c>
      <c r="J33" s="4">
        <v>-0.0216</v>
      </c>
      <c r="K33" s="4">
        <v>0.0216</v>
      </c>
      <c r="P33" s="6">
        <v>43</v>
      </c>
    </row>
    <row r="34" ht="17" customHeight="1">
      <c r="A34" s="0">
        <v>40</v>
      </c>
      <c r="B34" s="0" t="inlineStr">
        <is>
          <t>P032</t>
        </is>
      </c>
      <c r="C34" s="0" t="inlineStr">
        <is>
          <t>2026-10-02 16:37:45.029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23.936</v>
      </c>
      <c r="P34" s="0">
        <v>45</v>
      </c>
    </row>
    <row r="35" ht="17" customHeight="1">
      <c r="A35" s="6">
        <v>41</v>
      </c>
      <c r="B35" s="6" t="inlineStr">
        <is>
          <t>P032</t>
        </is>
      </c>
      <c r="C35" s="6" t="inlineStr">
        <is>
          <t>2026-10-02 16:37:46.556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H35" s="4">
        <v>25.472</v>
      </c>
      <c r="I35" s="4">
        <v>25.4536</v>
      </c>
      <c r="J35" s="4">
        <v>-0.0184</v>
      </c>
      <c r="K35" s="4">
        <v>0.0184</v>
      </c>
      <c r="P35" s="6">
        <v>46</v>
      </c>
    </row>
    <row r="36" ht="17" customHeight="1">
      <c r="A36" s="0">
        <v>42</v>
      </c>
      <c r="B36" s="0" t="inlineStr">
        <is>
          <t>P032</t>
        </is>
      </c>
      <c r="C36" s="0" t="inlineStr">
        <is>
          <t>2026-10-02 16:37:46.556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25.472</v>
      </c>
      <c r="I36" s="4">
        <v>25.4536</v>
      </c>
      <c r="J36" s="4">
        <v>-0.0184</v>
      </c>
      <c r="K36" s="4">
        <v>0.0184</v>
      </c>
      <c r="P36" s="0">
        <v>47</v>
      </c>
    </row>
    <row r="37" ht="17" customHeight="1">
      <c r="A37" s="6">
        <v>44</v>
      </c>
      <c r="B37" s="6" t="inlineStr">
        <is>
          <t>P032</t>
        </is>
      </c>
      <c r="C37" s="6" t="inlineStr">
        <is>
          <t>2026-10-02 16:37:47.361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Normal</t>
        </is>
      </c>
      <c r="H37" s="4">
        <v>26.24</v>
      </c>
      <c r="P37" s="6">
        <v>49</v>
      </c>
    </row>
    <row r="38" ht="17" customHeight="1">
      <c r="A38" s="0">
        <v>45</v>
      </c>
      <c r="B38" s="0" t="inlineStr">
        <is>
          <t>P032</t>
        </is>
      </c>
      <c r="C38" s="0" t="inlineStr">
        <is>
          <t>2026-10-02 16:37:48.070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Normal</t>
        </is>
      </c>
      <c r="H38" s="4">
        <v>27.008</v>
      </c>
      <c r="I38" s="4">
        <v>26.9673</v>
      </c>
      <c r="J38" s="4">
        <v>-0.0407</v>
      </c>
      <c r="K38" s="4">
        <v>0.0407</v>
      </c>
      <c r="P38" s="0">
        <v>50</v>
      </c>
    </row>
    <row r="39" ht="17" customHeight="1">
      <c r="A39" s="6">
        <v>46</v>
      </c>
      <c r="B39" s="6" t="inlineStr">
        <is>
          <t>P032</t>
        </is>
      </c>
      <c r="C39" s="6" t="inlineStr">
        <is>
          <t>2026-10-02 16:37:48.097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Normal</t>
        </is>
      </c>
      <c r="H39" s="4">
        <v>27.008</v>
      </c>
      <c r="I39" s="4">
        <v>26.9952</v>
      </c>
      <c r="J39" s="4">
        <v>-0.0128</v>
      </c>
      <c r="K39" s="4">
        <v>0.0128</v>
      </c>
      <c r="P39" s="6">
        <v>51</v>
      </c>
    </row>
    <row r="40" ht="17" customHeight="1">
      <c r="A40" s="0">
        <v>47</v>
      </c>
      <c r="B40" s="0" t="inlineStr">
        <is>
          <t>P032</t>
        </is>
      </c>
      <c r="C40" s="0" t="inlineStr">
        <is>
          <t>2026-10-02 16:37:48.833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Normal</t>
        </is>
      </c>
      <c r="H40" s="4">
        <v>27.776</v>
      </c>
      <c r="I40" s="4">
        <v>27.7308</v>
      </c>
      <c r="J40" s="4">
        <v>-0.0452</v>
      </c>
      <c r="K40" s="4">
        <v>0.0452</v>
      </c>
      <c r="P40" s="0">
        <v>52</v>
      </c>
    </row>
    <row r="41" ht="17" customHeight="1">
      <c r="A41" s="6">
        <v>48</v>
      </c>
      <c r="B41" s="6" t="inlineStr">
        <is>
          <t>P032</t>
        </is>
      </c>
      <c r="C41" s="6" t="inlineStr">
        <is>
          <t>2026-10-02 16:37:48.847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H41" s="4">
        <v>27.776</v>
      </c>
      <c r="P41" s="6">
        <v>53</v>
      </c>
    </row>
    <row r="42" ht="17" customHeight="1">
      <c r="A42" s="0">
        <v>49</v>
      </c>
      <c r="B42" s="0" t="inlineStr">
        <is>
          <t>P032</t>
        </is>
      </c>
      <c r="C42" s="0" t="inlineStr">
        <is>
          <t>2026-10-02 16:37:49.611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Normal</t>
        </is>
      </c>
      <c r="H42" s="4">
        <v>28.544</v>
      </c>
      <c r="I42" s="4">
        <v>28.5082</v>
      </c>
      <c r="J42" s="4">
        <v>-0.0358</v>
      </c>
      <c r="K42" s="4">
        <v>0.0358</v>
      </c>
      <c r="P42" s="0">
        <v>54</v>
      </c>
    </row>
    <row r="43" ht="17" customHeight="1">
      <c r="A43" s="6">
        <v>50</v>
      </c>
      <c r="B43" s="6" t="inlineStr">
        <is>
          <t>P032</t>
        </is>
      </c>
      <c r="C43" s="6" t="inlineStr">
        <is>
          <t>2026-10-02 16:37:49.611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28.544</v>
      </c>
      <c r="I43" s="4">
        <v>28.5082</v>
      </c>
      <c r="J43" s="4">
        <v>-0.0358</v>
      </c>
      <c r="K43" s="4">
        <v>0.0358</v>
      </c>
      <c r="P43" s="6">
        <v>55</v>
      </c>
    </row>
    <row r="44" ht="17" customHeight="1">
      <c r="A44" s="0">
        <v>51</v>
      </c>
      <c r="B44" s="0" t="inlineStr">
        <is>
          <t>P032</t>
        </is>
      </c>
      <c r="C44" s="0" t="inlineStr">
        <is>
          <t>2026-10-02 16:37:50.401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Normal</t>
        </is>
      </c>
      <c r="H44" s="4">
        <v>29.312</v>
      </c>
      <c r="I44" s="4">
        <v>29.2854</v>
      </c>
      <c r="J44" s="4">
        <v>-0.0266</v>
      </c>
      <c r="K44" s="4">
        <v>0.0266</v>
      </c>
      <c r="P44" s="0">
        <v>56</v>
      </c>
    </row>
    <row r="45" ht="17" customHeight="1">
      <c r="A45" s="6">
        <v>53</v>
      </c>
      <c r="B45" s="6" t="inlineStr">
        <is>
          <t>P032</t>
        </is>
      </c>
      <c r="C45" s="6" t="inlineStr">
        <is>
          <t>2026-10-02 16:37:51.137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H45" s="4">
        <v>30.08</v>
      </c>
      <c r="I45" s="4">
        <v>30.0353</v>
      </c>
      <c r="J45" s="4">
        <v>-0.0447</v>
      </c>
      <c r="K45" s="4">
        <v>0.0447</v>
      </c>
      <c r="P45" s="6">
        <v>58</v>
      </c>
    </row>
    <row r="46" ht="17" customHeight="1">
      <c r="A46" s="0">
        <v>54</v>
      </c>
      <c r="B46" s="0" t="inlineStr">
        <is>
          <t>P032</t>
        </is>
      </c>
      <c r="C46" s="0" t="inlineStr">
        <is>
          <t>2026-10-02 16:37:51.498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Hard</t>
        </is>
      </c>
      <c r="H46" s="4">
        <v>30.08</v>
      </c>
      <c r="P46" s="0">
        <v>59</v>
      </c>
    </row>
    <row r="47" ht="17" customHeight="1">
      <c r="A47" s="6">
        <v>55</v>
      </c>
      <c r="B47" s="6" t="inlineStr">
        <is>
          <t>P032</t>
        </is>
      </c>
      <c r="C47" s="6" t="inlineStr">
        <is>
          <t>2026-10-02 16:37:51.525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H47" s="4">
        <v>30.464</v>
      </c>
      <c r="I47" s="4">
        <v>30.4242</v>
      </c>
      <c r="J47" s="4">
        <v>-0.0398</v>
      </c>
      <c r="K47" s="4">
        <v>0.0398</v>
      </c>
      <c r="P47" s="6">
        <v>60</v>
      </c>
    </row>
    <row r="48" ht="17" customHeight="1">
      <c r="A48" s="0">
        <v>56</v>
      </c>
      <c r="B48" s="0" t="inlineStr">
        <is>
          <t>P032</t>
        </is>
      </c>
      <c r="C48" s="0" t="inlineStr">
        <is>
          <t>2026-10-02 16:37:51.915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30.848</v>
      </c>
      <c r="I48" s="4">
        <v>30.813</v>
      </c>
      <c r="J48" s="4">
        <v>-0.035</v>
      </c>
      <c r="K48" s="4">
        <v>0.035</v>
      </c>
      <c r="P48" s="0">
        <v>61</v>
      </c>
    </row>
    <row r="49" ht="17" customHeight="1">
      <c r="A49" s="6">
        <v>57</v>
      </c>
      <c r="B49" s="6" t="inlineStr">
        <is>
          <t>P032</t>
        </is>
      </c>
      <c r="C49" s="6" t="inlineStr">
        <is>
          <t>2026-10-02 16:37:52.275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Hard</t>
        </is>
      </c>
      <c r="H49" s="4">
        <v>30.848</v>
      </c>
      <c r="P49" s="6">
        <v>62</v>
      </c>
    </row>
    <row r="50" ht="17" customHeight="1">
      <c r="A50" s="0">
        <v>58</v>
      </c>
      <c r="B50" s="0" t="inlineStr">
        <is>
          <t>P032</t>
        </is>
      </c>
      <c r="C50" s="0" t="inlineStr">
        <is>
          <t>2026-10-02 16:37:55.149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Hard</t>
        </is>
      </c>
      <c r="H50" s="4">
        <v>33.92</v>
      </c>
      <c r="I50" s="4">
        <v>34.0331</v>
      </c>
      <c r="J50" s="4">
        <v>0.1131</v>
      </c>
      <c r="K50" s="4">
        <v>0.1131</v>
      </c>
      <c r="P50" s="0">
        <v>63</v>
      </c>
    </row>
    <row r="51" ht="17" customHeight="1">
      <c r="A51" s="6">
        <v>59</v>
      </c>
      <c r="B51" s="6" t="inlineStr">
        <is>
          <t>P032</t>
        </is>
      </c>
      <c r="C51" s="6" t="inlineStr">
        <is>
          <t>2026-10-02 16:37:57.289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Hard</t>
        </is>
      </c>
      <c r="H51" s="4">
        <v>36.224</v>
      </c>
      <c r="I51" s="4">
        <v>36.1725</v>
      </c>
      <c r="J51" s="4">
        <v>-0.0515</v>
      </c>
      <c r="K51" s="4">
        <v>0.0515</v>
      </c>
      <c r="P51" s="6">
        <v>64</v>
      </c>
    </row>
    <row r="52" ht="17" customHeight="1">
      <c r="A52" s="0">
        <v>60</v>
      </c>
      <c r="B52" s="0" t="inlineStr">
        <is>
          <t>P032</t>
        </is>
      </c>
      <c r="C52" s="0" t="inlineStr">
        <is>
          <t>2026-10-02 16:37:58.663</t>
        </is>
      </c>
      <c r="D52" s="0" t="inlineStr">
        <is>
          <t>Joaquin</t>
        </is>
      </c>
      <c r="E52" s="0" t="inlineStr">
        <is>
          <t>PlayerHit</t>
        </is>
      </c>
      <c r="F52" s="0" t="inlineStr">
        <is>
          <t>Failed</t>
        </is>
      </c>
      <c r="G52" s="0" t="inlineStr">
        <is>
          <t>Hard</t>
        </is>
      </c>
      <c r="H52" s="4">
        <v>37.5474</v>
      </c>
      <c r="P52" s="0">
        <v>65</v>
      </c>
    </row>
    <row r="53" ht="17" customHeight="1">
      <c r="A53" s="6">
        <v>61</v>
      </c>
      <c r="B53" s="6" t="inlineStr">
        <is>
          <t>P032</t>
        </is>
      </c>
      <c r="C53" s="6" t="inlineStr">
        <is>
          <t>2026-10-02 16:38:00.054</t>
        </is>
      </c>
      <c r="D53" s="6" t="inlineStr">
        <is>
          <t>Joaquin</t>
        </is>
      </c>
      <c r="E53" s="6" t="inlineStr">
        <is>
          <t>PlayerHit</t>
        </is>
      </c>
      <c r="F53" s="6" t="inlineStr">
        <is>
          <t>Failed</t>
        </is>
      </c>
      <c r="G53" s="6" t="inlineStr">
        <is>
          <t>Hard</t>
        </is>
      </c>
      <c r="H53" s="4">
        <v>38.9382</v>
      </c>
      <c r="P53" s="6">
        <v>66</v>
      </c>
    </row>
    <row r="54" ht="17" customHeight="1">
      <c r="A54" s="0">
        <v>62</v>
      </c>
      <c r="B54" s="0" t="inlineStr">
        <is>
          <t>P032</t>
        </is>
      </c>
      <c r="C54" s="0" t="inlineStr">
        <is>
          <t>2026-10-02 16:38:00.220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Hard</t>
        </is>
      </c>
      <c r="H54" s="4">
        <v>39.296</v>
      </c>
      <c r="I54" s="4">
        <v>39.1041</v>
      </c>
      <c r="J54" s="4">
        <v>-0.1919</v>
      </c>
      <c r="K54" s="4">
        <v>0.1919</v>
      </c>
      <c r="P54" s="0">
        <v>67</v>
      </c>
    </row>
    <row r="55" ht="17" customHeight="1">
      <c r="A55" s="6">
        <v>63</v>
      </c>
      <c r="B55" s="6" t="inlineStr">
        <is>
          <t>P032</t>
        </is>
      </c>
      <c r="C55" s="6" t="inlineStr">
        <is>
          <t>2026-10-02 16:38:00.761</t>
        </is>
      </c>
      <c r="D55" s="6" t="inlineStr">
        <is>
          <t>Joaquin</t>
        </is>
      </c>
      <c r="E55" s="6" t="inlineStr">
        <is>
          <t>PlayerHit</t>
        </is>
      </c>
      <c r="F55" s="6" t="inlineStr">
        <is>
          <t>Failed</t>
        </is>
      </c>
      <c r="G55" s="6" t="inlineStr">
        <is>
          <t>Hard</t>
        </is>
      </c>
      <c r="H55" s="4">
        <v>39.6454</v>
      </c>
      <c r="P55" s="6">
        <v>68</v>
      </c>
    </row>
    <row r="56" ht="17" customHeight="1">
      <c r="A56" s="0">
        <v>64</v>
      </c>
      <c r="B56" s="0" t="inlineStr">
        <is>
          <t>P032</t>
        </is>
      </c>
      <c r="C56" s="0" t="inlineStr">
        <is>
          <t>2026-10-02 16:38:00.914</t>
        </is>
      </c>
      <c r="D56" s="0" t="inlineStr">
        <is>
          <t>Joaquin</t>
        </is>
      </c>
      <c r="E56" s="0" t="inlineStr">
        <is>
          <t>PlayerHit</t>
        </is>
      </c>
      <c r="F56" s="0" t="inlineStr">
        <is>
          <t>Failed</t>
        </is>
      </c>
      <c r="G56" s="0" t="inlineStr">
        <is>
          <t>Hard</t>
        </is>
      </c>
      <c r="H56" s="4">
        <v>39.7982</v>
      </c>
      <c r="P56" s="0">
        <v>69</v>
      </c>
    </row>
    <row r="57" ht="17" customHeight="1">
      <c r="A57" s="6">
        <v>65</v>
      </c>
      <c r="B57" s="6" t="inlineStr">
        <is>
          <t>P032</t>
        </is>
      </c>
      <c r="C57" s="6" t="inlineStr">
        <is>
          <t>2026-10-02 16:38:02.274</t>
        </is>
      </c>
      <c r="D57" s="6" t="inlineStr">
        <is>
          <t>Joaquin</t>
        </is>
      </c>
      <c r="E57" s="6" t="inlineStr">
        <is>
          <t>PlayerHit</t>
        </is>
      </c>
      <c r="F57" s="6" t="inlineStr">
        <is>
          <t>Failed</t>
        </is>
      </c>
      <c r="G57" s="6" t="inlineStr">
        <is>
          <t>Hard</t>
        </is>
      </c>
      <c r="H57" s="4">
        <v>41.1583</v>
      </c>
      <c r="P57" s="6">
        <v>70</v>
      </c>
    </row>
    <row r="58" ht="17" customHeight="1">
      <c r="A58" s="0">
        <v>69</v>
      </c>
      <c r="B58" s="0" t="inlineStr">
        <is>
          <t>P032</t>
        </is>
      </c>
      <c r="C58" s="0" t="inlineStr">
        <is>
          <t>2026-10-02 16:38:02.816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H58" s="4">
        <v>41.6</v>
      </c>
      <c r="I58" s="4">
        <v>41.7003</v>
      </c>
      <c r="J58" s="4">
        <v>0.1003</v>
      </c>
      <c r="K58" s="4">
        <v>0.1003</v>
      </c>
      <c r="P58" s="0">
        <v>74</v>
      </c>
    </row>
    <row r="59" ht="17" customHeight="1">
      <c r="A59" s="6">
        <v>70</v>
      </c>
      <c r="B59" s="6" t="inlineStr">
        <is>
          <t>P032</t>
        </is>
      </c>
      <c r="C59" s="6" t="inlineStr">
        <is>
          <t>2026-10-02 16:38:05.135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H59" s="4">
        <v>43.904</v>
      </c>
      <c r="I59" s="4">
        <v>44.0198</v>
      </c>
      <c r="J59" s="4">
        <v>0.1158</v>
      </c>
      <c r="K59" s="4">
        <v>0.1158</v>
      </c>
      <c r="P59" s="6">
        <v>75</v>
      </c>
    </row>
    <row r="60" ht="17" customHeight="1">
      <c r="A60" s="0">
        <v>71</v>
      </c>
      <c r="B60" s="0" t="inlineStr">
        <is>
          <t>P032</t>
        </is>
      </c>
      <c r="C60" s="0" t="inlineStr">
        <is>
          <t>2026-10-02 16:38:05.427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Normal</t>
        </is>
      </c>
      <c r="H60" s="4">
        <v>44.3118</v>
      </c>
      <c r="P60" s="0">
        <v>76</v>
      </c>
    </row>
    <row r="61" ht="17" customHeight="1">
      <c r="A61" s="6">
        <v>72</v>
      </c>
      <c r="B61" s="6" t="inlineStr">
        <is>
          <t>P032</t>
        </is>
      </c>
      <c r="C61" s="6" t="inlineStr">
        <is>
          <t>2026-10-02 16:38:06.817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H61" s="4">
        <v>45.7011</v>
      </c>
      <c r="P61" s="6">
        <v>77</v>
      </c>
    </row>
    <row r="62" ht="17" customHeight="1">
      <c r="A62" s="0">
        <v>73</v>
      </c>
      <c r="B62" s="0" t="inlineStr">
        <is>
          <t>P032</t>
        </is>
      </c>
      <c r="C62" s="0" t="inlineStr">
        <is>
          <t>2026-10-02 16:38:07.038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Normal</t>
        </is>
      </c>
      <c r="H62" s="4">
        <v>45.9232</v>
      </c>
      <c r="P62" s="0">
        <v>78</v>
      </c>
    </row>
    <row r="63" ht="17" customHeight="1">
      <c r="A63" s="6">
        <v>77</v>
      </c>
      <c r="B63" s="6" t="inlineStr">
        <is>
          <t>P032</t>
        </is>
      </c>
      <c r="C63" s="6" t="inlineStr">
        <is>
          <t>2026-10-02 16:38:07.191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Easy</t>
        </is>
      </c>
      <c r="H63" s="4">
        <v>46.208</v>
      </c>
      <c r="I63" s="4">
        <v>46.0758</v>
      </c>
      <c r="J63" s="4">
        <v>-0.1322</v>
      </c>
      <c r="K63" s="4">
        <v>0.1322</v>
      </c>
      <c r="P63" s="6">
        <v>82</v>
      </c>
    </row>
    <row r="64" ht="17" customHeight="1">
      <c r="A64" s="0">
        <v>78</v>
      </c>
      <c r="B64" s="0" t="inlineStr">
        <is>
          <t>P032</t>
        </is>
      </c>
      <c r="C64" s="0" t="inlineStr">
        <is>
          <t>2026-10-02 16:38:11.954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Easy</t>
        </is>
      </c>
      <c r="H64" s="4">
        <v>50.816</v>
      </c>
      <c r="I64" s="4">
        <v>50.839</v>
      </c>
      <c r="J64" s="4">
        <v>0.023</v>
      </c>
      <c r="K64" s="4">
        <v>0.023</v>
      </c>
      <c r="P64" s="0">
        <v>83</v>
      </c>
    </row>
    <row r="65" ht="17" customHeight="1">
      <c r="A65" s="6">
        <v>79</v>
      </c>
      <c r="B65" s="6" t="inlineStr">
        <is>
          <t>P032</t>
        </is>
      </c>
      <c r="C65" s="6" t="inlineStr">
        <is>
          <t>2026-10-02 16:38:13.219</t>
        </is>
      </c>
      <c r="D65" s="6" t="inlineStr">
        <is>
          <t>Joaquin</t>
        </is>
      </c>
      <c r="E65" s="6" t="inlineStr">
        <is>
          <t>PlayerHit</t>
        </is>
      </c>
      <c r="F65" s="6" t="inlineStr">
        <is>
          <t>Failed</t>
        </is>
      </c>
      <c r="G65" s="6" t="inlineStr">
        <is>
          <t>Easy</t>
        </is>
      </c>
      <c r="H65" s="4">
        <v>52.1025</v>
      </c>
      <c r="P65" s="6">
        <v>84</v>
      </c>
    </row>
    <row r="66" ht="17" customHeight="1">
      <c r="A66" s="0">
        <v>80</v>
      </c>
      <c r="B66" s="0" t="inlineStr">
        <is>
          <t>P032</t>
        </is>
      </c>
      <c r="C66" s="0" t="inlineStr">
        <is>
          <t>2026-10-02 16:38:15.495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Easy</t>
        </is>
      </c>
      <c r="H66" s="4">
        <v>54.272</v>
      </c>
      <c r="I66" s="4">
        <v>54.3794</v>
      </c>
      <c r="J66" s="4">
        <v>0.1074</v>
      </c>
      <c r="K66" s="4">
        <v>0.1074</v>
      </c>
      <c r="P66" s="0">
        <v>85</v>
      </c>
    </row>
    <row r="67" ht="17" customHeight="1">
      <c r="A67" s="6">
        <v>81</v>
      </c>
      <c r="B67" s="6" t="inlineStr">
        <is>
          <t>P032</t>
        </is>
      </c>
      <c r="C67" s="6" t="inlineStr">
        <is>
          <t>2026-10-02 16:38:17.619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Easy</t>
        </is>
      </c>
      <c r="H67" s="4">
        <v>56.576</v>
      </c>
      <c r="I67" s="4">
        <v>56.5029</v>
      </c>
      <c r="J67" s="4">
        <v>-0.0731</v>
      </c>
      <c r="K67" s="4">
        <v>0.0731</v>
      </c>
      <c r="P67" s="6">
        <v>86</v>
      </c>
    </row>
    <row r="68" ht="17" customHeight="1">
      <c r="A68" s="0">
        <v>82</v>
      </c>
      <c r="B68" s="0" t="inlineStr">
        <is>
          <t>P032</t>
        </is>
      </c>
      <c r="C68" s="0" t="inlineStr">
        <is>
          <t>2026-10-02 16:38:19.952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Easy</t>
        </is>
      </c>
      <c r="H68" s="4">
        <v>58.88</v>
      </c>
      <c r="I68" s="4">
        <v>58.836</v>
      </c>
      <c r="J68" s="4">
        <v>-0.044</v>
      </c>
      <c r="K68" s="4">
        <v>0.044</v>
      </c>
      <c r="P68" s="0">
        <v>87</v>
      </c>
    </row>
    <row r="69" ht="17" customHeight="1">
      <c r="A69" s="6">
        <v>83</v>
      </c>
      <c r="B69" s="6" t="inlineStr">
        <is>
          <t>P032</t>
        </is>
      </c>
      <c r="C69" s="6" t="inlineStr">
        <is>
          <t>2026-10-02 16:38:22.937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Easy</t>
        </is>
      </c>
      <c r="H69" s="4">
        <v>61.952</v>
      </c>
      <c r="I69" s="4">
        <v>61.8216</v>
      </c>
      <c r="J69" s="4">
        <v>-0.1304</v>
      </c>
      <c r="K69" s="4">
        <v>0.1304</v>
      </c>
      <c r="P69" s="6">
        <v>88</v>
      </c>
    </row>
    <row r="70" ht="17" customHeight="1">
      <c r="A70" s="0">
        <v>85</v>
      </c>
      <c r="B70" s="0" t="inlineStr">
        <is>
          <t>P032</t>
        </is>
      </c>
      <c r="C70" s="0" t="inlineStr">
        <is>
          <t>2026-10-02 16:38:28.174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Easy</t>
        </is>
      </c>
      <c r="H70" s="4">
        <v>67.232</v>
      </c>
      <c r="I70" s="4">
        <v>67.0576</v>
      </c>
      <c r="J70" s="4">
        <v>-0.1744</v>
      </c>
      <c r="K70" s="4">
        <v>0.1744</v>
      </c>
      <c r="L70" s="4">
        <v>0.8816</v>
      </c>
      <c r="N70" s="4">
        <v>0.0</v>
      </c>
      <c r="P70" s="0">
        <v>90</v>
      </c>
    </row>
    <row r="71" ht="17" customHeight="1">
      <c r="A71" s="6">
        <v>87</v>
      </c>
      <c r="B71" s="6" t="inlineStr">
        <is>
          <t>P032</t>
        </is>
      </c>
      <c r="C71" s="6" t="inlineStr">
        <is>
          <t>2026-10-02 16:38:29.757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Success</t>
        </is>
      </c>
      <c r="G71" s="6" t="inlineStr">
        <is>
          <t>Easy</t>
        </is>
      </c>
      <c r="H71" s="4">
        <v>69.152</v>
      </c>
      <c r="I71" s="4">
        <v>68.6413</v>
      </c>
      <c r="J71" s="4">
        <v>-0.5107</v>
      </c>
      <c r="K71" s="4">
        <v>0.5107</v>
      </c>
      <c r="L71" s="4">
        <v>0.5453</v>
      </c>
      <c r="N71" s="4">
        <v>1.0</v>
      </c>
      <c r="P71" s="6">
        <v>92</v>
      </c>
    </row>
    <row r="72" ht="17" customHeight="1">
      <c r="A72" s="0">
        <v>88</v>
      </c>
      <c r="B72" s="0" t="inlineStr">
        <is>
          <t>P032</t>
        </is>
      </c>
      <c r="C72" s="0" t="inlineStr">
        <is>
          <t>2026-10-02 16:38:31.659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Success</t>
        </is>
      </c>
      <c r="G72" s="0" t="inlineStr">
        <is>
          <t>Easy</t>
        </is>
      </c>
      <c r="H72" s="4">
        <v>71.072</v>
      </c>
      <c r="I72" s="4">
        <v>70.5435</v>
      </c>
      <c r="J72" s="4">
        <v>-0.5285</v>
      </c>
      <c r="K72" s="4">
        <v>0.5285</v>
      </c>
      <c r="L72" s="4">
        <v>0.5275</v>
      </c>
      <c r="N72" s="4">
        <v>1.0</v>
      </c>
      <c r="P72" s="0">
        <v>93</v>
      </c>
    </row>
    <row r="73" ht="17" customHeight="1">
      <c r="A73" s="6">
        <v>89</v>
      </c>
      <c r="B73" s="6" t="inlineStr">
        <is>
          <t>P032</t>
        </is>
      </c>
      <c r="C73" s="6" t="inlineStr">
        <is>
          <t>2026-10-02 16:38:34.590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Easy</t>
        </is>
      </c>
      <c r="H73" s="4">
        <v>72.992</v>
      </c>
      <c r="P73" s="6">
        <v>94</v>
      </c>
    </row>
    <row r="74" ht="17" customHeight="1">
      <c r="A74" s="0">
        <v>90</v>
      </c>
      <c r="B74" s="0" t="inlineStr">
        <is>
          <t>P032</t>
        </is>
      </c>
      <c r="C74" s="0" t="inlineStr">
        <is>
          <t>2026-10-02 16:38:34.993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Easy</t>
        </is>
      </c>
      <c r="H74" s="4">
        <v>74.912</v>
      </c>
      <c r="P74" s="0">
        <v>95</v>
      </c>
    </row>
    <row r="75" ht="17" customHeight="1">
      <c r="A75" s="6">
        <v>92</v>
      </c>
      <c r="B75" s="6" t="inlineStr">
        <is>
          <t>P032</t>
        </is>
      </c>
      <c r="C75" s="6" t="inlineStr">
        <is>
          <t>2026-10-02 16:38:37.547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Success</t>
        </is>
      </c>
      <c r="G75" s="6" t="inlineStr">
        <is>
          <t>Easy</t>
        </is>
      </c>
      <c r="H75" s="4">
        <v>76.832</v>
      </c>
      <c r="I75" s="4">
        <v>76.4321</v>
      </c>
      <c r="J75" s="4">
        <v>-0.3999</v>
      </c>
      <c r="K75" s="4">
        <v>0.3999</v>
      </c>
      <c r="L75" s="4">
        <v>0.6561</v>
      </c>
      <c r="N75" s="4">
        <v>1.0</v>
      </c>
      <c r="P75" s="6">
        <v>97</v>
      </c>
    </row>
    <row r="76" ht="17" customHeight="1">
      <c r="A76" s="0">
        <v>93</v>
      </c>
      <c r="B76" s="0" t="inlineStr">
        <is>
          <t>P032</t>
        </is>
      </c>
      <c r="C76" s="0" t="inlineStr">
        <is>
          <t>2026-10-02 16:38:39.797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Easy</t>
        </is>
      </c>
      <c r="H76" s="4">
        <v>78.752</v>
      </c>
      <c r="P76" s="0">
        <v>98</v>
      </c>
    </row>
    <row r="77" ht="17" customHeight="1">
      <c r="A77" s="6">
        <v>94</v>
      </c>
      <c r="B77" s="6" t="inlineStr">
        <is>
          <t>P032</t>
        </is>
      </c>
      <c r="C77" s="6" t="inlineStr">
        <is>
          <t>2026-10-02 16:38:40.854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Failed</t>
        </is>
      </c>
      <c r="G77" s="6" t="inlineStr">
        <is>
          <t>Easy</t>
        </is>
      </c>
      <c r="H77" s="4">
        <v>80.672</v>
      </c>
      <c r="I77" s="4">
        <v>79.7381</v>
      </c>
      <c r="J77" s="4">
        <v>-0.9339</v>
      </c>
      <c r="K77" s="4">
        <v>0.9339</v>
      </c>
      <c r="L77" s="4">
        <v>0.1221</v>
      </c>
      <c r="N77" s="4">
        <v>0.0</v>
      </c>
      <c r="P77" s="6">
        <v>99</v>
      </c>
    </row>
    <row r="78" ht="17" customHeight="1">
      <c r="A78" s="0">
        <v>95</v>
      </c>
      <c r="B78" s="0" t="inlineStr">
        <is>
          <t>P032</t>
        </is>
      </c>
      <c r="C78" s="0" t="inlineStr">
        <is>
          <t>2026-10-02 16:38:43.493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Success</t>
        </is>
      </c>
      <c r="G78" s="0" t="inlineStr">
        <is>
          <t>Easy</t>
        </is>
      </c>
      <c r="H78" s="4">
        <v>82.592</v>
      </c>
      <c r="I78" s="4">
        <v>82.377</v>
      </c>
      <c r="J78" s="4">
        <v>-0.215</v>
      </c>
      <c r="K78" s="4">
        <v>0.215</v>
      </c>
      <c r="L78" s="4">
        <v>0.841</v>
      </c>
      <c r="N78" s="4">
        <v>1.0</v>
      </c>
      <c r="P78" s="0">
        <v>100</v>
      </c>
    </row>
    <row r="79" ht="17" customHeight="1">
      <c r="A79" s="6">
        <v>96</v>
      </c>
      <c r="B79" s="6" t="inlineStr">
        <is>
          <t>P032</t>
        </is>
      </c>
      <c r="C79" s="6" t="inlineStr">
        <is>
          <t>2026-10-02 16:38:45.215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Success</t>
        </is>
      </c>
      <c r="G79" s="6" t="inlineStr">
        <is>
          <t>Easy</t>
        </is>
      </c>
      <c r="H79" s="4">
        <v>84.512</v>
      </c>
      <c r="I79" s="4">
        <v>84.0987</v>
      </c>
      <c r="J79" s="4">
        <v>-0.4133</v>
      </c>
      <c r="K79" s="4">
        <v>0.4133</v>
      </c>
      <c r="L79" s="4">
        <v>0.6427</v>
      </c>
      <c r="N79" s="4">
        <v>1.0</v>
      </c>
      <c r="P79" s="6">
        <v>101</v>
      </c>
    </row>
    <row r="80" ht="17" customHeight="1">
      <c r="A80" s="0">
        <v>97</v>
      </c>
      <c r="B80" s="0" t="inlineStr">
        <is>
          <t>P032</t>
        </is>
      </c>
      <c r="C80" s="0" t="inlineStr">
        <is>
          <t>2026-10-02 16:38:47.173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Easy</t>
        </is>
      </c>
      <c r="H80" s="4">
        <v>86.432</v>
      </c>
      <c r="I80" s="4">
        <v>86.0567</v>
      </c>
      <c r="J80" s="4">
        <v>-0.3753</v>
      </c>
      <c r="K80" s="4">
        <v>0.3753</v>
      </c>
      <c r="L80" s="4">
        <v>0.6807</v>
      </c>
      <c r="N80" s="4">
        <v>1.0</v>
      </c>
      <c r="P80" s="0">
        <v>102</v>
      </c>
    </row>
    <row r="81" ht="17" customHeight="1">
      <c r="A81" s="6">
        <v>98</v>
      </c>
      <c r="B81" s="6" t="inlineStr">
        <is>
          <t>P032</t>
        </is>
      </c>
      <c r="C81" s="6" t="inlineStr">
        <is>
          <t>2026-10-02 16:38:50.338</t>
        </is>
      </c>
      <c r="D81" s="6" t="inlineStr">
        <is>
          <t>Shipi</t>
        </is>
      </c>
      <c r="E81" s="6" t="inlineStr">
        <is>
          <t>FoodClear</t>
        </is>
      </c>
      <c r="F81" s="6" t="inlineStr">
        <is>
          <t>Success</t>
        </is>
      </c>
      <c r="G81" s="6" t="inlineStr">
        <is>
          <t>Easy</t>
        </is>
      </c>
      <c r="H81" s="4">
        <v>88.352</v>
      </c>
      <c r="P81" s="6">
        <v>103</v>
      </c>
    </row>
    <row r="82" ht="17" customHeight="1">
      <c r="A82" s="0">
        <v>99</v>
      </c>
      <c r="B82" s="0" t="inlineStr">
        <is>
          <t>P032</t>
        </is>
      </c>
      <c r="C82" s="0" t="inlineStr">
        <is>
          <t>2026-10-02 16:38:51.060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Easy</t>
        </is>
      </c>
      <c r="H82" s="4">
        <v>90.272</v>
      </c>
      <c r="I82" s="4">
        <v>89.9444</v>
      </c>
      <c r="J82" s="4">
        <v>-0.3276</v>
      </c>
      <c r="K82" s="4">
        <v>0.3276</v>
      </c>
      <c r="L82" s="4">
        <v>0.7284</v>
      </c>
      <c r="N82" s="4">
        <v>1.0</v>
      </c>
      <c r="P82" s="0">
        <v>104</v>
      </c>
    </row>
    <row r="83" ht="17" customHeight="1">
      <c r="A83" s="6">
        <v>101</v>
      </c>
      <c r="B83" s="6" t="inlineStr">
        <is>
          <t>P032</t>
        </is>
      </c>
      <c r="C83" s="6" t="inlineStr">
        <is>
          <t>2026-10-02 16:38:53.101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Failed</t>
        </is>
      </c>
      <c r="G83" s="6" t="inlineStr">
        <is>
          <t>Easy</t>
        </is>
      </c>
      <c r="H83" s="4">
        <v>92.192</v>
      </c>
      <c r="I83" s="4">
        <v>91.9851</v>
      </c>
      <c r="J83" s="4">
        <v>-0.2069</v>
      </c>
      <c r="K83" s="4">
        <v>0.2069</v>
      </c>
      <c r="L83" s="4">
        <v>0.8491</v>
      </c>
      <c r="N83" s="4">
        <v>0.0</v>
      </c>
      <c r="P83" s="6">
        <v>106</v>
      </c>
    </row>
    <row r="84" ht="17" customHeight="1">
      <c r="A84" s="0">
        <v>102</v>
      </c>
      <c r="B84" s="0" t="inlineStr">
        <is>
          <t>P032</t>
        </is>
      </c>
      <c r="C84" s="0" t="inlineStr">
        <is>
          <t>2026-10-02 16:38:56.739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94.976</v>
      </c>
      <c r="I84" s="4">
        <v>94.512</v>
      </c>
      <c r="J84" s="4">
        <v>-0.464</v>
      </c>
      <c r="K84" s="4">
        <v>0.464</v>
      </c>
      <c r="N84" s="4">
        <v>0.0</v>
      </c>
      <c r="O84" s="0" t="b">
        <v>1</v>
      </c>
      <c r="P84" s="0">
        <v>107</v>
      </c>
    </row>
    <row r="85" ht="17" customHeight="1">
      <c r="A85" s="6">
        <v>103</v>
      </c>
      <c r="B85" s="6" t="inlineStr">
        <is>
          <t>P032</t>
        </is>
      </c>
      <c r="C85" s="6" t="inlineStr">
        <is>
          <t>2026-10-02 16:39:00.836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H85" s="4">
        <v>97.664</v>
      </c>
      <c r="I85" s="4">
        <v>99.6371</v>
      </c>
      <c r="J85" s="4">
        <v>1.9731</v>
      </c>
      <c r="K85" s="4">
        <v>1.9731</v>
      </c>
      <c r="N85" s="4">
        <v>1.0</v>
      </c>
      <c r="O85" s="6" t="b">
        <v>1</v>
      </c>
      <c r="P85" s="6">
        <v>108</v>
      </c>
    </row>
    <row r="86" ht="17" customHeight="1">
      <c r="A86" s="0">
        <v>104</v>
      </c>
      <c r="B86" s="0" t="inlineStr">
        <is>
          <t>P032</t>
        </is>
      </c>
      <c r="C86" s="0" t="inlineStr">
        <is>
          <t>2026-10-02 16:39:01.696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Success</t>
        </is>
      </c>
      <c r="G86" s="0" t="inlineStr">
        <is>
          <t>Easy</t>
        </is>
      </c>
      <c r="H86" s="4">
        <v>96.128</v>
      </c>
      <c r="I86" s="4">
        <v>100.3172</v>
      </c>
      <c r="J86" s="4">
        <v>4.1892</v>
      </c>
      <c r="K86" s="4">
        <v>4.1892</v>
      </c>
      <c r="N86" s="4">
        <v>1.0</v>
      </c>
      <c r="O86" s="0" t="b">
        <v>1</v>
      </c>
      <c r="P86" s="0">
        <v>109</v>
      </c>
    </row>
    <row r="87" ht="17" customHeight="1">
      <c r="A87" s="6">
        <v>105</v>
      </c>
      <c r="B87" s="6" t="inlineStr">
        <is>
          <t>P032</t>
        </is>
      </c>
      <c r="C87" s="6" t="inlineStr">
        <is>
          <t>2026-10-02 16:39:05.016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H87" s="4">
        <v>102.656</v>
      </c>
      <c r="I87" s="4">
        <v>103.8161</v>
      </c>
      <c r="J87" s="4">
        <v>1.1601</v>
      </c>
      <c r="K87" s="4">
        <v>1.1601</v>
      </c>
      <c r="N87" s="4">
        <v>0.0</v>
      </c>
      <c r="O87" s="6" t="b">
        <v>1</v>
      </c>
      <c r="P87" s="6">
        <v>110</v>
      </c>
    </row>
    <row r="88" ht="17" customHeight="1">
      <c r="A88" s="0">
        <v>106</v>
      </c>
      <c r="B88" s="0" t="inlineStr">
        <is>
          <t>P032</t>
        </is>
      </c>
      <c r="C88" s="0" t="inlineStr">
        <is>
          <t>2026-10-02 16:39:05.515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Success</t>
        </is>
      </c>
      <c r="G88" s="0" t="inlineStr">
        <is>
          <t>Easy</t>
        </is>
      </c>
      <c r="H88" s="4">
        <v>101.12</v>
      </c>
      <c r="I88" s="4">
        <v>104.1773</v>
      </c>
      <c r="J88" s="4">
        <v>3.0573</v>
      </c>
      <c r="K88" s="4">
        <v>3.0573</v>
      </c>
      <c r="N88" s="4">
        <v>1.0</v>
      </c>
      <c r="O88" s="0" t="b">
        <v>1</v>
      </c>
      <c r="P88" s="0">
        <v>111</v>
      </c>
    </row>
    <row r="89" ht="17" customHeight="1">
      <c r="A89" s="6">
        <v>107</v>
      </c>
      <c r="B89" s="6" t="inlineStr">
        <is>
          <t>P032</t>
        </is>
      </c>
      <c r="C89" s="6" t="inlineStr">
        <is>
          <t>2026-10-02 16:39:06.834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H89" s="4">
        <v>104.96</v>
      </c>
      <c r="I89" s="4">
        <v>105.5943</v>
      </c>
      <c r="J89" s="4">
        <v>0.6343</v>
      </c>
      <c r="K89" s="4">
        <v>0.6343</v>
      </c>
      <c r="N89" s="4">
        <v>0.0</v>
      </c>
      <c r="O89" s="6" t="b">
        <v>1</v>
      </c>
      <c r="P89" s="6">
        <v>112</v>
      </c>
    </row>
    <row r="90" ht="17" customHeight="1">
      <c r="A90" s="0">
        <v>108</v>
      </c>
      <c r="B90" s="0" t="inlineStr">
        <is>
          <t>P032</t>
        </is>
      </c>
      <c r="C90" s="0" t="inlineStr">
        <is>
          <t>2026-10-02 16:39:08.294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H90" s="4">
        <v>106.88</v>
      </c>
      <c r="I90" s="4">
        <v>106.4139</v>
      </c>
      <c r="J90" s="4">
        <v>-0.4661</v>
      </c>
      <c r="K90" s="4">
        <v>0.4661</v>
      </c>
      <c r="N90" s="4">
        <v>0.0</v>
      </c>
      <c r="O90" s="0" t="b">
        <v>1</v>
      </c>
      <c r="P90" s="0">
        <v>113</v>
      </c>
    </row>
    <row r="91" ht="17" customHeight="1">
      <c r="A91" s="6">
        <v>109</v>
      </c>
      <c r="B91" s="6" t="inlineStr">
        <is>
          <t>P032</t>
        </is>
      </c>
      <c r="C91" s="6" t="inlineStr">
        <is>
          <t>2026-10-02 16:39:09.418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H91" s="4">
        <v>108.032</v>
      </c>
      <c r="I91" s="4">
        <v>107.9835</v>
      </c>
      <c r="J91" s="4">
        <v>-0.0485</v>
      </c>
      <c r="K91" s="4">
        <v>0.0485</v>
      </c>
      <c r="N91" s="4">
        <v>0.0</v>
      </c>
      <c r="O91" s="6" t="b">
        <v>1</v>
      </c>
      <c r="P91" s="6">
        <v>114</v>
      </c>
    </row>
    <row r="92" ht="17" customHeight="1">
      <c r="A92" s="0">
        <v>111</v>
      </c>
      <c r="B92" s="0" t="inlineStr">
        <is>
          <t>P032</t>
        </is>
      </c>
      <c r="C92" s="0" t="inlineStr">
        <is>
          <t>2026-10-02 16:39:10.670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Success</t>
        </is>
      </c>
      <c r="G92" s="0" t="inlineStr">
        <is>
          <t>Easy</t>
        </is>
      </c>
      <c r="H92" s="4">
        <v>109.184</v>
      </c>
      <c r="I92" s="4">
        <v>109.4561</v>
      </c>
      <c r="J92" s="4">
        <v>0.2721</v>
      </c>
      <c r="K92" s="4">
        <v>0.2721</v>
      </c>
      <c r="N92" s="4">
        <v>1.0</v>
      </c>
      <c r="O92" s="0" t="b">
        <v>1</v>
      </c>
      <c r="P92" s="0">
        <v>116</v>
      </c>
    </row>
    <row r="93" ht="17" customHeight="1">
      <c r="A93" s="6">
        <v>112</v>
      </c>
      <c r="B93" s="6" t="inlineStr">
        <is>
          <t>P032</t>
        </is>
      </c>
      <c r="C93" s="6" t="inlineStr">
        <is>
          <t>2026-10-02 16:39:12.517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Success</t>
        </is>
      </c>
      <c r="G93" s="6" t="inlineStr">
        <is>
          <t>Easy</t>
        </is>
      </c>
      <c r="H93" s="4">
        <v>111.104</v>
      </c>
      <c r="I93" s="4">
        <v>111.2203</v>
      </c>
      <c r="J93" s="4">
        <v>0.1163</v>
      </c>
      <c r="K93" s="4">
        <v>0.1163</v>
      </c>
      <c r="N93" s="4">
        <v>1.0</v>
      </c>
      <c r="O93" s="6" t="b">
        <v>1</v>
      </c>
      <c r="P93" s="6">
        <v>117</v>
      </c>
    </row>
    <row r="94" ht="17" customHeight="1">
      <c r="A94" s="0">
        <v>113</v>
      </c>
      <c r="B94" s="0" t="inlineStr">
        <is>
          <t>P032</t>
        </is>
      </c>
      <c r="C94" s="0" t="inlineStr">
        <is>
          <t>2026-10-02 16:39:14.072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H94" s="4">
        <v>113.024</v>
      </c>
      <c r="I94" s="4">
        <v>112.7211</v>
      </c>
      <c r="J94" s="4">
        <v>-0.3029</v>
      </c>
      <c r="K94" s="4">
        <v>0.3029</v>
      </c>
      <c r="N94" s="4">
        <v>1.0</v>
      </c>
      <c r="O94" s="0" t="b">
        <v>0</v>
      </c>
      <c r="P94" s="0">
        <v>118</v>
      </c>
    </row>
    <row r="95" ht="17" customHeight="1">
      <c r="A95" s="6">
        <v>114</v>
      </c>
      <c r="B95" s="6" t="inlineStr">
        <is>
          <t>P032</t>
        </is>
      </c>
      <c r="C95" s="6" t="inlineStr">
        <is>
          <t>2026-10-02 16:39:14.974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Easy</t>
        </is>
      </c>
      <c r="H95" s="4">
        <v>113.792</v>
      </c>
      <c r="I95" s="4">
        <v>113.7622</v>
      </c>
      <c r="J95" s="4">
        <v>-0.0298</v>
      </c>
      <c r="K95" s="4">
        <v>0.0298</v>
      </c>
      <c r="N95" s="4">
        <v>0.0</v>
      </c>
      <c r="O95" s="6" t="b">
        <v>1</v>
      </c>
      <c r="P95" s="6">
        <v>119</v>
      </c>
    </row>
    <row r="96" ht="17" customHeight="1">
      <c r="A96" s="0">
        <v>115</v>
      </c>
      <c r="B96" s="0" t="inlineStr">
        <is>
          <t>P032</t>
        </is>
      </c>
      <c r="C96" s="0" t="inlineStr">
        <is>
          <t>2026-10-02 16:39:18.321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H96" s="4">
        <v>116.096</v>
      </c>
      <c r="I96" s="4">
        <v>116.6918</v>
      </c>
      <c r="J96" s="4">
        <v>0.5958</v>
      </c>
      <c r="K96" s="4">
        <v>0.5958</v>
      </c>
      <c r="N96" s="4">
        <v>0.0</v>
      </c>
      <c r="O96" s="0" t="b">
        <v>1</v>
      </c>
      <c r="P96" s="0">
        <v>120</v>
      </c>
    </row>
    <row r="97" ht="17" customHeight="1">
      <c r="A97" s="6">
        <v>116</v>
      </c>
      <c r="B97" s="6" t="inlineStr">
        <is>
          <t>P032</t>
        </is>
      </c>
      <c r="C97" s="6" t="inlineStr">
        <is>
          <t>2026-10-02 16:39:19.876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H97" s="4">
        <v>118.4</v>
      </c>
      <c r="I97" s="4">
        <v>118.677</v>
      </c>
      <c r="J97" s="4">
        <v>0.277</v>
      </c>
      <c r="K97" s="4">
        <v>0.277</v>
      </c>
      <c r="N97" s="4">
        <v>1.0</v>
      </c>
      <c r="O97" s="6" t="b">
        <v>0</v>
      </c>
      <c r="P97" s="6">
        <v>121</v>
      </c>
    </row>
    <row r="98" ht="17" customHeight="1">
      <c r="A98" s="0">
        <v>117</v>
      </c>
      <c r="B98" s="0" t="inlineStr">
        <is>
          <t>P032</t>
        </is>
      </c>
      <c r="C98" s="0" t="inlineStr">
        <is>
          <t>2026-10-02 16:39:20.348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Easy</t>
        </is>
      </c>
      <c r="H98" s="4">
        <v>117.248</v>
      </c>
      <c r="I98" s="4">
        <v>118.9962</v>
      </c>
      <c r="J98" s="4">
        <v>1.7482</v>
      </c>
      <c r="K98" s="4">
        <v>1.7482</v>
      </c>
      <c r="N98" s="4">
        <v>0.0</v>
      </c>
      <c r="O98" s="0" t="b">
        <v>0</v>
      </c>
      <c r="P98" s="0">
        <v>122</v>
      </c>
    </row>
    <row r="99" ht="17" customHeight="1">
      <c r="A99" s="6">
        <v>118</v>
      </c>
      <c r="B99" s="6" t="inlineStr">
        <is>
          <t>P032</t>
        </is>
      </c>
      <c r="C99" s="6" t="inlineStr">
        <is>
          <t>2026-10-02 16:39:22.056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Success</t>
        </is>
      </c>
      <c r="G99" s="6" t="inlineStr">
        <is>
          <t>Easy</t>
        </is>
      </c>
      <c r="H99" s="4">
        <v>119.936</v>
      </c>
      <c r="I99" s="4">
        <v>119.9543</v>
      </c>
      <c r="J99" s="4">
        <v>0.0183</v>
      </c>
      <c r="K99" s="4">
        <v>0.0183</v>
      </c>
      <c r="N99" s="4">
        <v>1.0</v>
      </c>
      <c r="O99" s="6" t="b">
        <v>1</v>
      </c>
      <c r="P99" s="6">
        <v>123</v>
      </c>
    </row>
    <row r="100" ht="17" customHeight="1">
      <c r="A100" s="0">
        <v>119</v>
      </c>
      <c r="B100" s="0" t="inlineStr">
        <is>
          <t>P032</t>
        </is>
      </c>
      <c r="C100" s="0" t="inlineStr">
        <is>
          <t>2026-10-02 16:39:25.277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H100" s="4">
        <v>123.392</v>
      </c>
      <c r="I100" s="4">
        <v>123.3839</v>
      </c>
      <c r="J100" s="4">
        <v>-0.0081</v>
      </c>
      <c r="K100" s="4">
        <v>0.0081</v>
      </c>
      <c r="N100" s="4">
        <v>1.0</v>
      </c>
      <c r="O100" s="0" t="b">
        <v>1</v>
      </c>
      <c r="P100" s="0">
        <v>124</v>
      </c>
    </row>
    <row r="101" ht="17" customHeight="1">
      <c r="A101" s="6">
        <v>120</v>
      </c>
      <c r="B101" s="6" t="inlineStr">
        <is>
          <t>P032</t>
        </is>
      </c>
      <c r="C101" s="6" t="inlineStr">
        <is>
          <t>2026-10-02 16:39:27.150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H101" s="4">
        <v>125.696</v>
      </c>
      <c r="I101" s="4">
        <v>125.8675</v>
      </c>
      <c r="J101" s="4">
        <v>0.1715</v>
      </c>
      <c r="K101" s="4">
        <v>0.1715</v>
      </c>
      <c r="P101" s="6">
        <v>125</v>
      </c>
    </row>
    <row r="102" ht="17" customHeight="1">
      <c r="A102" s="0">
        <v>122</v>
      </c>
      <c r="B102" s="0" t="inlineStr">
        <is>
          <t>P032</t>
        </is>
      </c>
      <c r="C102" s="0" t="inlineStr">
        <is>
          <t>2026-10-02 16:39:28.553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Success</t>
        </is>
      </c>
      <c r="G102" s="0" t="inlineStr">
        <is>
          <t>Easy</t>
        </is>
      </c>
      <c r="H102" s="4">
        <v>126.848</v>
      </c>
      <c r="I102" s="4">
        <v>126.8958</v>
      </c>
      <c r="J102" s="4">
        <v>0.0478</v>
      </c>
      <c r="K102" s="4">
        <v>0.0478</v>
      </c>
      <c r="P102" s="0">
        <v>127</v>
      </c>
    </row>
    <row r="103" ht="17" customHeight="1">
      <c r="A103" s="6">
        <v>123</v>
      </c>
      <c r="B103" s="6" t="inlineStr">
        <is>
          <t>P032</t>
        </is>
      </c>
      <c r="C103" s="6" t="inlineStr">
        <is>
          <t>2026-10-02 16:39:29.151</t>
        </is>
      </c>
      <c r="D103" s="6" t="inlineStr">
        <is>
          <t>Danniel</t>
        </is>
      </c>
      <c r="E103" s="6" t="inlineStr">
        <is>
          <t>PlayerHit</t>
        </is>
      </c>
      <c r="F103" s="6" t="inlineStr">
        <is>
          <t>Failed</t>
        </is>
      </c>
      <c r="G103" s="6" t="inlineStr">
        <is>
          <t>Easy</t>
        </is>
      </c>
      <c r="H103" s="4">
        <v>128.0346</v>
      </c>
      <c r="P103" s="6">
        <v>128</v>
      </c>
    </row>
    <row r="104" ht="17" customHeight="1">
      <c r="A104" s="0">
        <v>124</v>
      </c>
      <c r="B104" s="0" t="inlineStr">
        <is>
          <t>P032</t>
        </is>
      </c>
      <c r="C104" s="0" t="inlineStr">
        <is>
          <t>2026-10-02 16:39:29.289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Failed</t>
        </is>
      </c>
      <c r="G104" s="0" t="inlineStr">
        <is>
          <t>Easy</t>
        </is>
      </c>
      <c r="H104" s="4">
        <v>128.1735</v>
      </c>
      <c r="P104" s="0">
        <v>129</v>
      </c>
    </row>
    <row r="105" ht="17" customHeight="1">
      <c r="A105" s="6">
        <v>125</v>
      </c>
      <c r="B105" s="6" t="inlineStr">
        <is>
          <t>P032</t>
        </is>
      </c>
      <c r="C105" s="6" t="inlineStr">
        <is>
          <t>2026-10-02 16:39:31.900</t>
        </is>
      </c>
      <c r="D105" s="6" t="inlineStr">
        <is>
          <t>Danniel</t>
        </is>
      </c>
      <c r="E105" s="6" t="inlineStr">
        <is>
          <t>PlayerHit</t>
        </is>
      </c>
      <c r="F105" s="6" t="inlineStr">
        <is>
          <t>Failed</t>
        </is>
      </c>
      <c r="G105" s="6" t="inlineStr">
        <is>
          <t>Easy</t>
        </is>
      </c>
      <c r="H105" s="4">
        <v>130.784</v>
      </c>
      <c r="P105" s="6">
        <v>130</v>
      </c>
    </row>
    <row r="106" ht="17" customHeight="1">
      <c r="A106" s="0">
        <v>127</v>
      </c>
      <c r="B106" s="0" t="inlineStr">
        <is>
          <t>P032</t>
        </is>
      </c>
      <c r="C106" s="0" t="inlineStr">
        <is>
          <t>2026-10-02 16:39:32.497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Success</t>
        </is>
      </c>
      <c r="G106" s="0" t="inlineStr">
        <is>
          <t>Easy</t>
        </is>
      </c>
      <c r="H106" s="4">
        <v>130.688</v>
      </c>
      <c r="I106" s="4">
        <v>130.7282</v>
      </c>
      <c r="J106" s="4">
        <v>0.0402</v>
      </c>
      <c r="K106" s="4">
        <v>0.0402</v>
      </c>
      <c r="P106" s="0">
        <v>132</v>
      </c>
    </row>
    <row r="107" ht="17" customHeight="1">
      <c r="A107" s="6">
        <v>128</v>
      </c>
      <c r="B107" s="6" t="inlineStr">
        <is>
          <t>P032</t>
        </is>
      </c>
      <c r="C107" s="6" t="inlineStr">
        <is>
          <t>2026-10-02 16:39:34.775</t>
        </is>
      </c>
      <c r="D107" s="6" t="inlineStr">
        <is>
          <t>Danniel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Easy</t>
        </is>
      </c>
      <c r="H107" s="4">
        <v>133.6593</v>
      </c>
      <c r="P107" s="6">
        <v>133</v>
      </c>
    </row>
    <row r="108" ht="17" customHeight="1">
      <c r="A108" s="0">
        <v>129</v>
      </c>
      <c r="B108" s="0" t="inlineStr">
        <is>
          <t>P032</t>
        </is>
      </c>
      <c r="C108" s="0" t="inlineStr">
        <is>
          <t>2026-10-02 16:39:36.595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Failed</t>
        </is>
      </c>
      <c r="G108" s="0" t="inlineStr">
        <is>
          <t>Easy</t>
        </is>
      </c>
      <c r="H108" s="4">
        <v>135.479</v>
      </c>
      <c r="P108" s="0">
        <v>134</v>
      </c>
    </row>
    <row r="109" ht="17" customHeight="1">
      <c r="A109" s="6">
        <v>130</v>
      </c>
      <c r="B109" s="6" t="inlineStr">
        <is>
          <t>P032</t>
        </is>
      </c>
      <c r="C109" s="6" t="inlineStr">
        <is>
          <t>2026-10-02 16:39:36.651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Success</t>
        </is>
      </c>
      <c r="G109" s="6" t="inlineStr">
        <is>
          <t>Easy</t>
        </is>
      </c>
      <c r="H109" s="4">
        <v>134.912</v>
      </c>
      <c r="I109" s="4">
        <v>134.7987</v>
      </c>
      <c r="J109" s="4">
        <v>-0.1133</v>
      </c>
      <c r="K109" s="4">
        <v>0.1133</v>
      </c>
      <c r="P109" s="6">
        <v>135</v>
      </c>
    </row>
    <row r="110" ht="17" customHeight="1">
      <c r="A110" s="0">
        <v>131</v>
      </c>
      <c r="B110" s="0" t="inlineStr">
        <is>
          <t>P032</t>
        </is>
      </c>
      <c r="C110" s="0" t="inlineStr">
        <is>
          <t>2026-10-02 16:39:38.817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H110" s="4">
        <v>136.832</v>
      </c>
      <c r="I110" s="4">
        <v>136.9653</v>
      </c>
      <c r="J110" s="4">
        <v>0.1333</v>
      </c>
      <c r="K110" s="4">
        <v>0.1333</v>
      </c>
      <c r="P110" s="0">
        <v>136</v>
      </c>
    </row>
    <row r="111" ht="17" customHeight="1">
      <c r="A111" s="6">
        <v>132</v>
      </c>
      <c r="B111" s="6" t="inlineStr">
        <is>
          <t>P032</t>
        </is>
      </c>
      <c r="C111" s="6" t="inlineStr">
        <is>
          <t>2026-10-02 16:39:41.734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Success</t>
        </is>
      </c>
      <c r="G111" s="6" t="inlineStr">
        <is>
          <t>Easy</t>
        </is>
      </c>
      <c r="H111" s="4">
        <v>139.904</v>
      </c>
      <c r="I111" s="4">
        <v>140.0481</v>
      </c>
      <c r="J111" s="4">
        <v>0.1441</v>
      </c>
      <c r="K111" s="4">
        <v>0.1441</v>
      </c>
      <c r="P111" s="6">
        <v>137</v>
      </c>
    </row>
    <row r="112" ht="17" customHeight="1">
      <c r="A112" s="0">
        <v>133</v>
      </c>
      <c r="B112" s="0" t="inlineStr">
        <is>
          <t>P032</t>
        </is>
      </c>
      <c r="C112" s="0" t="inlineStr">
        <is>
          <t>2026-10-02 16:39:42.330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Failed</t>
        </is>
      </c>
      <c r="G112" s="0" t="inlineStr">
        <is>
          <t>Easy</t>
        </is>
      </c>
      <c r="H112" s="4">
        <v>141.2146</v>
      </c>
      <c r="P112" s="0">
        <v>138</v>
      </c>
    </row>
    <row r="113" ht="17" customHeight="1">
      <c r="A113" s="6">
        <v>134</v>
      </c>
      <c r="B113" s="6" t="inlineStr">
        <is>
          <t>P032</t>
        </is>
      </c>
      <c r="C113" s="6" t="inlineStr">
        <is>
          <t>2026-10-02 16:39:43.400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Success</t>
        </is>
      </c>
      <c r="G113" s="6" t="inlineStr">
        <is>
          <t>Easy</t>
        </is>
      </c>
      <c r="H113" s="4">
        <v>141.44</v>
      </c>
      <c r="I113" s="4">
        <v>141.5341</v>
      </c>
      <c r="J113" s="4">
        <v>0.0941</v>
      </c>
      <c r="K113" s="4">
        <v>0.0941</v>
      </c>
      <c r="P113" s="6">
        <v>139</v>
      </c>
    </row>
    <row r="114" ht="17" customHeight="1">
      <c r="A114" s="0">
        <v>135</v>
      </c>
      <c r="B114" s="0" t="inlineStr">
        <is>
          <t>P032</t>
        </is>
      </c>
      <c r="C114" s="0" t="inlineStr">
        <is>
          <t>2026-10-02 16:39:47.496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Failed</t>
        </is>
      </c>
      <c r="G114" s="0" t="inlineStr">
        <is>
          <t>Easy</t>
        </is>
      </c>
      <c r="H114" s="4">
        <v>146.3802</v>
      </c>
      <c r="P114" s="0">
        <v>140</v>
      </c>
    </row>
    <row r="115" ht="17" customHeight="1">
      <c r="A115" s="6">
        <v>136</v>
      </c>
      <c r="B115" s="6" t="inlineStr">
        <is>
          <t>P032</t>
        </is>
      </c>
      <c r="C115" s="6" t="inlineStr">
        <is>
          <t>2026-10-02 16:39:48.356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Success</t>
        </is>
      </c>
      <c r="G115" s="6" t="inlineStr">
        <is>
          <t>Easy</t>
        </is>
      </c>
      <c r="H115" s="4">
        <v>146.048</v>
      </c>
      <c r="I115" s="4">
        <v>146.1855</v>
      </c>
      <c r="J115" s="4">
        <v>0.1375</v>
      </c>
      <c r="K115" s="4">
        <v>0.1375</v>
      </c>
      <c r="P115" s="6">
        <v>141</v>
      </c>
    </row>
    <row r="116" ht="17" customHeight="1">
      <c r="A116" s="0">
        <v>137</v>
      </c>
      <c r="B116" s="0" t="inlineStr">
        <is>
          <t>P032</t>
        </is>
      </c>
      <c r="C116" s="0" t="inlineStr">
        <is>
          <t>2026-10-02 16:39:52.800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H116" s="4">
        <v>151.04</v>
      </c>
      <c r="I116" s="4">
        <v>151.0729</v>
      </c>
      <c r="J116" s="4">
        <v>0.0329</v>
      </c>
      <c r="K116" s="4">
        <v>0.0329</v>
      </c>
      <c r="P116" s="0">
        <v>142</v>
      </c>
    </row>
    <row r="117" ht="17" customHeight="1">
      <c r="A117" s="6">
        <v>139</v>
      </c>
      <c r="B117" s="6" t="inlineStr">
        <is>
          <t>P032</t>
        </is>
      </c>
      <c r="C117" s="6" t="inlineStr">
        <is>
          <t>2026-10-02 16:39:53.341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H117" s="4">
        <v>152.2251</v>
      </c>
      <c r="P117" s="6">
        <v>144</v>
      </c>
    </row>
    <row r="118" ht="17" customHeight="1">
      <c r="A118" s="0">
        <v>140</v>
      </c>
      <c r="B118" s="0" t="inlineStr">
        <is>
          <t>P032</t>
        </is>
      </c>
      <c r="C118" s="0" t="inlineStr">
        <is>
          <t>2026-10-02 16:39:54.035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Missed</t>
        </is>
      </c>
      <c r="G118" s="0" t="inlineStr">
        <is>
          <t>Easy</t>
        </is>
      </c>
      <c r="H118" s="4">
        <v>152.9198</v>
      </c>
      <c r="P118" s="0">
        <v>145</v>
      </c>
    </row>
    <row r="119" ht="17" customHeight="1">
      <c r="A119" s="6">
        <v>141</v>
      </c>
      <c r="B119" s="6" t="inlineStr">
        <is>
          <t>P032</t>
        </is>
      </c>
      <c r="C119" s="6" t="inlineStr">
        <is>
          <t>2026-10-02 16:39:54.813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152.576</v>
      </c>
      <c r="I119" s="4">
        <v>152.6001</v>
      </c>
      <c r="J119" s="4">
        <v>0.0241</v>
      </c>
      <c r="K119" s="4">
        <v>0.0241</v>
      </c>
      <c r="P119" s="6">
        <v>146</v>
      </c>
    </row>
    <row r="120" ht="17" customHeight="1">
      <c r="A120" s="0">
        <v>142</v>
      </c>
      <c r="B120" s="0" t="inlineStr">
        <is>
          <t>P032</t>
        </is>
      </c>
      <c r="C120" s="0" t="inlineStr">
        <is>
          <t>2026-10-02 16:39:56.521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Success</t>
        </is>
      </c>
      <c r="G120" s="0" t="inlineStr">
        <is>
          <t>Easy</t>
        </is>
      </c>
      <c r="H120" s="4">
        <v>154.496</v>
      </c>
      <c r="I120" s="4">
        <v>154.4742</v>
      </c>
      <c r="J120" s="4">
        <v>-0.0218</v>
      </c>
      <c r="K120" s="4">
        <v>0.0218</v>
      </c>
      <c r="P120" s="0">
        <v>147</v>
      </c>
    </row>
    <row r="121" ht="17" customHeight="1">
      <c r="A121" s="6">
        <v>144</v>
      </c>
      <c r="B121" s="6" t="inlineStr">
        <is>
          <t>P032</t>
        </is>
      </c>
      <c r="C121" s="6" t="inlineStr">
        <is>
          <t>2026-10-02 16:40:06.315</t>
        </is>
      </c>
      <c r="D121" s="6" t="inlineStr">
        <is>
          <t>Jeremy</t>
        </is>
      </c>
      <c r="E121" s="6" t="inlineStr">
        <is>
          <t>SwordCut</t>
        </is>
      </c>
      <c r="F121" s="6" t="inlineStr">
        <is>
          <t>Success</t>
        </is>
      </c>
      <c r="G121" s="6" t="inlineStr">
        <is>
          <t>Easy</t>
        </is>
      </c>
      <c r="H121" s="4">
        <v>165.4073</v>
      </c>
      <c r="I121" s="4">
        <v>165.1986</v>
      </c>
      <c r="J121" s="4">
        <v>-0.2087</v>
      </c>
      <c r="K121" s="4">
        <v>0.2087</v>
      </c>
      <c r="N121" s="4">
        <v>1.0</v>
      </c>
      <c r="O121" s="6" t="b">
        <v>1</v>
      </c>
      <c r="P121" s="6">
        <v>149</v>
      </c>
    </row>
    <row r="122" ht="17" customHeight="1">
      <c r="A122" s="0">
        <v>146</v>
      </c>
      <c r="B122" s="0" t="inlineStr">
        <is>
          <t>P032</t>
        </is>
      </c>
      <c r="C122" s="0" t="inlineStr">
        <is>
          <t>2026-10-02 16:40:09.118</t>
        </is>
      </c>
      <c r="D122" s="0" t="inlineStr">
        <is>
          <t>Jeremy</t>
        </is>
      </c>
      <c r="E122" s="0" t="inlineStr">
        <is>
          <t>SwordCut</t>
        </is>
      </c>
      <c r="F122" s="0" t="inlineStr">
        <is>
          <t>Failed</t>
        </is>
      </c>
      <c r="G122" s="0" t="inlineStr">
        <is>
          <t>Easy</t>
        </is>
      </c>
      <c r="H122" s="4">
        <v>167.7061</v>
      </c>
      <c r="I122" s="4">
        <v>168.0033</v>
      </c>
      <c r="J122" s="4">
        <v>0.2972</v>
      </c>
      <c r="K122" s="4">
        <v>0.2972</v>
      </c>
      <c r="N122" s="4">
        <v>0.0</v>
      </c>
      <c r="O122" s="0" t="b">
        <v>1</v>
      </c>
      <c r="P122" s="0">
        <v>151</v>
      </c>
    </row>
    <row r="123" ht="17" customHeight="1">
      <c r="A123" s="6">
        <v>147</v>
      </c>
      <c r="B123" s="6" t="inlineStr">
        <is>
          <t>P032</t>
        </is>
      </c>
      <c r="C123" s="6" t="inlineStr">
        <is>
          <t>2026-10-02 16:40:10.937</t>
        </is>
      </c>
      <c r="D123" s="6" t="inlineStr">
        <is>
          <t>Jeremy</t>
        </is>
      </c>
      <c r="E123" s="6" t="inlineStr">
        <is>
          <t>SwordCut</t>
        </is>
      </c>
      <c r="F123" s="6" t="inlineStr">
        <is>
          <t>Success</t>
        </is>
      </c>
      <c r="G123" s="6" t="inlineStr">
        <is>
          <t>Easy</t>
        </is>
      </c>
      <c r="H123" s="4">
        <v>170.0049</v>
      </c>
      <c r="I123" s="4">
        <v>169.8226</v>
      </c>
      <c r="J123" s="4">
        <v>-0.1823</v>
      </c>
      <c r="K123" s="4">
        <v>0.1823</v>
      </c>
      <c r="N123" s="4">
        <v>1.0</v>
      </c>
      <c r="O123" s="6" t="b">
        <v>1</v>
      </c>
      <c r="P123" s="6">
        <v>152</v>
      </c>
    </row>
    <row r="124" ht="17" customHeight="1">
      <c r="A124" s="0">
        <v>148</v>
      </c>
      <c r="B124" s="0" t="inlineStr">
        <is>
          <t>P032</t>
        </is>
      </c>
      <c r="C124" s="0" t="inlineStr">
        <is>
          <t>2026-10-02 16:40:13.256</t>
        </is>
      </c>
      <c r="D124" s="0" t="inlineStr">
        <is>
          <t>Jeremy</t>
        </is>
      </c>
      <c r="E124" s="0" t="inlineStr">
        <is>
          <t>SwordCut</t>
        </is>
      </c>
      <c r="F124" s="0" t="inlineStr">
        <is>
          <t>Success</t>
        </is>
      </c>
      <c r="G124" s="0" t="inlineStr">
        <is>
          <t>Easy</t>
        </is>
      </c>
      <c r="H124" s="4">
        <v>172.3037</v>
      </c>
      <c r="I124" s="4">
        <v>172.1417</v>
      </c>
      <c r="J124" s="4">
        <v>-0.162</v>
      </c>
      <c r="K124" s="4">
        <v>0.162</v>
      </c>
      <c r="N124" s="4">
        <v>1.0</v>
      </c>
      <c r="O124" s="0" t="b">
        <v>1</v>
      </c>
      <c r="P124" s="0">
        <v>153</v>
      </c>
    </row>
    <row r="125" ht="17" customHeight="1">
      <c r="A125" s="6">
        <v>149</v>
      </c>
      <c r="B125" s="6" t="inlineStr">
        <is>
          <t>P032</t>
        </is>
      </c>
      <c r="C125" s="6" t="inlineStr">
        <is>
          <t>2026-10-02 16:40:15.673</t>
        </is>
      </c>
      <c r="D125" s="6" t="inlineStr">
        <is>
          <t>Jeremy</t>
        </is>
      </c>
      <c r="E125" s="6" t="inlineStr">
        <is>
          <t>SwordCut</t>
        </is>
      </c>
      <c r="F125" s="6" t="inlineStr">
        <is>
          <t>Failed</t>
        </is>
      </c>
      <c r="G125" s="6" t="inlineStr">
        <is>
          <t>Easy</t>
        </is>
      </c>
      <c r="H125" s="4">
        <v>174.6024</v>
      </c>
      <c r="I125" s="4">
        <v>174.5577</v>
      </c>
      <c r="J125" s="4">
        <v>-0.0448</v>
      </c>
      <c r="K125" s="4">
        <v>0.0448</v>
      </c>
      <c r="N125" s="4">
        <v>0.0</v>
      </c>
      <c r="O125" s="6" t="b">
        <v>1</v>
      </c>
      <c r="P125" s="6">
        <v>154</v>
      </c>
    </row>
    <row r="126" ht="17" customHeight="1">
      <c r="A126" s="0">
        <v>150</v>
      </c>
      <c r="B126" s="0" t="inlineStr">
        <is>
          <t>P032</t>
        </is>
      </c>
      <c r="C126" s="0" t="inlineStr">
        <is>
          <t>2026-10-02 16:40:18.021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Failed</t>
        </is>
      </c>
      <c r="G126" s="0" t="inlineStr">
        <is>
          <t>Easy</t>
        </is>
      </c>
      <c r="H126" s="4">
        <v>176.9012</v>
      </c>
      <c r="I126" s="4">
        <v>176.9052</v>
      </c>
      <c r="J126" s="4">
        <v>0.0039</v>
      </c>
      <c r="K126" s="4">
        <v>0.0039</v>
      </c>
      <c r="N126" s="4">
        <v>0.0</v>
      </c>
      <c r="O126" s="0" t="b">
        <v>1</v>
      </c>
      <c r="P126" s="0">
        <v>155</v>
      </c>
    </row>
    <row r="127" ht="17" customHeight="1">
      <c r="A127" s="6">
        <v>151</v>
      </c>
      <c r="B127" s="6" t="inlineStr">
        <is>
          <t>P032</t>
        </is>
      </c>
      <c r="C127" s="6" t="inlineStr">
        <is>
          <t>2026-10-02 16:40:20.951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Missed</t>
        </is>
      </c>
      <c r="G127" s="6" t="inlineStr">
        <is>
          <t>Easy</t>
        </is>
      </c>
      <c r="H127" s="4">
        <v>179.2</v>
      </c>
      <c r="P127" s="6">
        <v>156</v>
      </c>
    </row>
    <row r="128" ht="17" customHeight="1">
      <c r="A128" s="0">
        <v>153</v>
      </c>
      <c r="B128" s="0" t="inlineStr">
        <is>
          <t>P032</t>
        </is>
      </c>
      <c r="C128" s="0" t="inlineStr">
        <is>
          <t>2026-10-02 16:40:22.533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Failed</t>
        </is>
      </c>
      <c r="G128" s="0" t="inlineStr">
        <is>
          <t>Easy</t>
        </is>
      </c>
      <c r="H128" s="4">
        <v>181.4988</v>
      </c>
      <c r="I128" s="4">
        <v>181.4174</v>
      </c>
      <c r="J128" s="4">
        <v>-0.0814</v>
      </c>
      <c r="K128" s="4">
        <v>0.0814</v>
      </c>
      <c r="N128" s="4">
        <v>1.0</v>
      </c>
      <c r="O128" s="0" t="b">
        <v>0</v>
      </c>
      <c r="P128" s="0">
        <v>158</v>
      </c>
    </row>
  </sheetData>
  <autoFilter ref="A1:P128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14</v>
      </c>
      <c r="B2" s="0" t="inlineStr">
        <is>
          <t>2026-10-02 16:37:25.796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19</v>
      </c>
    </row>
    <row r="3" ht="17" customHeight="1">
      <c r="A3" s="6">
        <v>43</v>
      </c>
      <c r="B3" s="6" t="inlineStr">
        <is>
          <t>2026-10-02 16:37:46.556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48</v>
      </c>
    </row>
    <row r="4" ht="17" customHeight="1">
      <c r="A4" s="0">
        <v>52</v>
      </c>
      <c r="B4" s="0" t="inlineStr">
        <is>
          <t>2026-10-02 16:37:50.401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1.0</v>
      </c>
      <c r="I4" s="0">
        <v>57</v>
      </c>
    </row>
    <row r="5" ht="17" customHeight="1">
      <c r="A5" s="6">
        <v>67</v>
      </c>
      <c r="B5" s="6" t="inlineStr">
        <is>
          <t>2026-10-02 16:38:02.275</t>
        </is>
      </c>
      <c r="C5" s="6" t="inlineStr">
        <is>
          <t>Joaquin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0.43</v>
      </c>
      <c r="I5" s="6">
        <v>72</v>
      </c>
    </row>
    <row r="6" ht="17" customHeight="1">
      <c r="A6" s="0">
        <v>75</v>
      </c>
      <c r="B6" s="0" t="inlineStr">
        <is>
          <t>2026-10-02 16:38:07.040</t>
        </is>
      </c>
      <c r="C6" s="0" t="inlineStr">
        <is>
          <t>Joaquin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0.5</v>
      </c>
      <c r="I6" s="0">
        <v>80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16:37:21.116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16:37:22.032</t>
        </is>
      </c>
      <c r="C3" s="6" t="inlineStr">
        <is>
          <t>Engaged</t>
        </is>
      </c>
      <c r="D3" s="6">
        <v>8</v>
      </c>
    </row>
    <row r="4" ht="17" customHeight="1">
      <c r="A4" s="0">
        <v>13</v>
      </c>
      <c r="B4" s="0" t="inlineStr">
        <is>
          <t>2026-10-02 16:37:25.796</t>
        </is>
      </c>
      <c r="C4" s="0" t="inlineStr">
        <is>
          <t>Overloaded</t>
        </is>
      </c>
      <c r="D4" s="0">
        <v>18</v>
      </c>
    </row>
    <row r="5" ht="17" customHeight="1">
      <c r="A5" s="6">
        <v>15</v>
      </c>
      <c r="B5" s="6" t="inlineStr">
        <is>
          <t>2026-10-02 16:37:25.809</t>
        </is>
      </c>
      <c r="C5" s="6" t="inlineStr">
        <is>
          <t>Engaged</t>
        </is>
      </c>
      <c r="D5" s="6">
        <v>20</v>
      </c>
    </row>
    <row r="6" ht="17" customHeight="1">
      <c r="A6" s="0">
        <v>21</v>
      </c>
      <c r="B6" s="0" t="inlineStr">
        <is>
          <t>2026-10-02 16:37:29.697</t>
        </is>
      </c>
      <c r="C6" s="0" t="inlineStr">
        <is>
          <t>Overloaded</t>
        </is>
      </c>
      <c r="D6" s="0">
        <v>26</v>
      </c>
    </row>
    <row r="7" ht="17" customHeight="1">
      <c r="A7" s="6">
        <v>39</v>
      </c>
      <c r="B7" s="6" t="inlineStr">
        <is>
          <t>2026-10-02 16:37:45.017</t>
        </is>
      </c>
      <c r="C7" s="6" t="inlineStr">
        <is>
          <t>Engaged</t>
        </is>
      </c>
      <c r="D7" s="6">
        <v>44</v>
      </c>
    </row>
    <row r="8" ht="17" customHeight="1">
      <c r="A8" s="0">
        <v>66</v>
      </c>
      <c r="B8" s="0" t="inlineStr">
        <is>
          <t>2026-10-02 16:38:02.275</t>
        </is>
      </c>
      <c r="C8" s="0" t="inlineStr">
        <is>
          <t>Overloaded</t>
        </is>
      </c>
      <c r="D8" s="0">
        <v>71</v>
      </c>
    </row>
    <row r="9" ht="17" customHeight="1">
      <c r="A9" s="6">
        <v>68</v>
      </c>
      <c r="B9" s="6" t="inlineStr">
        <is>
          <t>2026-10-02 16:38:02.288</t>
        </is>
      </c>
      <c r="C9" s="6" t="inlineStr">
        <is>
          <t>Engaged</t>
        </is>
      </c>
      <c r="D9" s="6">
        <v>73</v>
      </c>
    </row>
    <row r="10" ht="17" customHeight="1">
      <c r="A10" s="0">
        <v>74</v>
      </c>
      <c r="B10" s="0" t="inlineStr">
        <is>
          <t>2026-10-02 16:38:07.040</t>
        </is>
      </c>
      <c r="C10" s="0" t="inlineStr">
        <is>
          <t>Overloaded</t>
        </is>
      </c>
      <c r="D10" s="0">
        <v>79</v>
      </c>
    </row>
    <row r="11" ht="17" customHeight="1">
      <c r="A11" s="6">
        <v>76</v>
      </c>
      <c r="B11" s="6" t="inlineStr">
        <is>
          <t>2026-10-02 16:38:07.053</t>
        </is>
      </c>
      <c r="C11" s="6" t="inlineStr">
        <is>
          <t>Engaged</t>
        </is>
      </c>
      <c r="D11" s="6">
        <v>81</v>
      </c>
    </row>
    <row r="12" ht="17" customHeight="1">
      <c r="A12" s="0">
        <v>84</v>
      </c>
      <c r="B12" s="0" t="inlineStr">
        <is>
          <t>2026-10-02 16:38:27.937</t>
        </is>
      </c>
      <c r="C12" s="0" t="inlineStr">
        <is>
          <t>Idle</t>
        </is>
      </c>
      <c r="D12" s="0">
        <v>89</v>
      </c>
    </row>
    <row r="13" ht="17" customHeight="1">
      <c r="A13" s="6">
        <v>86</v>
      </c>
      <c r="B13" s="6" t="inlineStr">
        <is>
          <t>2026-10-02 16:38:28.174</t>
        </is>
      </c>
      <c r="C13" s="6" t="inlineStr">
        <is>
          <t>Engaged</t>
        </is>
      </c>
      <c r="D13" s="6">
        <v>91</v>
      </c>
    </row>
    <row r="14" ht="17" customHeight="1">
      <c r="A14" s="0">
        <v>91</v>
      </c>
      <c r="B14" s="0" t="inlineStr">
        <is>
          <t>2026-10-02 16:38:34.993</t>
        </is>
      </c>
      <c r="C14" s="0" t="inlineStr">
        <is>
          <t>Overloaded</t>
        </is>
      </c>
      <c r="D14" s="0">
        <v>96</v>
      </c>
    </row>
    <row r="15" ht="17" customHeight="1">
      <c r="A15" s="6">
        <v>100</v>
      </c>
      <c r="B15" s="6" t="inlineStr">
        <is>
          <t>2026-10-02 16:38:51.061</t>
        </is>
      </c>
      <c r="C15" s="6" t="inlineStr">
        <is>
          <t>Engaged</t>
        </is>
      </c>
      <c r="D15" s="6">
        <v>105</v>
      </c>
    </row>
    <row r="16" ht="17" customHeight="1">
      <c r="A16" s="0">
        <v>110</v>
      </c>
      <c r="B16" s="0" t="inlineStr">
        <is>
          <t>2026-10-02 16:39:09.420</t>
        </is>
      </c>
      <c r="C16" s="0" t="inlineStr">
        <is>
          <t>Overloaded</t>
        </is>
      </c>
      <c r="D16" s="0">
        <v>115</v>
      </c>
    </row>
    <row r="17" ht="17" customHeight="1">
      <c r="A17" s="6">
        <v>121</v>
      </c>
      <c r="B17" s="6" t="inlineStr">
        <is>
          <t>2026-10-02 16:39:27.151</t>
        </is>
      </c>
      <c r="C17" s="6" t="inlineStr">
        <is>
          <t>Engaged</t>
        </is>
      </c>
      <c r="D17" s="6">
        <v>126</v>
      </c>
    </row>
    <row r="18" ht="17" customHeight="1">
      <c r="A18" s="0">
        <v>126</v>
      </c>
      <c r="B18" s="0" t="inlineStr">
        <is>
          <t>2026-10-02 16:39:31.901</t>
        </is>
      </c>
      <c r="C18" s="0" t="inlineStr">
        <is>
          <t>Overloaded</t>
        </is>
      </c>
      <c r="D18" s="0">
        <v>131</v>
      </c>
    </row>
    <row r="19" ht="17" customHeight="1">
      <c r="A19" s="6">
        <v>138</v>
      </c>
      <c r="B19" s="6" t="inlineStr">
        <is>
          <t>2026-10-02 16:39:52.800</t>
        </is>
      </c>
      <c r="C19" s="6" t="inlineStr">
        <is>
          <t>Engaged</t>
        </is>
      </c>
      <c r="D19" s="6">
        <v>143</v>
      </c>
    </row>
    <row r="20" ht="17" customHeight="1">
      <c r="A20" s="0">
        <v>143</v>
      </c>
      <c r="B20" s="0" t="inlineStr">
        <is>
          <t>2026-10-02 16:40:01.507</t>
        </is>
      </c>
      <c r="C20" s="0" t="inlineStr">
        <is>
          <t>Idle</t>
        </is>
      </c>
      <c r="D20" s="0">
        <v>148</v>
      </c>
    </row>
    <row r="21" ht="17" customHeight="1">
      <c r="A21" s="6">
        <v>145</v>
      </c>
      <c r="B21" s="6" t="inlineStr">
        <is>
          <t>2026-10-02 16:40:06.315</t>
        </is>
      </c>
      <c r="C21" s="6" t="inlineStr">
        <is>
          <t>Engaged</t>
        </is>
      </c>
      <c r="D21" s="6">
        <v>150</v>
      </c>
    </row>
    <row r="22" ht="17" customHeight="1">
      <c r="A22" s="0">
        <v>152</v>
      </c>
      <c r="B22" s="0" t="inlineStr">
        <is>
          <t>2026-10-02 16:40:20.951</t>
        </is>
      </c>
      <c r="C22" s="0" t="inlineStr">
        <is>
          <t>Overloaded</t>
        </is>
      </c>
      <c r="D22" s="0">
        <v>157</v>
      </c>
    </row>
    <row r="23" ht="17" customHeight="1">
      <c r="A23" s="6">
        <v>154</v>
      </c>
      <c r="B23" s="6" t="inlineStr">
        <is>
          <t>2026-10-02 16:40:27.531</t>
        </is>
      </c>
      <c r="C23" s="6" t="inlineStr">
        <is>
          <t>Idle</t>
        </is>
      </c>
      <c r="D23" s="6">
        <v>159</v>
      </c>
    </row>
  </sheetData>
  <autoFilter ref="A1:D23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5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16:37:21.116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16:37:21.116 | PlayerState: Idle</t>
        </is>
      </c>
    </row>
    <row r="3" ht="17" customHeight="1">
      <c r="A3" s="6">
        <v>2</v>
      </c>
      <c r="B3" s="6" t="inlineStr">
        <is>
          <t>2026-10-02 16:37:22.031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16:37:22.031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16:37:22.032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16:37:22.032 | PlayerState: Engaged</t>
        </is>
      </c>
    </row>
    <row r="5" ht="17" customHeight="1">
      <c r="A5" s="6">
        <v>4</v>
      </c>
      <c r="B5" s="6" t="inlineStr">
        <is>
          <t>2026-10-02 16:37:22.754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0.0124</v>
      </c>
      <c r="M5" s="6">
        <v>9</v>
      </c>
      <c r="N5" s="6" t="inlineStr">
        <is>
          <t>2026-10-02 16:37:22.754 | Minigame: Alex | Type: HammerHit | Outcome: Success | Difficulty: Normal | ExpectedTime: 1.6640 | ActualTime: 1.6516 | TimingOffset: -0.0124 | TimingError: 0.0124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16:37:22.767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0.0019</v>
      </c>
      <c r="M6" s="0">
        <v>10</v>
      </c>
      <c r="N6" s="0" t="inlineStr">
        <is>
          <t>2026-10-02 16:37:22.767 | Minigame: Alex | Type: HammerHit | Outcome: Failed | Difficulty: Normal | ExpectedTime: 1.6640 | ActualTime: 1.6659 | TimingOffset: 0.0019 | TimingError: 0.0019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16:37:23.559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0.0253</v>
      </c>
      <c r="M7" s="6">
        <v>11</v>
      </c>
      <c r="N7" s="6" t="inlineStr">
        <is>
          <t>2026-10-02 16:37:23.559 | Minigame: Alex | Type: HammerHit | Outcome: Success | Difficulty: Normal | ExpectedTime: 2.4320 | ActualTime: 2.4573 | TimingOffset: 0.0253 | TimingError: 0.0253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16:37:24.267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Failed</t>
        </is>
      </c>
      <c r="G8" s="0" t="inlineStr">
        <is>
          <t>Normal</t>
        </is>
      </c>
      <c r="K8" s="4">
        <v>0.0341</v>
      </c>
      <c r="M8" s="0">
        <v>12</v>
      </c>
      <c r="N8" s="0" t="inlineStr">
        <is>
          <t>2026-10-02 16:37:24.267 | Minigame: Alex | Type: HammerHit | Outcome: Failed | Difficulty: Normal | ExpectedTime: 3.2000 | ActualTime: 3.1659 | TimingOffset: -0.0341 | TimingError: 0.0341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16:37:24.629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16:37:24.629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16:37:25.072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M10" s="0">
        <v>14</v>
      </c>
      <c r="N10" s="0" t="inlineStr">
        <is>
          <t>2026-10-02 16:37:25.072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16:37:25.391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Normal</t>
        </is>
      </c>
      <c r="M11" s="6">
        <v>15</v>
      </c>
      <c r="N11" s="6" t="inlineStr">
        <is>
          <t>2026-10-02 16:37:25.391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16:37:25.796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K12" s="4">
        <v>0.0427</v>
      </c>
      <c r="M12" s="0">
        <v>16</v>
      </c>
      <c r="N12" s="0" t="inlineStr">
        <is>
          <t>2026-10-02 16:37:25.796 | Minigame: Alex | Type: HammerHit | Outcome: Success | Difficulty: Normal | ExpectedTime: 4.7360 | ActualTime: 4.6933 | TimingOffset: -0.0427 | TimingError: 0.0427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16:37:25.796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Normal</t>
        </is>
      </c>
      <c r="K13" s="4">
        <v>0.0427</v>
      </c>
      <c r="M13" s="6">
        <v>17</v>
      </c>
      <c r="N13" s="6" t="inlineStr">
        <is>
          <t>2026-10-02 16:37:25.796 | Minigame: Alex | Type: HammerHit | Outcome: Failed | Difficulty: Normal | ExpectedTime: 4.7360 | ActualTime: 4.6933 | TimingOffset: -0.0427 | TimingError: 0.0427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16:37:25.796</t>
        </is>
      </c>
      <c r="C14" s="0" t="inlineStr">
        <is>
          <t>PlayerState</t>
        </is>
      </c>
      <c r="H14" s="0" t="inlineStr">
        <is>
          <t>Overloaded</t>
        </is>
      </c>
      <c r="M14" s="0">
        <v>18</v>
      </c>
      <c r="N14" s="0" t="inlineStr">
        <is>
          <t>2026-10-02 16:37:25.796 | PlayerState: Overloaded</t>
        </is>
      </c>
    </row>
    <row r="15" ht="17" customHeight="1">
      <c r="A15" s="6">
        <v>14</v>
      </c>
      <c r="B15" s="6" t="inlineStr">
        <is>
          <t>2026-10-02 16:37:25.796</t>
        </is>
      </c>
      <c r="C15" s="6" t="inlineStr">
        <is>
          <t>DifficultyChanged</t>
        </is>
      </c>
      <c r="D15" s="6" t="inlineStr">
        <is>
          <t>Alex</t>
        </is>
      </c>
      <c r="I15" s="6" t="inlineStr">
        <is>
          <t>Normal -&gt; Easy</t>
        </is>
      </c>
      <c r="J15" s="6" t="inlineStr">
        <is>
          <t>PlayerState: Overloaded</t>
        </is>
      </c>
      <c r="M15" s="6">
        <v>19</v>
      </c>
      <c r="N15" s="6" t="inlineStr">
        <is>
          <t>2026-10-02 16:37:25.796 | DifficultyChanged: Normal -&gt; Easy | Reason: PlayerState: Overloaded | Minigame: Alex | RecentSuccessRate: 0.50</t>
        </is>
      </c>
    </row>
    <row r="16" ht="17" customHeight="1">
      <c r="A16" s="0">
        <v>15</v>
      </c>
      <c r="B16" s="0" t="inlineStr">
        <is>
          <t>2026-10-02 16:37:25.809</t>
        </is>
      </c>
      <c r="C16" s="0" t="inlineStr">
        <is>
          <t>PlayerState</t>
        </is>
      </c>
      <c r="H16" s="0" t="inlineStr">
        <is>
          <t>Engaged</t>
        </is>
      </c>
      <c r="M16" s="0">
        <v>20</v>
      </c>
      <c r="N16" s="0" t="inlineStr">
        <is>
          <t>2026-10-02 16:37:25.809 | PlayerState: Engaged</t>
        </is>
      </c>
    </row>
    <row r="17" ht="17" customHeight="1">
      <c r="A17" s="6">
        <v>16</v>
      </c>
      <c r="B17" s="6" t="inlineStr">
        <is>
          <t>2026-10-02 16:37:26.573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Easy</t>
        </is>
      </c>
      <c r="K17" s="4">
        <v>0.0467</v>
      </c>
      <c r="M17" s="6">
        <v>21</v>
      </c>
      <c r="N17" s="6" t="inlineStr">
        <is>
          <t>2026-10-02 16:37:26.573 | Minigame: Alex | Type: HammerHit | Outcome: Failed | Difficulty: Easy | ExpectedTime: 5.5040 | ActualTime: 5.4573 | TimingOffset: -0.0467 | TimingError: 0.0467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16:37:28.155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Failed</t>
        </is>
      </c>
      <c r="G18" s="0" t="inlineStr">
        <is>
          <t>Easy</t>
        </is>
      </c>
      <c r="M18" s="0">
        <v>22</v>
      </c>
      <c r="N18" s="0" t="inlineStr">
        <is>
          <t>2026-10-02 16:37:28.155 | Minigame: Alex | Type: HammerTouch | Outcome: Failed | Difficulty: Easy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16:37:28.461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Easy</t>
        </is>
      </c>
      <c r="M19" s="6">
        <v>23</v>
      </c>
      <c r="N19" s="6" t="inlineStr">
        <is>
          <t>2026-10-02 16:37:28.461 | Minigame: Alex | Type: HammerTouch | Outcome: Missed | Difficulty: Easy | ExpectedTime: 7.0400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16:37:29.656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K20" s="4">
        <v>0.0225</v>
      </c>
      <c r="M20" s="0">
        <v>24</v>
      </c>
      <c r="N20" s="0" t="inlineStr">
        <is>
          <t>2026-10-02 16:37:29.656 | Minigame: Alex | Type: HammerHit | Outcome: Success | Difficulty: Easy | ExpectedTime: 8.5760 | ActualTime: 8.5535 | TimingOffset: -0.0225 | TimingError: 0.0225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16:37:29.697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M21" s="6">
        <v>25</v>
      </c>
      <c r="N21" s="6" t="inlineStr">
        <is>
          <t>2026-10-02 16:37:29.697 | Minigame: Alex | Type: HammerHit | Outcome: Success | Difficulty: Easy | ExpectedTime: 8.5760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16:37:29.697</t>
        </is>
      </c>
      <c r="C22" s="0" t="inlineStr">
        <is>
          <t>PlayerState</t>
        </is>
      </c>
      <c r="H22" s="0" t="inlineStr">
        <is>
          <t>Overloaded</t>
        </is>
      </c>
      <c r="M22" s="0">
        <v>26</v>
      </c>
      <c r="N22" s="0" t="inlineStr">
        <is>
          <t>2026-10-02 16:37:29.697 | PlayerState: Overloaded</t>
        </is>
      </c>
    </row>
    <row r="23" ht="17" customHeight="1">
      <c r="A23" s="6">
        <v>22</v>
      </c>
      <c r="B23" s="6" t="inlineStr">
        <is>
          <t>2026-10-02 16:37:31.183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K23" s="4">
        <v>0.0315</v>
      </c>
      <c r="M23" s="6">
        <v>27</v>
      </c>
      <c r="N23" s="6" t="inlineStr">
        <is>
          <t>2026-10-02 16:37:31.183 | Minigame: Alex | Type: HammerHit | Outcome: Success | Difficulty: Easy | ExpectedTime: 10.1120 | ActualTime: 10.0805 | TimingOffset: -0.0315 | TimingError: 0.0315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16:37:31.197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K24" s="4">
        <v>0.0174</v>
      </c>
      <c r="M24" s="0">
        <v>28</v>
      </c>
      <c r="N24" s="0" t="inlineStr">
        <is>
          <t>2026-10-02 16:37:31.197 | Minigame: Alex | Type: HammerHit | Outcome: Success | Difficulty: Easy | ExpectedTime: 10.1120 | ActualTime: 10.0946 | TimingOffset: -0.0174 | TimingError: 0.0174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16:37:32.710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K25" s="4">
        <v>0.0543</v>
      </c>
      <c r="M25" s="6">
        <v>29</v>
      </c>
      <c r="N25" s="6" t="inlineStr">
        <is>
          <t>2026-10-02 16:37:32.710 | Minigame: Alex | Type: HammerHit | Outcome: Failed | Difficulty: Easy | ExpectedTime: 11.6480 | ActualTime: 11.5937 | TimingOffset: -0.0543 | TimingError: 0.0543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16:37:32.724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M26" s="0">
        <v>30</v>
      </c>
      <c r="N26" s="0" t="inlineStr">
        <is>
          <t>2026-10-02 16:37:32.724 | Minigame: Alex | Type: HammerHit | Outcome: Success | Difficulty: Easy | ExpectedTime: 11.6480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16:37:34.209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K27" s="4">
        <v>0.0766</v>
      </c>
      <c r="M27" s="6">
        <v>31</v>
      </c>
      <c r="N27" s="6" t="inlineStr">
        <is>
          <t>2026-10-02 16:37:34.209 | Minigame: Alex | Type: HammerHit | Outcome: Failed | Difficulty: Easy | ExpectedTime: 13.1840 | ActualTime: 13.1074 | TimingOffset: -0.0766 | TimingError: 0.0766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16:37:34.251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K28" s="4">
        <v>0.0349</v>
      </c>
      <c r="M28" s="0">
        <v>32</v>
      </c>
      <c r="N28" s="0" t="inlineStr">
        <is>
          <t>2026-10-02 16:37:34.251 | Minigame: Alex | Type: HammerHit | Outcome: Failed | Difficulty: Easy | ExpectedTime: 13.1840 | ActualTime: 13.1491 | TimingOffset: -0.0349 | TimingError: 0.0349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16:37:35.779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K29" s="4">
        <v>0.0566</v>
      </c>
      <c r="M29" s="6">
        <v>33</v>
      </c>
      <c r="N29" s="6" t="inlineStr">
        <is>
          <t>2026-10-02 16:37:35.779 | Minigame: Alex | Type: HammerHit | Outcome: Failed | Difficulty: Easy | ExpectedTime: 14.7200 | ActualTime: 14.6634 | TimingOffset: -0.0566 | TimingError: 0.0566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16:37:35.780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Failed</t>
        </is>
      </c>
      <c r="G30" s="0" t="inlineStr">
        <is>
          <t>Easy</t>
        </is>
      </c>
      <c r="M30" s="0">
        <v>34</v>
      </c>
      <c r="N30" s="0" t="inlineStr">
        <is>
          <t>2026-10-02 16:37:35.780 | Minigame: Alex | Type: HammerTouch | Outcome: Failed | Difficulty: Easy | ExpectedTime: 14.7200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16:37:37.335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Failed</t>
        </is>
      </c>
      <c r="G31" s="6" t="inlineStr">
        <is>
          <t>Easy</t>
        </is>
      </c>
      <c r="M31" s="6">
        <v>35</v>
      </c>
      <c r="N31" s="6" t="inlineStr">
        <is>
          <t>2026-10-02 16:37:37.335 | Minigame: Alex | Type: HammerTouch | Outcome: Failed | Difficulty: Easy | ExpectedTime: 16.2560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16:37:37.336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Easy</t>
        </is>
      </c>
      <c r="M32" s="0">
        <v>36</v>
      </c>
      <c r="N32" s="0" t="inlineStr">
        <is>
          <t>2026-10-02 16:37:37.336 | Minigame: Alex | Type: HammerTouch | Outcome: Success | Difficulty: Easy | ExpectedTime: 16.2560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16:37:38.877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K33" s="4">
        <v>0.0167</v>
      </c>
      <c r="M33" s="6">
        <v>37</v>
      </c>
      <c r="N33" s="6" t="inlineStr">
        <is>
          <t>2026-10-02 16:37:38.877 | Minigame: Alex | Type: HammerHit | Outcome: Success | Difficulty: Easy | ExpectedTime: 17.7920 | ActualTime: 17.7753 | TimingOffset: -0.0167 | TimingError: 0.0167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16:37:40.418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K34" s="4">
        <v>0.0116</v>
      </c>
      <c r="M34" s="0">
        <v>38</v>
      </c>
      <c r="N34" s="0" t="inlineStr">
        <is>
          <t>2026-10-02 16:37:40.418 | Minigame: Alex | Type: HammerHit | Outcome: Failed | Difficulty: Easy | ExpectedTime: 19.3280 | ActualTime: 19.3164 | TimingOffset: -0.0116 | TimingError: 0.0116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16:37:40.418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0.0116</v>
      </c>
      <c r="M35" s="6">
        <v>39</v>
      </c>
      <c r="N35" s="6" t="inlineStr">
        <is>
          <t>2026-10-02 16:37:40.418 | Minigame: Alex | Type: HammerHit | Outcome: Success | Difficulty: Easy | ExpectedTime: 19.3280 | ActualTime: 19.3164 | TimingOffset: -0.0116 | TimingError: 0.0116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16:37:41.959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0.02</v>
      </c>
      <c r="M36" s="0">
        <v>40</v>
      </c>
      <c r="N36" s="0" t="inlineStr">
        <is>
          <t>2026-10-02 16:37:41.959 | Minigame: Alex | Type: HammerHit | Outcome: Failed | Difficulty: Easy | ExpectedTime: 20.8640 | ActualTime: 20.8440 | TimingOffset: -0.0200 | TimingError: 0.0200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16:37:43.474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0.0285</v>
      </c>
      <c r="M37" s="6">
        <v>41</v>
      </c>
      <c r="N37" s="6" t="inlineStr">
        <is>
          <t>2026-10-02 16:37:43.474 | Minigame: Alex | Type: HammerHit | Outcome: Success | Difficulty: Easy | ExpectedTime: 22.4000 | ActualTime: 22.3715 | TimingOffset: -0.0285 | TimingError: 0.0285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16:37:43.487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K38" s="4">
        <v>0.0144</v>
      </c>
      <c r="M38" s="0">
        <v>42</v>
      </c>
      <c r="N38" s="0" t="inlineStr">
        <is>
          <t>2026-10-02 16:37:43.487 | Minigame: Alex | Type: HammerHit | Outcome: Success | Difficulty: Easy | ExpectedTime: 22.4000 | ActualTime: 22.3856 | TimingOffset: -0.0144 | TimingError: 0.0144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16:37:45.016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0.0216</v>
      </c>
      <c r="M39" s="6">
        <v>43</v>
      </c>
      <c r="N39" s="6" t="inlineStr">
        <is>
          <t>2026-10-02 16:37:45.016 | Minigame: Alex | Type: HammerHit | Outcome: Success | Difficulty: Easy | ExpectedTime: 23.9360 | ActualTime: 23.9144 | TimingOffset: -0.0216 | TimingError: 0.0216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16:37:45.017</t>
        </is>
      </c>
      <c r="C40" s="0" t="inlineStr">
        <is>
          <t>PlayerState</t>
        </is>
      </c>
      <c r="H40" s="0" t="inlineStr">
        <is>
          <t>Engaged</t>
        </is>
      </c>
      <c r="M40" s="0">
        <v>44</v>
      </c>
      <c r="N40" s="0" t="inlineStr">
        <is>
          <t>2026-10-02 16:37:45.017 | PlayerState: Engaged</t>
        </is>
      </c>
    </row>
    <row r="41" ht="17" customHeight="1">
      <c r="A41" s="6">
        <v>40</v>
      </c>
      <c r="B41" s="6" t="inlineStr">
        <is>
          <t>2026-10-02 16:37:45.029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M41" s="6">
        <v>45</v>
      </c>
      <c r="N41" s="6" t="inlineStr">
        <is>
          <t>2026-10-02 16:37:45.029 | Minigame: Alex | Type: HammerHit | Outcome: Success | Difficulty: Easy | ExpectedTime: 23.9360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16:37:46.556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0.0184</v>
      </c>
      <c r="M42" s="0">
        <v>46</v>
      </c>
      <c r="N42" s="0" t="inlineStr">
        <is>
          <t>2026-10-02 16:37:46.556 | Minigame: Alex | Type: HammerHit | Outcome: Success | Difficulty: Easy | ExpectedTime: 25.4720 | ActualTime: 25.4536 | TimingOffset: -0.0184 | TimingError: 0.0184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16:37:46.556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K43" s="4">
        <v>0.0184</v>
      </c>
      <c r="M43" s="6">
        <v>47</v>
      </c>
      <c r="N43" s="6" t="inlineStr">
        <is>
          <t>2026-10-02 16:37:46.556 | Minigame: Alex | Type: HammerHit | Outcome: Success | Difficulty: Easy | ExpectedTime: 25.4720 | ActualTime: 25.4536 | TimingOffset: -0.0184 | TimingError: 0.0184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16:37:46.556</t>
        </is>
      </c>
      <c r="C44" s="0" t="inlineStr">
        <is>
          <t>DifficultyChanged</t>
        </is>
      </c>
      <c r="D44" s="0" t="inlineStr">
        <is>
          <t>Alex</t>
        </is>
      </c>
      <c r="I44" s="0" t="inlineStr">
        <is>
          <t>Easy -&gt; Normal</t>
        </is>
      </c>
      <c r="J44" s="0" t="inlineStr">
        <is>
          <t>High recent performance</t>
        </is>
      </c>
      <c r="M44" s="0">
        <v>48</v>
      </c>
      <c r="N44" s="0" t="inlineStr">
        <is>
          <t>2026-10-02 16:37:46.556 | DifficultyChanged: Easy -&gt; Normal | Reason: High recent performance | Minigame: Alex | SuccessRate: 0.88</t>
        </is>
      </c>
    </row>
    <row r="45" ht="17" customHeight="1">
      <c r="A45" s="6">
        <v>44</v>
      </c>
      <c r="B45" s="6" t="inlineStr">
        <is>
          <t>2026-10-02 16:37:47.361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Success</t>
        </is>
      </c>
      <c r="G45" s="6" t="inlineStr">
        <is>
          <t>Normal</t>
        </is>
      </c>
      <c r="M45" s="6">
        <v>49</v>
      </c>
      <c r="N45" s="6" t="inlineStr">
        <is>
          <t>2026-10-02 16:37:47.361 | Minigame: Alex | Type: HammerTouch | Outcome: Success | Difficulty: Normal | ExpectedTime: 26.2400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16:37:48.070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Normal</t>
        </is>
      </c>
      <c r="K46" s="4">
        <v>0.0407</v>
      </c>
      <c r="M46" s="0">
        <v>50</v>
      </c>
      <c r="N46" s="0" t="inlineStr">
        <is>
          <t>2026-10-02 16:37:48.070 | Minigame: Alex | Type: HammerHit | Outcome: Success | Difficulty: Normal | ExpectedTime: 27.0080 | ActualTime: 26.9673 | TimingOffset: -0.0407 | TimingError: 0.0407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16:37:48.097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K47" s="4">
        <v>0.0128</v>
      </c>
      <c r="M47" s="6">
        <v>51</v>
      </c>
      <c r="N47" s="6" t="inlineStr">
        <is>
          <t>2026-10-02 16:37:48.097 | Minigame: Alex | Type: HammerHit | Outcome: Success | Difficulty: Normal | ExpectedTime: 27.0080 | ActualTime: 26.9952 | TimingOffset: -0.0128 | TimingError: 0.0128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16:37:48.833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Normal</t>
        </is>
      </c>
      <c r="K48" s="4">
        <v>0.0452</v>
      </c>
      <c r="M48" s="0">
        <v>52</v>
      </c>
      <c r="N48" s="0" t="inlineStr">
        <is>
          <t>2026-10-02 16:37:48.833 | Minigame: Alex | Type: HammerHit | Outcome: Success | Difficulty: Normal | ExpectedTime: 27.7760 | ActualTime: 27.7308 | TimingOffset: -0.0452 | TimingError: 0.0452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16:37:48.847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M49" s="6">
        <v>53</v>
      </c>
      <c r="N49" s="6" t="inlineStr">
        <is>
          <t>2026-10-02 16:37:48.847 | Minigame: Alex | Type: HammerHit | Outcome: Success | Difficulty: Normal | ExpectedTime: 27.7760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16:37:49.611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Normal</t>
        </is>
      </c>
      <c r="K50" s="4">
        <v>0.0358</v>
      </c>
      <c r="M50" s="0">
        <v>54</v>
      </c>
      <c r="N50" s="0" t="inlineStr">
        <is>
          <t>2026-10-02 16:37:49.611 | Minigame: Alex | Type: HammerHit | Outcome: Success | Difficulty: Normal | ExpectedTime: 28.5440 | ActualTime: 28.5082 | TimingOffset: -0.0358 | TimingError: 0.0358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16:37:49.611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0.0358</v>
      </c>
      <c r="M51" s="6">
        <v>55</v>
      </c>
      <c r="N51" s="6" t="inlineStr">
        <is>
          <t>2026-10-02 16:37:49.611 | Minigame: Alex | Type: HammerHit | Outcome: Success | Difficulty: Normal | ExpectedTime: 28.5440 | ActualTime: 28.5082 | TimingOffset: -0.0358 | TimingError: 0.0358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16:37:50.401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K52" s="4">
        <v>0.0266</v>
      </c>
      <c r="M52" s="0">
        <v>56</v>
      </c>
      <c r="N52" s="0" t="inlineStr">
        <is>
          <t>2026-10-02 16:37:50.401 | Minigame: Alex | Type: HammerHit | Outcome: Success | Difficulty: Normal | ExpectedTime: 29.3120 | ActualTime: 29.2854 | TimingOffset: -0.0266 | TimingError: 0.0266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16:37:50.401</t>
        </is>
      </c>
      <c r="C53" s="6" t="inlineStr">
        <is>
          <t>DifficultyChanged</t>
        </is>
      </c>
      <c r="D53" s="6" t="inlineStr">
        <is>
          <t>Alex</t>
        </is>
      </c>
      <c r="I53" s="6" t="inlineStr">
        <is>
          <t>Normal -&gt; Hard</t>
        </is>
      </c>
      <c r="J53" s="6" t="inlineStr">
        <is>
          <t>High recent performance</t>
        </is>
      </c>
      <c r="M53" s="6">
        <v>57</v>
      </c>
      <c r="N53" s="6" t="inlineStr">
        <is>
          <t>2026-10-02 16:37:50.401 | DifficultyChanged: Normal -&gt; Hard | Reason: High recent performance | Minigame: Alex | SuccessRate: 1.00</t>
        </is>
      </c>
    </row>
    <row r="54" ht="17" customHeight="1">
      <c r="A54" s="0">
        <v>53</v>
      </c>
      <c r="B54" s="0" t="inlineStr">
        <is>
          <t>2026-10-02 16:37:51.137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K54" s="4">
        <v>0.0447</v>
      </c>
      <c r="M54" s="0">
        <v>58</v>
      </c>
      <c r="N54" s="0" t="inlineStr">
        <is>
          <t>2026-10-02 16:37:51.137 | Minigame: Alex | Type: HammerHit | Outcome: Success | Difficulty: Hard | ExpectedTime: 30.0800 | ActualTime: 30.0353 | TimingOffset: -0.0447 | TimingError: 0.0447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16:37:51.498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Hard</t>
        </is>
      </c>
      <c r="M55" s="6">
        <v>59</v>
      </c>
      <c r="N55" s="6" t="inlineStr">
        <is>
          <t>2026-10-02 16:37:51.498 | Minigame: Alex | Type: HammerTouch | Outcome: Missed | Difficulty: Hard | ExpectedTime: 30.0800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16:37:51.525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K56" s="4">
        <v>0.0398</v>
      </c>
      <c r="M56" s="0">
        <v>60</v>
      </c>
      <c r="N56" s="0" t="inlineStr">
        <is>
          <t>2026-10-02 16:37:51.525 | Minigame: Alex | Type: HammerHit | Outcome: Success | Difficulty: Hard | ExpectedTime: 30.4640 | ActualTime: 30.4242 | TimingOffset: -0.0398 | TimingError: 0.0398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16:37:51.915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K57" s="4">
        <v>0.035</v>
      </c>
      <c r="M57" s="6">
        <v>61</v>
      </c>
      <c r="N57" s="6" t="inlineStr">
        <is>
          <t>2026-10-02 16:37:51.915 | Minigame: Alex | Type: HammerHit | Outcome: Success | Difficulty: Hard | ExpectedTime: 30.8480 | ActualTime: 30.8130 | TimingOffset: -0.0350 | TimingError: 0.0350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16:37:52.275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M58" s="0">
        <v>62</v>
      </c>
      <c r="N58" s="0" t="inlineStr">
        <is>
          <t>2026-10-02 16:37:52.275 | Minigame: Alex | Type: HammerTouch | Outcome: Missed | Difficulty: Hard | ExpectedTime: 30.8480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16:37:55.149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Hard</t>
        </is>
      </c>
      <c r="K59" s="4">
        <v>0.1131</v>
      </c>
      <c r="M59" s="6">
        <v>63</v>
      </c>
      <c r="N59" s="6" t="inlineStr">
        <is>
          <t>2026-10-02 16:37:55.149 | Minigame: Joaquin | Type: GuitarHit | Outcome: Success | Difficulty: Hard | ExpectedTime: 33.9200 | ActualTime: 34.0331 | TimingOffset: 0.1131 | TimingError: 0.1131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16:37:57.289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Hard</t>
        </is>
      </c>
      <c r="K60" s="4">
        <v>0.0515</v>
      </c>
      <c r="M60" s="0">
        <v>64</v>
      </c>
      <c r="N60" s="0" t="inlineStr">
        <is>
          <t>2026-10-02 16:37:57.289 | Minigame: Joaquin | Type: GuitarHit | Outcome: Success | Difficulty: Hard | ExpectedTime: 36.2240 | ActualTime: 36.1725 | TimingOffset: -0.0515 | TimingError: 0.0515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16:37:58.663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Hard</t>
        </is>
      </c>
      <c r="M61" s="6">
        <v>65</v>
      </c>
      <c r="N61" s="6" t="inlineStr">
        <is>
          <t>2026-10-02 16:37:58.663 | Minigame: Joaquin | Type: PlayerHit | Outcome: Failed | Difficulty: Hard | ExpectedTime: 37.5474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16:38:00.054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Hard</t>
        </is>
      </c>
      <c r="M62" s="0">
        <v>66</v>
      </c>
      <c r="N62" s="0" t="inlineStr">
        <is>
          <t>2026-10-02 16:38:00.054 | Minigame: Joaquin | Type: PlayerHit | Outcome: Failed | Difficulty: Hard | ExpectedTime: 38.9382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16:38:00.220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Hard</t>
        </is>
      </c>
      <c r="K63" s="4">
        <v>0.1919</v>
      </c>
      <c r="M63" s="6">
        <v>67</v>
      </c>
      <c r="N63" s="6" t="inlineStr">
        <is>
          <t>2026-10-02 16:38:00.220 | Minigame: Joaquin | Type: GuitarHit | Outcome: Success | Difficulty: Hard | ExpectedTime: 39.2960 | ActualTime: 39.1041 | TimingOffset: -0.1919 | TimingError: 0.1919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16:38:00.761</t>
        </is>
      </c>
      <c r="C64" s="0" t="inlineStr">
        <is>
          <t>Interaction</t>
        </is>
      </c>
      <c r="D64" s="0" t="inlineStr">
        <is>
          <t>Joaquin</t>
        </is>
      </c>
      <c r="E64" s="0" t="inlineStr">
        <is>
          <t>PlayerHit</t>
        </is>
      </c>
      <c r="F64" s="0" t="inlineStr">
        <is>
          <t>Failed</t>
        </is>
      </c>
      <c r="G64" s="0" t="inlineStr">
        <is>
          <t>Hard</t>
        </is>
      </c>
      <c r="M64" s="0">
        <v>68</v>
      </c>
      <c r="N64" s="0" t="inlineStr">
        <is>
          <t>2026-10-02 16:38:00.761 | Minigame: Joaquin | Type: PlayerHit | Outcome: Failed | Difficulty: Hard | ExpectedTime: 39.6454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16:38:00.914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PlayerHit</t>
        </is>
      </c>
      <c r="F65" s="6" t="inlineStr">
        <is>
          <t>Failed</t>
        </is>
      </c>
      <c r="G65" s="6" t="inlineStr">
        <is>
          <t>Hard</t>
        </is>
      </c>
      <c r="M65" s="6">
        <v>69</v>
      </c>
      <c r="N65" s="6" t="inlineStr">
        <is>
          <t>2026-10-02 16:38:00.914 | Minigame: Joaquin | Type: PlayerHit | Outcome: Failed | Difficulty: Hard | ExpectedTime: 39.7982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16:38:02.274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PlayerHit</t>
        </is>
      </c>
      <c r="F66" s="0" t="inlineStr">
        <is>
          <t>Failed</t>
        </is>
      </c>
      <c r="G66" s="0" t="inlineStr">
        <is>
          <t>Hard</t>
        </is>
      </c>
      <c r="M66" s="0">
        <v>70</v>
      </c>
      <c r="N66" s="0" t="inlineStr">
        <is>
          <t>2026-10-02 16:38:02.274 | Minigame: Joaquin | Type: PlayerHit | Outcome: Failed | Difficulty: Hard | ExpectedTime: 41.1583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16:38:02.275</t>
        </is>
      </c>
      <c r="C67" s="6" t="inlineStr">
        <is>
          <t>PlayerState</t>
        </is>
      </c>
      <c r="H67" s="6" t="inlineStr">
        <is>
          <t>Overloaded</t>
        </is>
      </c>
      <c r="M67" s="6">
        <v>71</v>
      </c>
      <c r="N67" s="6" t="inlineStr">
        <is>
          <t>2026-10-02 16:38:02.275 | PlayerState: Overloaded</t>
        </is>
      </c>
    </row>
    <row r="68" ht="17" customHeight="1">
      <c r="A68" s="0">
        <v>67</v>
      </c>
      <c r="B68" s="0" t="inlineStr">
        <is>
          <t>2026-10-02 16:38:02.275</t>
        </is>
      </c>
      <c r="C68" s="0" t="inlineStr">
        <is>
          <t>DifficultyChanged</t>
        </is>
      </c>
      <c r="D68" s="0" t="inlineStr">
        <is>
          <t>Joaquin</t>
        </is>
      </c>
      <c r="I68" s="0" t="inlineStr">
        <is>
          <t>Hard -&gt; Normal</t>
        </is>
      </c>
      <c r="J68" s="0" t="inlineStr">
        <is>
          <t>PlayerState: Overloaded</t>
        </is>
      </c>
      <c r="M68" s="0">
        <v>72</v>
      </c>
      <c r="N68" s="0" t="inlineStr">
        <is>
          <t>2026-10-02 16:38:02.275 | DifficultyChanged: Hard -&gt; Normal | Reason: PlayerState: Overloaded | Minigame: Joaquin | RecentSuccessRate: 0.43</t>
        </is>
      </c>
    </row>
    <row r="69" ht="17" customHeight="1">
      <c r="A69" s="6">
        <v>68</v>
      </c>
      <c r="B69" s="6" t="inlineStr">
        <is>
          <t>2026-10-02 16:38:02.288</t>
        </is>
      </c>
      <c r="C69" s="6" t="inlineStr">
        <is>
          <t>PlayerState</t>
        </is>
      </c>
      <c r="H69" s="6" t="inlineStr">
        <is>
          <t>Engaged</t>
        </is>
      </c>
      <c r="M69" s="6">
        <v>73</v>
      </c>
      <c r="N69" s="6" t="inlineStr">
        <is>
          <t>2026-10-02 16:38:02.288 | PlayerState: Engaged</t>
        </is>
      </c>
    </row>
    <row r="70" ht="17" customHeight="1">
      <c r="A70" s="0">
        <v>69</v>
      </c>
      <c r="B70" s="0" t="inlineStr">
        <is>
          <t>2026-10-02 16:38:02.816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Normal</t>
        </is>
      </c>
      <c r="K70" s="4">
        <v>0.1003</v>
      </c>
      <c r="M70" s="0">
        <v>74</v>
      </c>
      <c r="N70" s="0" t="inlineStr">
        <is>
          <t>2026-10-02 16:38:02.816 | Minigame: Joaquin | Type: GuitarHit | Outcome: Success | Difficulty: Normal | ExpectedTime: 41.6000 | ActualTime: 41.7003 | TimingOffset: 0.1003 | TimingError: 0.1003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16:38:05.135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Normal</t>
        </is>
      </c>
      <c r="K71" s="4">
        <v>0.1158</v>
      </c>
      <c r="M71" s="6">
        <v>75</v>
      </c>
      <c r="N71" s="6" t="inlineStr">
        <is>
          <t>2026-10-02 16:38:05.135 | Minigame: Joaquin | Type: GuitarHit | Outcome: Success | Difficulty: Normal | ExpectedTime: 43.9040 | ActualTime: 44.0198 | TimingOffset: 0.1158 | TimingError: 0.1158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16:38:05.427</t>
        </is>
      </c>
      <c r="C72" s="0" t="inlineStr">
        <is>
          <t>Interaction</t>
        </is>
      </c>
      <c r="D72" s="0" t="inlineStr">
        <is>
          <t>Joaquin</t>
        </is>
      </c>
      <c r="E72" s="0" t="inlineStr">
        <is>
          <t>PlayerHit</t>
        </is>
      </c>
      <c r="F72" s="0" t="inlineStr">
        <is>
          <t>Failed</t>
        </is>
      </c>
      <c r="G72" s="0" t="inlineStr">
        <is>
          <t>Normal</t>
        </is>
      </c>
      <c r="M72" s="0">
        <v>76</v>
      </c>
      <c r="N72" s="0" t="inlineStr">
        <is>
          <t>2026-10-02 16:38:05.427 | Minigame: Joaquin | Type: PlayerHit | Outcome: Failed | Difficulty: Normal | ExpectedTime: 44.3118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16:38:06.817</t>
        </is>
      </c>
      <c r="C73" s="6" t="inlineStr">
        <is>
          <t>Interaction</t>
        </is>
      </c>
      <c r="D73" s="6" t="inlineStr">
        <is>
          <t>Joaquin</t>
        </is>
      </c>
      <c r="E73" s="6" t="inlineStr">
        <is>
          <t>PlayerHit</t>
        </is>
      </c>
      <c r="F73" s="6" t="inlineStr">
        <is>
          <t>Failed</t>
        </is>
      </c>
      <c r="G73" s="6" t="inlineStr">
        <is>
          <t>Normal</t>
        </is>
      </c>
      <c r="M73" s="6">
        <v>77</v>
      </c>
      <c r="N73" s="6" t="inlineStr">
        <is>
          <t>2026-10-02 16:38:06.817 | Minigame: Joaquin | Type: PlayerHit | Outcome: Failed | Difficulty: Normal | ExpectedTime: 45.7011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16:38:07.038</t>
        </is>
      </c>
      <c r="C74" s="0" t="inlineStr">
        <is>
          <t>Interaction</t>
        </is>
      </c>
      <c r="D74" s="0" t="inlineStr">
        <is>
          <t>Joaquin</t>
        </is>
      </c>
      <c r="E74" s="0" t="inlineStr">
        <is>
          <t>PlayerHit</t>
        </is>
      </c>
      <c r="F74" s="0" t="inlineStr">
        <is>
          <t>Failed</t>
        </is>
      </c>
      <c r="G74" s="0" t="inlineStr">
        <is>
          <t>Normal</t>
        </is>
      </c>
      <c r="M74" s="0">
        <v>78</v>
      </c>
      <c r="N74" s="0" t="inlineStr">
        <is>
          <t>2026-10-02 16:38:07.038 | Minigame: Joaquin | Type: PlayerHit | Outcome: Failed | Difficulty: Normal | ExpectedTime: 45.9232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16:38:07.040</t>
        </is>
      </c>
      <c r="C75" s="6" t="inlineStr">
        <is>
          <t>PlayerState</t>
        </is>
      </c>
      <c r="H75" s="6" t="inlineStr">
        <is>
          <t>Overloaded</t>
        </is>
      </c>
      <c r="M75" s="6">
        <v>79</v>
      </c>
      <c r="N75" s="6" t="inlineStr">
        <is>
          <t>2026-10-02 16:38:07.040 | PlayerState: Overloaded</t>
        </is>
      </c>
    </row>
    <row r="76" ht="17" customHeight="1">
      <c r="A76" s="0">
        <v>75</v>
      </c>
      <c r="B76" s="0" t="inlineStr">
        <is>
          <t>2026-10-02 16:38:07.040</t>
        </is>
      </c>
      <c r="C76" s="0" t="inlineStr">
        <is>
          <t>DifficultyChanged</t>
        </is>
      </c>
      <c r="D76" s="0" t="inlineStr">
        <is>
          <t>Joaquin</t>
        </is>
      </c>
      <c r="I76" s="0" t="inlineStr">
        <is>
          <t>Normal -&gt; Easy</t>
        </is>
      </c>
      <c r="J76" s="0" t="inlineStr">
        <is>
          <t>PlayerState: Overloaded</t>
        </is>
      </c>
      <c r="M76" s="0">
        <v>80</v>
      </c>
      <c r="N76" s="0" t="inlineStr">
        <is>
          <t>2026-10-02 16:38:07.040 | DifficultyChanged: Normal -&gt; Easy | Reason: PlayerState: Overloaded | Minigame: Joaquin | RecentSuccessRate: 0.50</t>
        </is>
      </c>
    </row>
    <row r="77" ht="17" customHeight="1">
      <c r="A77" s="6">
        <v>76</v>
      </c>
      <c r="B77" s="6" t="inlineStr">
        <is>
          <t>2026-10-02 16:38:07.053</t>
        </is>
      </c>
      <c r="C77" s="6" t="inlineStr">
        <is>
          <t>PlayerState</t>
        </is>
      </c>
      <c r="H77" s="6" t="inlineStr">
        <is>
          <t>Engaged</t>
        </is>
      </c>
      <c r="M77" s="6">
        <v>81</v>
      </c>
      <c r="N77" s="6" t="inlineStr">
        <is>
          <t>2026-10-02 16:38:07.053 | PlayerState: Engaged</t>
        </is>
      </c>
    </row>
    <row r="78" ht="17" customHeight="1">
      <c r="A78" s="0">
        <v>77</v>
      </c>
      <c r="B78" s="0" t="inlineStr">
        <is>
          <t>2026-10-02 16:38:07.191</t>
        </is>
      </c>
      <c r="C78" s="0" t="inlineStr">
        <is>
          <t>Interaction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Easy</t>
        </is>
      </c>
      <c r="K78" s="4">
        <v>0.1322</v>
      </c>
      <c r="M78" s="0">
        <v>82</v>
      </c>
      <c r="N78" s="0" t="inlineStr">
        <is>
          <t>2026-10-02 16:38:07.191 | Minigame: Joaquin | Type: GuitarHit | Outcome: Success | Difficulty: Easy | ExpectedTime: 46.2080 | ActualTime: 46.0758 | TimingOffset: -0.1322 | TimingError: 0.1322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16:38:11.954</t>
        </is>
      </c>
      <c r="C79" s="6" t="inlineStr">
        <is>
          <t>Interaction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Easy</t>
        </is>
      </c>
      <c r="K79" s="4">
        <v>0.023</v>
      </c>
      <c r="M79" s="6">
        <v>83</v>
      </c>
      <c r="N79" s="6" t="inlineStr">
        <is>
          <t>2026-10-02 16:38:11.954 | Minigame: Joaquin | Type: GuitarHit | Outcome: Success | Difficulty: Easy | ExpectedTime: 50.8160 | ActualTime: 50.8390 | TimingOffset: 0.0230 | TimingError: 0.0230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16:38:13.219</t>
        </is>
      </c>
      <c r="C80" s="0" t="inlineStr">
        <is>
          <t>Interaction</t>
        </is>
      </c>
      <c r="D80" s="0" t="inlineStr">
        <is>
          <t>Joaquin</t>
        </is>
      </c>
      <c r="E80" s="0" t="inlineStr">
        <is>
          <t>PlayerHit</t>
        </is>
      </c>
      <c r="F80" s="0" t="inlineStr">
        <is>
          <t>Failed</t>
        </is>
      </c>
      <c r="G80" s="0" t="inlineStr">
        <is>
          <t>Easy</t>
        </is>
      </c>
      <c r="M80" s="0">
        <v>84</v>
      </c>
      <c r="N80" s="0" t="inlineStr">
        <is>
          <t>2026-10-02 16:38:13.219 | Minigame: Joaquin | Type: PlayerHit | Outcome: Failed | Difficulty: Easy | ExpectedTime: 52.1025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16:38:15.495</t>
        </is>
      </c>
      <c r="C81" s="6" t="inlineStr">
        <is>
          <t>Interaction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Easy</t>
        </is>
      </c>
      <c r="K81" s="4">
        <v>0.1074</v>
      </c>
      <c r="M81" s="6">
        <v>85</v>
      </c>
      <c r="N81" s="6" t="inlineStr">
        <is>
          <t>2026-10-02 16:38:15.495 | Minigame: Joaquin | Type: GuitarHit | Outcome: Success | Difficulty: Easy | ExpectedTime: 54.2720 | ActualTime: 54.3794 | TimingOffset: 0.1074 | TimingError: 0.1074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16:38:17.619</t>
        </is>
      </c>
      <c r="C82" s="0" t="inlineStr">
        <is>
          <t>Interaction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Easy</t>
        </is>
      </c>
      <c r="K82" s="4">
        <v>0.0731</v>
      </c>
      <c r="M82" s="0">
        <v>86</v>
      </c>
      <c r="N82" s="0" t="inlineStr">
        <is>
          <t>2026-10-02 16:38:17.619 | Minigame: Joaquin | Type: GuitarHit | Outcome: Success | Difficulty: Easy | ExpectedTime: 56.5760 | ActualTime: 56.5029 | TimingOffset: -0.0731 | TimingError: 0.0731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16:38:19.952</t>
        </is>
      </c>
      <c r="C83" s="6" t="inlineStr">
        <is>
          <t>Interaction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Easy</t>
        </is>
      </c>
      <c r="K83" s="4">
        <v>0.044</v>
      </c>
      <c r="M83" s="6">
        <v>87</v>
      </c>
      <c r="N83" s="6" t="inlineStr">
        <is>
          <t>2026-10-02 16:38:19.952 | Minigame: Joaquin | Type: GuitarHit | Outcome: Success | Difficulty: Easy | ExpectedTime: 58.8800 | ActualTime: 58.8360 | TimingOffset: -0.0440 | TimingError: 0.0440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16:38:22.937</t>
        </is>
      </c>
      <c r="C84" s="0" t="inlineStr">
        <is>
          <t>Interaction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Easy</t>
        </is>
      </c>
      <c r="K84" s="4">
        <v>0.1304</v>
      </c>
      <c r="M84" s="0">
        <v>88</v>
      </c>
      <c r="N84" s="0" t="inlineStr">
        <is>
          <t>2026-10-02 16:38:22.937 | Minigame: Joaquin | Type: GuitarHit | Outcome: Success | Difficulty: Easy | ExpectedTime: 61.9520 | ActualTime: 61.8216 | TimingOffset: -0.1304 | TimingError: 0.1304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16:38:27.937</t>
        </is>
      </c>
      <c r="C85" s="6" t="inlineStr">
        <is>
          <t>PlayerState</t>
        </is>
      </c>
      <c r="H85" s="6" t="inlineStr">
        <is>
          <t>Idle</t>
        </is>
      </c>
      <c r="M85" s="6">
        <v>89</v>
      </c>
      <c r="N85" s="6" t="inlineStr">
        <is>
          <t>2026-10-02 16:38:27.937 | PlayerState: Idle</t>
        </is>
      </c>
    </row>
    <row r="86" ht="17" customHeight="1">
      <c r="A86" s="0">
        <v>85</v>
      </c>
      <c r="B86" s="0" t="inlineStr">
        <is>
          <t>2026-10-02 16:38:28.174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Easy</t>
        </is>
      </c>
      <c r="K86" s="4">
        <v>0.1744</v>
      </c>
      <c r="L86" s="4">
        <v>0.8816</v>
      </c>
      <c r="M86" s="0">
        <v>90</v>
      </c>
      <c r="N86" s="0" t="inlineStr">
        <is>
          <t>2026-10-02 16:38:28.174 | Minigame: Shipi | Type: FoodCut | Outcome: Failed | Difficulty: Easy | ExpectedTime: 67.2320 | ActualTime: 67.0576 | TimingOffset: -0.1744 | TimingError: 0.1744 | ReactionTime: 0.8816 | SpatialAccuracy: N/A | DirectionAccuracy: 0.0000 | CorrectHand: N/A</t>
        </is>
      </c>
    </row>
    <row r="87" ht="17" customHeight="1">
      <c r="A87" s="6">
        <v>86</v>
      </c>
      <c r="B87" s="6" t="inlineStr">
        <is>
          <t>2026-10-02 16:38:28.174</t>
        </is>
      </c>
      <c r="C87" s="6" t="inlineStr">
        <is>
          <t>PlayerState</t>
        </is>
      </c>
      <c r="H87" s="6" t="inlineStr">
        <is>
          <t>Engaged</t>
        </is>
      </c>
      <c r="M87" s="6">
        <v>91</v>
      </c>
      <c r="N87" s="6" t="inlineStr">
        <is>
          <t>2026-10-02 16:38:28.174 | PlayerState: Engaged</t>
        </is>
      </c>
    </row>
    <row r="88" ht="17" customHeight="1">
      <c r="A88" s="0">
        <v>87</v>
      </c>
      <c r="B88" s="0" t="inlineStr">
        <is>
          <t>2026-10-02 16:38:29.757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Easy</t>
        </is>
      </c>
      <c r="K88" s="4">
        <v>0.5107</v>
      </c>
      <c r="L88" s="4">
        <v>0.5453</v>
      </c>
      <c r="M88" s="0">
        <v>92</v>
      </c>
      <c r="N88" s="0" t="inlineStr">
        <is>
          <t>2026-10-02 16:38:29.757 | Minigame: Shipi | Type: FoodCut | Outcome: Success | Difficulty: Easy | ExpectedTime: 69.1520 | ActualTime: 68.6413 | TimingOffset: -0.5107 | TimingError: 0.5107 | ReactionTime: 0.5453 | SpatialAccuracy: N/A | DirectionAccuracy: 1.0000 | CorrectHand: N/A</t>
        </is>
      </c>
    </row>
    <row r="89" ht="17" customHeight="1">
      <c r="A89" s="6">
        <v>88</v>
      </c>
      <c r="B89" s="6" t="inlineStr">
        <is>
          <t>2026-10-02 16:38:31.659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Success</t>
        </is>
      </c>
      <c r="G89" s="6" t="inlineStr">
        <is>
          <t>Easy</t>
        </is>
      </c>
      <c r="K89" s="4">
        <v>0.5285</v>
      </c>
      <c r="L89" s="4">
        <v>0.5275</v>
      </c>
      <c r="M89" s="6">
        <v>93</v>
      </c>
      <c r="N89" s="6" t="inlineStr">
        <is>
          <t>2026-10-02 16:38:31.659 | Minigame: Shipi | Type: FoodCut | Outcome: Success | Difficulty: Easy | ExpectedTime: 71.0720 | ActualTime: 70.5435 | TimingOffset: -0.5285 | TimingError: 0.5285 | ReactionTime: 0.5275 | SpatialAccuracy: N/A | DirectionAccuracy: 1.0000 | CorrectHand: N/A</t>
        </is>
      </c>
    </row>
    <row r="90" ht="17" customHeight="1">
      <c r="A90" s="0">
        <v>89</v>
      </c>
      <c r="B90" s="0" t="inlineStr">
        <is>
          <t>2026-10-02 16:38:34.590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Failed</t>
        </is>
      </c>
      <c r="G90" s="0" t="inlineStr">
        <is>
          <t>Easy</t>
        </is>
      </c>
      <c r="M90" s="0">
        <v>94</v>
      </c>
      <c r="N90" s="0" t="inlineStr">
        <is>
          <t>2026-10-02 16:38:34.590 | Minigame: Shipi | Type: FoodCut | Outcome: Failed | Difficulty: Easy | ExpectedTime: 72.9920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16:38:34.993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Failed</t>
        </is>
      </c>
      <c r="G91" s="6" t="inlineStr">
        <is>
          <t>Easy</t>
        </is>
      </c>
      <c r="M91" s="6">
        <v>95</v>
      </c>
      <c r="N91" s="6" t="inlineStr">
        <is>
          <t>2026-10-02 16:38:34.993 | Minigame: Shipi | Type: FoodCut | Outcome: Failed | Difficulty: Easy | ExpectedTime: 74.9120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16:38:34.993</t>
        </is>
      </c>
      <c r="C92" s="0" t="inlineStr">
        <is>
          <t>PlayerState</t>
        </is>
      </c>
      <c r="H92" s="0" t="inlineStr">
        <is>
          <t>Overloaded</t>
        </is>
      </c>
      <c r="M92" s="0">
        <v>96</v>
      </c>
      <c r="N92" s="0" t="inlineStr">
        <is>
          <t>2026-10-02 16:38:34.993 | PlayerState: Overloaded</t>
        </is>
      </c>
    </row>
    <row r="93" ht="17" customHeight="1">
      <c r="A93" s="6">
        <v>92</v>
      </c>
      <c r="B93" s="6" t="inlineStr">
        <is>
          <t>2026-10-02 16:38:37.547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K93" s="4">
        <v>0.3999</v>
      </c>
      <c r="L93" s="4">
        <v>0.6561</v>
      </c>
      <c r="M93" s="6">
        <v>97</v>
      </c>
      <c r="N93" s="6" t="inlineStr">
        <is>
          <t>2026-10-02 16:38:37.547 | Minigame: Shipi | Type: FoodCut | Outcome: Success | Difficulty: Easy | ExpectedTime: 76.8320 | ActualTime: 76.4321 | TimingOffset: -0.3999 | TimingError: 0.3999 | ReactionTime: 0.6561 | SpatialAccuracy: N/A | DirectionAccuracy: 1.0000 | CorrectHand: N/A</t>
        </is>
      </c>
    </row>
    <row r="94" ht="17" customHeight="1">
      <c r="A94" s="0">
        <v>93</v>
      </c>
      <c r="B94" s="0" t="inlineStr">
        <is>
          <t>2026-10-02 16:38:39.797</t>
        </is>
      </c>
      <c r="C94" s="0" t="inlineStr">
        <is>
          <t>Interaction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Failed</t>
        </is>
      </c>
      <c r="G94" s="0" t="inlineStr">
        <is>
          <t>Easy</t>
        </is>
      </c>
      <c r="M94" s="0">
        <v>98</v>
      </c>
      <c r="N94" s="0" t="inlineStr">
        <is>
          <t>2026-10-02 16:38:39.797 | Minigame: Shipi | Type: FoodCut | Outcome: Failed | Difficulty: Easy | ExpectedTime: 78.7520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16:38:40.854</t>
        </is>
      </c>
      <c r="C95" s="6" t="inlineStr">
        <is>
          <t>Interaction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Failed</t>
        </is>
      </c>
      <c r="G95" s="6" t="inlineStr">
        <is>
          <t>Easy</t>
        </is>
      </c>
      <c r="K95" s="4">
        <v>0.9339</v>
      </c>
      <c r="L95" s="4">
        <v>0.1221</v>
      </c>
      <c r="M95" s="6">
        <v>99</v>
      </c>
      <c r="N95" s="6" t="inlineStr">
        <is>
          <t>2026-10-02 16:38:40.854 | Minigame: Shipi | Type: FoodCut | Outcome: Failed | Difficulty: Easy | ExpectedTime: 80.6720 | ActualTime: 79.7381 | TimingOffset: -0.9339 | TimingError: 0.9339 | ReactionTime: 0.1221 | SpatialAccuracy: N/A | DirectionAccuracy: 0.0000 | CorrectHand: N/A</t>
        </is>
      </c>
    </row>
    <row r="96" ht="17" customHeight="1">
      <c r="A96" s="0">
        <v>95</v>
      </c>
      <c r="B96" s="0" t="inlineStr">
        <is>
          <t>2026-10-02 16:38:43.493</t>
        </is>
      </c>
      <c r="C96" s="0" t="inlineStr">
        <is>
          <t>Interaction</t>
        </is>
      </c>
      <c r="D96" s="0" t="inlineStr">
        <is>
          <t>Shipi</t>
        </is>
      </c>
      <c r="E96" s="0" t="inlineStr">
        <is>
          <t>FoodCut</t>
        </is>
      </c>
      <c r="F96" s="0" t="inlineStr">
        <is>
          <t>Success</t>
        </is>
      </c>
      <c r="G96" s="0" t="inlineStr">
        <is>
          <t>Easy</t>
        </is>
      </c>
      <c r="K96" s="4">
        <v>0.215</v>
      </c>
      <c r="L96" s="4">
        <v>0.841</v>
      </c>
      <c r="M96" s="0">
        <v>100</v>
      </c>
      <c r="N96" s="0" t="inlineStr">
        <is>
          <t>2026-10-02 16:38:43.493 | Minigame: Shipi | Type: FoodCut | Outcome: Success | Difficulty: Easy | ExpectedTime: 82.5920 | ActualTime: 82.3770 | TimingOffset: -0.2150 | TimingError: 0.2150 | ReactionTime: 0.8410 | SpatialAccuracy: N/A | DirectionAccuracy: 1.0000 | CorrectHand: N/A</t>
        </is>
      </c>
    </row>
    <row r="97" ht="17" customHeight="1">
      <c r="A97" s="6">
        <v>96</v>
      </c>
      <c r="B97" s="6" t="inlineStr">
        <is>
          <t>2026-10-02 16:38:45.215</t>
        </is>
      </c>
      <c r="C97" s="6" t="inlineStr">
        <is>
          <t>Interaction</t>
        </is>
      </c>
      <c r="D97" s="6" t="inlineStr">
        <is>
          <t>Shipi</t>
        </is>
      </c>
      <c r="E97" s="6" t="inlineStr">
        <is>
          <t>FoodCut</t>
        </is>
      </c>
      <c r="F97" s="6" t="inlineStr">
        <is>
          <t>Success</t>
        </is>
      </c>
      <c r="G97" s="6" t="inlineStr">
        <is>
          <t>Easy</t>
        </is>
      </c>
      <c r="K97" s="4">
        <v>0.4133</v>
      </c>
      <c r="L97" s="4">
        <v>0.6427</v>
      </c>
      <c r="M97" s="6">
        <v>101</v>
      </c>
      <c r="N97" s="6" t="inlineStr">
        <is>
          <t>2026-10-02 16:38:45.215 | Minigame: Shipi | Type: FoodCut | Outcome: Success | Difficulty: Easy | ExpectedTime: 84.5120 | ActualTime: 84.0987 | TimingOffset: -0.4133 | TimingError: 0.4133 | ReactionTime: 0.6427 | SpatialAccuracy: N/A | DirectionAccuracy: 1.0000 | CorrectHand: N/A</t>
        </is>
      </c>
    </row>
    <row r="98" ht="17" customHeight="1">
      <c r="A98" s="0">
        <v>97</v>
      </c>
      <c r="B98" s="0" t="inlineStr">
        <is>
          <t>2026-10-02 16:38:47.173</t>
        </is>
      </c>
      <c r="C98" s="0" t="inlineStr">
        <is>
          <t>Interaction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Success</t>
        </is>
      </c>
      <c r="G98" s="0" t="inlineStr">
        <is>
          <t>Easy</t>
        </is>
      </c>
      <c r="K98" s="4">
        <v>0.3753</v>
      </c>
      <c r="L98" s="4">
        <v>0.6807</v>
      </c>
      <c r="M98" s="0">
        <v>102</v>
      </c>
      <c r="N98" s="0" t="inlineStr">
        <is>
          <t>2026-10-02 16:38:47.173 | Minigame: Shipi | Type: FoodCut | Outcome: Success | Difficulty: Easy | ExpectedTime: 86.4320 | ActualTime: 86.0567 | TimingOffset: -0.3753 | TimingError: 0.3753 | ReactionTime: 0.6807 | SpatialAccuracy: N/A | DirectionAccuracy: 1.0000 | CorrectHand: N/A</t>
        </is>
      </c>
    </row>
    <row r="99" ht="17" customHeight="1">
      <c r="A99" s="6">
        <v>98</v>
      </c>
      <c r="B99" s="6" t="inlineStr">
        <is>
          <t>2026-10-02 16:38:50.338</t>
        </is>
      </c>
      <c r="C99" s="6" t="inlineStr">
        <is>
          <t>Interaction</t>
        </is>
      </c>
      <c r="D99" s="6" t="inlineStr">
        <is>
          <t>Shipi</t>
        </is>
      </c>
      <c r="E99" s="6" t="inlineStr">
        <is>
          <t>FoodClear</t>
        </is>
      </c>
      <c r="F99" s="6" t="inlineStr">
        <is>
          <t>Success</t>
        </is>
      </c>
      <c r="G99" s="6" t="inlineStr">
        <is>
          <t>Easy</t>
        </is>
      </c>
      <c r="M99" s="6">
        <v>103</v>
      </c>
      <c r="N99" s="6" t="inlineStr">
        <is>
          <t>2026-10-02 16:38:50.338 | Minigame: Shipi | Type: FoodClear | Outcome: Success | Difficulty: Easy | ExpectedTime: 88.3520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16:38:51.060</t>
        </is>
      </c>
      <c r="C100" s="0" t="inlineStr">
        <is>
          <t>Interaction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Success</t>
        </is>
      </c>
      <c r="G100" s="0" t="inlineStr">
        <is>
          <t>Easy</t>
        </is>
      </c>
      <c r="K100" s="4">
        <v>0.3276</v>
      </c>
      <c r="L100" s="4">
        <v>0.7284</v>
      </c>
      <c r="M100" s="0">
        <v>104</v>
      </c>
      <c r="N100" s="0" t="inlineStr">
        <is>
          <t>2026-10-02 16:38:51.060 | Minigame: Shipi | Type: FoodCut | Outcome: Success | Difficulty: Easy | ExpectedTime: 90.2720 | ActualTime: 89.9444 | TimingOffset: -0.3276 | TimingError: 0.3276 | ReactionTime: 0.7284 | SpatialAccuracy: N/A | DirectionAccuracy: 1.0000 | CorrectHand: N/A</t>
        </is>
      </c>
    </row>
    <row r="101" ht="17" customHeight="1">
      <c r="A101" s="6">
        <v>100</v>
      </c>
      <c r="B101" s="6" t="inlineStr">
        <is>
          <t>2026-10-02 16:38:51.061</t>
        </is>
      </c>
      <c r="C101" s="6" t="inlineStr">
        <is>
          <t>PlayerState</t>
        </is>
      </c>
      <c r="H101" s="6" t="inlineStr">
        <is>
          <t>Engaged</t>
        </is>
      </c>
      <c r="M101" s="6">
        <v>105</v>
      </c>
      <c r="N101" s="6" t="inlineStr">
        <is>
          <t>2026-10-02 16:38:51.061 | PlayerState: Engaged</t>
        </is>
      </c>
    </row>
    <row r="102" ht="17" customHeight="1">
      <c r="A102" s="0">
        <v>101</v>
      </c>
      <c r="B102" s="0" t="inlineStr">
        <is>
          <t>2026-10-02 16:38:53.101</t>
        </is>
      </c>
      <c r="C102" s="0" t="inlineStr">
        <is>
          <t>Interaction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Failed</t>
        </is>
      </c>
      <c r="G102" s="0" t="inlineStr">
        <is>
          <t>Easy</t>
        </is>
      </c>
      <c r="K102" s="4">
        <v>0.2069</v>
      </c>
      <c r="L102" s="4">
        <v>0.8491</v>
      </c>
      <c r="M102" s="0">
        <v>106</v>
      </c>
      <c r="N102" s="0" t="inlineStr">
        <is>
          <t>2026-10-02 16:38:53.101 | Minigame: Shipi | Type: FoodCut | Outcome: Failed | Difficulty: Easy | ExpectedTime: 92.1920 | ActualTime: 91.9851 | TimingOffset: -0.2069 | TimingError: 0.2069 | ReactionTime: 0.8491 | SpatialAccuracy: N/A | DirectionAccuracy: 0.0000 | CorrectHand: N/A</t>
        </is>
      </c>
    </row>
    <row r="103" ht="17" customHeight="1">
      <c r="A103" s="6">
        <v>102</v>
      </c>
      <c r="B103" s="6" t="inlineStr">
        <is>
          <t>2026-10-02 16:38:56.739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Failed</t>
        </is>
      </c>
      <c r="G103" s="6" t="inlineStr">
        <is>
          <t>Easy</t>
        </is>
      </c>
      <c r="K103" s="4">
        <v>0.464</v>
      </c>
      <c r="M103" s="6">
        <v>107</v>
      </c>
      <c r="N103" s="6" t="inlineStr">
        <is>
          <t>2026-10-02 16:38:56.739 | Minigame: JuanAndres | Type: GroomStroke | Outcome: Failed | Difficulty: Easy | ExpectedTime: 94.9760 | ActualTime: 94.5120 | TimingOffset: -0.4640 | TimingError: 0.4640 | ReactionTime: N/A | SpatialAccuracy: N/A | DirectionAccuracy: 0.0000 | CorrectHand: True</t>
        </is>
      </c>
    </row>
    <row r="104" ht="17" customHeight="1">
      <c r="A104" s="0">
        <v>103</v>
      </c>
      <c r="B104" s="0" t="inlineStr">
        <is>
          <t>2026-10-02 16:39:00.836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Success</t>
        </is>
      </c>
      <c r="G104" s="0" t="inlineStr">
        <is>
          <t>Easy</t>
        </is>
      </c>
      <c r="K104" s="4">
        <v>1.9731</v>
      </c>
      <c r="M104" s="0">
        <v>108</v>
      </c>
      <c r="N104" s="0" t="inlineStr">
        <is>
          <t>2026-10-02 16:39:00.836 | Minigame: JuanAndres | Type: GroomStroke | Outcome: Success | Difficulty: Easy | ExpectedTime: 97.6640 | ActualTime: 99.6371 | TimingOffset: 1.9731 | TimingError: 1.9731 | ReactionTime: N/A | SpatialAccuracy: N/A | DirectionAccuracy: 1.0000 | CorrectHand: True</t>
        </is>
      </c>
    </row>
    <row r="105" ht="17" customHeight="1">
      <c r="A105" s="6">
        <v>104</v>
      </c>
      <c r="B105" s="6" t="inlineStr">
        <is>
          <t>2026-10-02 16:39:01.696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Success</t>
        </is>
      </c>
      <c r="G105" s="6" t="inlineStr">
        <is>
          <t>Easy</t>
        </is>
      </c>
      <c r="K105" s="4">
        <v>4.1892</v>
      </c>
      <c r="M105" s="6">
        <v>109</v>
      </c>
      <c r="N105" s="6" t="inlineStr">
        <is>
          <t>2026-10-02 16:39:01.696 | Minigame: JuanAndres | Type: GroomStroke | Outcome: Success | Difficulty: Easy | ExpectedTime: 96.1280 | ActualTime: 100.3172 | TimingOffset: 4.1892 | TimingError: 4.1892 | ReactionTime: N/A | SpatialAccuracy: N/A | DirectionAccuracy: 1.0000 | CorrectHand: True</t>
        </is>
      </c>
    </row>
    <row r="106" ht="17" customHeight="1">
      <c r="A106" s="0">
        <v>105</v>
      </c>
      <c r="B106" s="0" t="inlineStr">
        <is>
          <t>2026-10-02 16:39:05.016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K106" s="4">
        <v>1.1601</v>
      </c>
      <c r="M106" s="0">
        <v>110</v>
      </c>
      <c r="N106" s="0" t="inlineStr">
        <is>
          <t>2026-10-02 16:39:05.016 | Minigame: JuanAndres | Type: GroomStroke | Outcome: Failed | Difficulty: Easy | ExpectedTime: 102.6560 | ActualTime: 103.8161 | TimingOffset: 1.1601 | TimingError: 1.1601 | ReactionTime: N/A | SpatialAccuracy: N/A | DirectionAccuracy: 0.0000 | CorrectHand: True</t>
        </is>
      </c>
    </row>
    <row r="107" ht="17" customHeight="1">
      <c r="A107" s="6">
        <v>106</v>
      </c>
      <c r="B107" s="6" t="inlineStr">
        <is>
          <t>2026-10-02 16:39:05.515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Success</t>
        </is>
      </c>
      <c r="G107" s="6" t="inlineStr">
        <is>
          <t>Easy</t>
        </is>
      </c>
      <c r="K107" s="4">
        <v>3.0573</v>
      </c>
      <c r="M107" s="6">
        <v>111</v>
      </c>
      <c r="N107" s="6" t="inlineStr">
        <is>
          <t>2026-10-02 16:39:05.515 | Minigame: JuanAndres | Type: GroomStroke | Outcome: Success | Difficulty: Easy | ExpectedTime: 101.1200 | ActualTime: 104.1773 | TimingOffset: 3.0573 | TimingError: 3.0573 | ReactionTime: N/A | SpatialAccuracy: N/A | DirectionAccuracy: 1.0000 | CorrectHand: True</t>
        </is>
      </c>
    </row>
    <row r="108" ht="17" customHeight="1">
      <c r="A108" s="0">
        <v>107</v>
      </c>
      <c r="B108" s="0" t="inlineStr">
        <is>
          <t>2026-10-02 16:39:06.834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Failed</t>
        </is>
      </c>
      <c r="G108" s="0" t="inlineStr">
        <is>
          <t>Easy</t>
        </is>
      </c>
      <c r="K108" s="4">
        <v>0.6343</v>
      </c>
      <c r="M108" s="0">
        <v>112</v>
      </c>
      <c r="N108" s="0" t="inlineStr">
        <is>
          <t>2026-10-02 16:39:06.834 | Minigame: JuanAndres | Type: GroomStroke | Outcome: Failed | Difficulty: Easy | ExpectedTime: 104.9600 | ActualTime: 105.5943 | TimingOffset: 0.6343 | TimingError: 0.6343 | ReactionTime: N/A | SpatialAccuracy: N/A | DirectionAccuracy: 0.0000 | CorrectHand: True</t>
        </is>
      </c>
    </row>
    <row r="109" ht="17" customHeight="1">
      <c r="A109" s="6">
        <v>108</v>
      </c>
      <c r="B109" s="6" t="inlineStr">
        <is>
          <t>2026-10-02 16:39:08.294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K109" s="4">
        <v>0.4661</v>
      </c>
      <c r="M109" s="6">
        <v>113</v>
      </c>
      <c r="N109" s="6" t="inlineStr">
        <is>
          <t>2026-10-02 16:39:08.294 | Minigame: JuanAndres | Type: GroomStroke | Outcome: Failed | Difficulty: Easy | ExpectedTime: 106.8800 | ActualTime: 106.4139 | TimingOffset: -0.4661 | TimingError: 0.4661 | ReactionTime: N/A | SpatialAccuracy: N/A | DirectionAccuracy: 0.0000 | CorrectHand: True</t>
        </is>
      </c>
    </row>
    <row r="110" ht="17" customHeight="1">
      <c r="A110" s="0">
        <v>109</v>
      </c>
      <c r="B110" s="0" t="inlineStr">
        <is>
          <t>2026-10-02 16:39:09.418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Failed</t>
        </is>
      </c>
      <c r="G110" s="0" t="inlineStr">
        <is>
          <t>Easy</t>
        </is>
      </c>
      <c r="K110" s="4">
        <v>0.0485</v>
      </c>
      <c r="M110" s="0">
        <v>114</v>
      </c>
      <c r="N110" s="0" t="inlineStr">
        <is>
          <t>2026-10-02 16:39:09.418 | Minigame: JuanAndres | Type: GroomStroke | Outcome: Failed | Difficulty: Easy | ExpectedTime: 108.0320 | ActualTime: 107.9835 | TimingOffset: -0.0485 | TimingError: 0.0485 | ReactionTime: N/A | SpatialAccuracy: N/A | DirectionAccuracy: 0.0000 | CorrectHand: True</t>
        </is>
      </c>
    </row>
    <row r="111" ht="17" customHeight="1">
      <c r="A111" s="6">
        <v>110</v>
      </c>
      <c r="B111" s="6" t="inlineStr">
        <is>
          <t>2026-10-02 16:39:09.420</t>
        </is>
      </c>
      <c r="C111" s="6" t="inlineStr">
        <is>
          <t>PlayerState</t>
        </is>
      </c>
      <c r="H111" s="6" t="inlineStr">
        <is>
          <t>Overloaded</t>
        </is>
      </c>
      <c r="M111" s="6">
        <v>115</v>
      </c>
      <c r="N111" s="6" t="inlineStr">
        <is>
          <t>2026-10-02 16:39:09.420 | PlayerState: Overloaded</t>
        </is>
      </c>
    </row>
    <row r="112" ht="17" customHeight="1">
      <c r="A112" s="0">
        <v>111</v>
      </c>
      <c r="B112" s="0" t="inlineStr">
        <is>
          <t>2026-10-02 16:39:10.670</t>
        </is>
      </c>
      <c r="C112" s="0" t="inlineStr">
        <is>
          <t>Interaction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Success</t>
        </is>
      </c>
      <c r="G112" s="0" t="inlineStr">
        <is>
          <t>Easy</t>
        </is>
      </c>
      <c r="K112" s="4">
        <v>0.2721</v>
      </c>
      <c r="M112" s="0">
        <v>116</v>
      </c>
      <c r="N112" s="0" t="inlineStr">
        <is>
          <t>2026-10-02 16:39:10.670 | Minigame: JuanAndres | Type: GroomStroke | Outcome: Success | Difficulty: Easy | ExpectedTime: 109.1840 | ActualTime: 109.4561 | TimingOffset: 0.2721 | TimingError: 0.2721 | ReactionTime: N/A | SpatialAccuracy: N/A | DirectionAccuracy: 1.0000 | CorrectHand: True</t>
        </is>
      </c>
    </row>
    <row r="113" ht="17" customHeight="1">
      <c r="A113" s="6">
        <v>112</v>
      </c>
      <c r="B113" s="6" t="inlineStr">
        <is>
          <t>2026-10-02 16:39:12.517</t>
        </is>
      </c>
      <c r="C113" s="6" t="inlineStr">
        <is>
          <t>Interaction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Easy</t>
        </is>
      </c>
      <c r="K113" s="4">
        <v>0.1163</v>
      </c>
      <c r="M113" s="6">
        <v>117</v>
      </c>
      <c r="N113" s="6" t="inlineStr">
        <is>
          <t>2026-10-02 16:39:12.517 | Minigame: JuanAndres | Type: GroomStroke | Outcome: Success | Difficulty: Easy | ExpectedTime: 111.1040 | ActualTime: 111.2203 | TimingOffset: 0.1163 | TimingError: 0.1163 | ReactionTime: N/A | SpatialAccuracy: N/A | DirectionAccuracy: 1.0000 | CorrectHand: True</t>
        </is>
      </c>
    </row>
    <row r="114" ht="17" customHeight="1">
      <c r="A114" s="0">
        <v>113</v>
      </c>
      <c r="B114" s="0" t="inlineStr">
        <is>
          <t>2026-10-02 16:39:14.072</t>
        </is>
      </c>
      <c r="C114" s="0" t="inlineStr">
        <is>
          <t>Interaction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Failed</t>
        </is>
      </c>
      <c r="G114" s="0" t="inlineStr">
        <is>
          <t>Easy</t>
        </is>
      </c>
      <c r="K114" s="4">
        <v>0.3029</v>
      </c>
      <c r="M114" s="0">
        <v>118</v>
      </c>
      <c r="N114" s="0" t="inlineStr">
        <is>
          <t>2026-10-02 16:39:14.072 | Minigame: JuanAndres | Type: GroomStroke | Outcome: Failed | Difficulty: Easy | ExpectedTime: 113.0240 | ActualTime: 112.7211 | TimingOffset: -0.3029 | TimingError: 0.3029 | ReactionTime: N/A | SpatialAccuracy: N/A | DirectionAccuracy: 1.0000 | CorrectHand: False</t>
        </is>
      </c>
    </row>
    <row r="115" ht="17" customHeight="1">
      <c r="A115" s="6">
        <v>114</v>
      </c>
      <c r="B115" s="6" t="inlineStr">
        <is>
          <t>2026-10-02 16:39:14.974</t>
        </is>
      </c>
      <c r="C115" s="6" t="inlineStr">
        <is>
          <t>Interaction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K115" s="4">
        <v>0.0298</v>
      </c>
      <c r="M115" s="6">
        <v>119</v>
      </c>
      <c r="N115" s="6" t="inlineStr">
        <is>
          <t>2026-10-02 16:39:14.974 | Minigame: JuanAndres | Type: GroomStroke | Outcome: Failed | Difficulty: Easy | ExpectedTime: 113.7920 | ActualTime: 113.7622 | TimingOffset: -0.0298 | TimingError: 0.0298 | ReactionTime: N/A | SpatialAccuracy: N/A | DirectionAccuracy: 0.0000 | CorrectHand: True</t>
        </is>
      </c>
    </row>
    <row r="116" ht="17" customHeight="1">
      <c r="A116" s="0">
        <v>115</v>
      </c>
      <c r="B116" s="0" t="inlineStr">
        <is>
          <t>2026-10-02 16:39:18.321</t>
        </is>
      </c>
      <c r="C116" s="0" t="inlineStr">
        <is>
          <t>Interaction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K116" s="4">
        <v>0.5958</v>
      </c>
      <c r="M116" s="0">
        <v>120</v>
      </c>
      <c r="N116" s="0" t="inlineStr">
        <is>
          <t>2026-10-02 16:39:18.321 | Minigame: JuanAndres | Type: GroomStroke | Outcome: Failed | Difficulty: Easy | ExpectedTime: 116.0960 | ActualTime: 116.6918 | TimingOffset: 0.5958 | TimingError: 0.5958 | ReactionTime: N/A | SpatialAccuracy: N/A | DirectionAccuracy: 0.0000 | CorrectHand: True</t>
        </is>
      </c>
    </row>
    <row r="117" ht="17" customHeight="1">
      <c r="A117" s="6">
        <v>116</v>
      </c>
      <c r="B117" s="6" t="inlineStr">
        <is>
          <t>2026-10-02 16:39:19.876</t>
        </is>
      </c>
      <c r="C117" s="6" t="inlineStr">
        <is>
          <t>Interaction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Failed</t>
        </is>
      </c>
      <c r="G117" s="6" t="inlineStr">
        <is>
          <t>Easy</t>
        </is>
      </c>
      <c r="K117" s="4">
        <v>0.277</v>
      </c>
      <c r="M117" s="6">
        <v>121</v>
      </c>
      <c r="N117" s="6" t="inlineStr">
        <is>
          <t>2026-10-02 16:39:19.876 | Minigame: JuanAndres | Type: GroomStroke | Outcome: Failed | Difficulty: Easy | ExpectedTime: 118.4000 | ActualTime: 118.6770 | TimingOffset: 0.2770 | TimingError: 0.2770 | ReactionTime: N/A | SpatialAccuracy: N/A | DirectionAccuracy: 1.0000 | CorrectHand: False</t>
        </is>
      </c>
    </row>
    <row r="118" ht="17" customHeight="1">
      <c r="A118" s="0">
        <v>117</v>
      </c>
      <c r="B118" s="0" t="inlineStr">
        <is>
          <t>2026-10-02 16:39:20.348</t>
        </is>
      </c>
      <c r="C118" s="0" t="inlineStr">
        <is>
          <t>Interaction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Failed</t>
        </is>
      </c>
      <c r="G118" s="0" t="inlineStr">
        <is>
          <t>Easy</t>
        </is>
      </c>
      <c r="K118" s="4">
        <v>1.7482</v>
      </c>
      <c r="M118" s="0">
        <v>122</v>
      </c>
      <c r="N118" s="0" t="inlineStr">
        <is>
          <t>2026-10-02 16:39:20.348 | Minigame: JuanAndres | Type: GroomStroke | Outcome: Failed | Difficulty: Easy | ExpectedTime: 117.2480 | ActualTime: 118.9962 | TimingOffset: 1.7482 | TimingError: 1.7482 | ReactionTime: N/A | SpatialAccuracy: N/A | DirectionAccuracy: 0.0000 | CorrectHand: False</t>
        </is>
      </c>
    </row>
    <row r="119" ht="17" customHeight="1">
      <c r="A119" s="6">
        <v>118</v>
      </c>
      <c r="B119" s="6" t="inlineStr">
        <is>
          <t>2026-10-02 16:39:22.056</t>
        </is>
      </c>
      <c r="C119" s="6" t="inlineStr">
        <is>
          <t>Interaction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Success</t>
        </is>
      </c>
      <c r="G119" s="6" t="inlineStr">
        <is>
          <t>Easy</t>
        </is>
      </c>
      <c r="K119" s="4">
        <v>0.0183</v>
      </c>
      <c r="M119" s="6">
        <v>123</v>
      </c>
      <c r="N119" s="6" t="inlineStr">
        <is>
          <t>2026-10-02 16:39:22.056 | Minigame: JuanAndres | Type: GroomStroke | Outcome: Success | Difficulty: Easy | ExpectedTime: 119.9360 | ActualTime: 119.9543 | TimingOffset: 0.0183 | TimingError: 0.0183 | ReactionTime: N/A | SpatialAccuracy: N/A | DirectionAccuracy: 1.0000 | CorrectHand: True</t>
        </is>
      </c>
    </row>
    <row r="120" ht="17" customHeight="1">
      <c r="A120" s="0">
        <v>119</v>
      </c>
      <c r="B120" s="0" t="inlineStr">
        <is>
          <t>2026-10-02 16:39:25.277</t>
        </is>
      </c>
      <c r="C120" s="0" t="inlineStr">
        <is>
          <t>Interaction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Success</t>
        </is>
      </c>
      <c r="G120" s="0" t="inlineStr">
        <is>
          <t>Easy</t>
        </is>
      </c>
      <c r="K120" s="4">
        <v>0.0081</v>
      </c>
      <c r="M120" s="0">
        <v>124</v>
      </c>
      <c r="N120" s="0" t="inlineStr">
        <is>
          <t>2026-10-02 16:39:25.277 | Minigame: JuanAndres | Type: GroomStroke | Outcome: Success | Difficulty: Easy | ExpectedTime: 123.3920 | ActualTime: 123.3839 | TimingOffset: -0.0081 | TimingError: 0.0081 | ReactionTime: N/A | SpatialAccuracy: N/A | DirectionAccuracy: 1.0000 | CorrectHand: True</t>
        </is>
      </c>
    </row>
    <row r="121" ht="17" customHeight="1">
      <c r="A121" s="6">
        <v>120</v>
      </c>
      <c r="B121" s="6" t="inlineStr">
        <is>
          <t>2026-10-02 16:39:27.150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K121" s="4">
        <v>0.1715</v>
      </c>
      <c r="M121" s="6">
        <v>125</v>
      </c>
      <c r="N121" s="6" t="inlineStr">
        <is>
          <t>2026-10-02 16:39:27.150 | Minigame: Danniel | Type: GunShoot | Outcome: Success | Difficulty: Easy | ExpectedTime: 125.6960 | ActualTime: 125.8675 | TimingOffset: 0.1715 | TimingError: 0.1715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16:39:27.151</t>
        </is>
      </c>
      <c r="C122" s="0" t="inlineStr">
        <is>
          <t>PlayerState</t>
        </is>
      </c>
      <c r="H122" s="0" t="inlineStr">
        <is>
          <t>Engaged</t>
        </is>
      </c>
      <c r="M122" s="0">
        <v>126</v>
      </c>
      <c r="N122" s="0" t="inlineStr">
        <is>
          <t>2026-10-02 16:39:27.151 | PlayerState: Engaged</t>
        </is>
      </c>
    </row>
    <row r="123" ht="17" customHeight="1">
      <c r="A123" s="6">
        <v>122</v>
      </c>
      <c r="B123" s="6" t="inlineStr">
        <is>
          <t>2026-10-02 16:39:28.553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K123" s="4">
        <v>0.0478</v>
      </c>
      <c r="M123" s="6">
        <v>127</v>
      </c>
      <c r="N123" s="6" t="inlineStr">
        <is>
          <t>2026-10-02 16:39:28.553 | Minigame: Danniel | Type: GunShoot | Outcome: Success | Difficulty: Easy | ExpectedTime: 126.8480 | ActualTime: 126.8958 | TimingOffset: 0.0478 | TimingError: 0.0478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16:39:29.151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PlayerHit</t>
        </is>
      </c>
      <c r="F124" s="0" t="inlineStr">
        <is>
          <t>Failed</t>
        </is>
      </c>
      <c r="G124" s="0" t="inlineStr">
        <is>
          <t>Easy</t>
        </is>
      </c>
      <c r="M124" s="0">
        <v>128</v>
      </c>
      <c r="N124" s="0" t="inlineStr">
        <is>
          <t>2026-10-02 16:39:29.151 | Minigame: Danniel | Type: PlayerHit | Outcome: Failed | Difficulty: Easy | ExpectedTime: 128.0346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16:39:29.289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M125" s="6">
        <v>129</v>
      </c>
      <c r="N125" s="6" t="inlineStr">
        <is>
          <t>2026-10-02 16:39:29.289 | Minigame: Danniel | Type: GunShoot | Outcome: Failed | Difficulty: Easy | ExpectedTime: 128.1735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16:39:31.900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PlayerHit</t>
        </is>
      </c>
      <c r="F126" s="0" t="inlineStr">
        <is>
          <t>Failed</t>
        </is>
      </c>
      <c r="G126" s="0" t="inlineStr">
        <is>
          <t>Easy</t>
        </is>
      </c>
      <c r="M126" s="0">
        <v>130</v>
      </c>
      <c r="N126" s="0" t="inlineStr">
        <is>
          <t>2026-10-02 16:39:31.900 | Minigame: Danniel | Type: PlayerHit | Outcome: Failed | Difficulty: Easy | ExpectedTime: 130.7840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16:39:31.901</t>
        </is>
      </c>
      <c r="C127" s="6" t="inlineStr">
        <is>
          <t>PlayerState</t>
        </is>
      </c>
      <c r="H127" s="6" t="inlineStr">
        <is>
          <t>Overloaded</t>
        </is>
      </c>
      <c r="M127" s="6">
        <v>131</v>
      </c>
      <c r="N127" s="6" t="inlineStr">
        <is>
          <t>2026-10-02 16:39:31.901 | PlayerState: Overloaded</t>
        </is>
      </c>
    </row>
    <row r="128" ht="17" customHeight="1">
      <c r="A128" s="0">
        <v>127</v>
      </c>
      <c r="B128" s="0" t="inlineStr">
        <is>
          <t>2026-10-02 16:39:32.497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Success</t>
        </is>
      </c>
      <c r="G128" s="0" t="inlineStr">
        <is>
          <t>Easy</t>
        </is>
      </c>
      <c r="K128" s="4">
        <v>0.0402</v>
      </c>
      <c r="M128" s="0">
        <v>132</v>
      </c>
      <c r="N128" s="0" t="inlineStr">
        <is>
          <t>2026-10-02 16:39:32.497 | Minigame: Danniel | Type: GunShoot | Outcome: Success | Difficulty: Easy | ExpectedTime: 130.6880 | ActualTime: 130.7282 | TimingOffset: 0.0402 | TimingError: 0.0402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16:39:34.775</t>
        </is>
      </c>
      <c r="C129" s="6" t="inlineStr">
        <is>
          <t>Interaction</t>
        </is>
      </c>
      <c r="D129" s="6" t="inlineStr">
        <is>
          <t>Danniel</t>
        </is>
      </c>
      <c r="E129" s="6" t="inlineStr">
        <is>
          <t>PlayerHit</t>
        </is>
      </c>
      <c r="F129" s="6" t="inlineStr">
        <is>
          <t>Failed</t>
        </is>
      </c>
      <c r="G129" s="6" t="inlineStr">
        <is>
          <t>Easy</t>
        </is>
      </c>
      <c r="M129" s="6">
        <v>133</v>
      </c>
      <c r="N129" s="6" t="inlineStr">
        <is>
          <t>2026-10-02 16:39:34.775 | Minigame: Danniel | Type: PlayerHit | Outcome: Failed | Difficulty: Easy | ExpectedTime: 133.6593 | ActualTime: N/A | TimingOffset: N/A | TimingError: N/A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16:39:36.595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M130" s="0">
        <v>134</v>
      </c>
      <c r="N130" s="0" t="inlineStr">
        <is>
          <t>2026-10-02 16:39:36.595 | Minigame: Danniel | Type: GunShoot | Outcome: Failed | Difficulty: Easy | ExpectedTime: 135.4790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16:39:36.651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K131" s="4">
        <v>0.1133</v>
      </c>
      <c r="M131" s="6">
        <v>135</v>
      </c>
      <c r="N131" s="6" t="inlineStr">
        <is>
          <t>2026-10-02 16:39:36.651 | Minigame: Danniel | Type: GunShoot | Outcome: Success | Difficulty: Easy | ExpectedTime: 134.9120 | ActualTime: 134.7987 | TimingOffset: -0.1133 | TimingError: 0.1133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16:39:38.817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Easy</t>
        </is>
      </c>
      <c r="K132" s="4">
        <v>0.1333</v>
      </c>
      <c r="M132" s="0">
        <v>136</v>
      </c>
      <c r="N132" s="0" t="inlineStr">
        <is>
          <t>2026-10-02 16:39:38.817 | Minigame: Danniel | Type: GunShoot | Outcome: Success | Difficulty: Easy | ExpectedTime: 136.8320 | ActualTime: 136.9653 | TimingOffset: 0.1333 | TimingError: 0.1333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16:39:41.734</t>
        </is>
      </c>
      <c r="C133" s="6" t="inlineStr">
        <is>
          <t>Interaction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Success</t>
        </is>
      </c>
      <c r="G133" s="6" t="inlineStr">
        <is>
          <t>Easy</t>
        </is>
      </c>
      <c r="K133" s="4">
        <v>0.1441</v>
      </c>
      <c r="M133" s="6">
        <v>137</v>
      </c>
      <c r="N133" s="6" t="inlineStr">
        <is>
          <t>2026-10-02 16:39:41.734 | Minigame: Danniel | Type: GunShoot | Outcome: Success | Difficulty: Easy | ExpectedTime: 139.9040 | ActualTime: 140.0481 | TimingOffset: 0.1441 | TimingError: 0.1441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16:39:42.330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Failed</t>
        </is>
      </c>
      <c r="G134" s="0" t="inlineStr">
        <is>
          <t>Easy</t>
        </is>
      </c>
      <c r="M134" s="0">
        <v>138</v>
      </c>
      <c r="N134" s="0" t="inlineStr">
        <is>
          <t>2026-10-02 16:39:42.330 | Minigame: Danniel | Type: GunShoot | Outcome: Failed | Difficulty: Easy | ExpectedTime: 141.2146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16:39:43.400</t>
        </is>
      </c>
      <c r="C135" s="6" t="inlineStr">
        <is>
          <t>Interaction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Success</t>
        </is>
      </c>
      <c r="G135" s="6" t="inlineStr">
        <is>
          <t>Easy</t>
        </is>
      </c>
      <c r="K135" s="4">
        <v>0.0941</v>
      </c>
      <c r="M135" s="6">
        <v>139</v>
      </c>
      <c r="N135" s="6" t="inlineStr">
        <is>
          <t>2026-10-02 16:39:43.400 | Minigame: Danniel | Type: GunShoot | Outcome: Success | Difficulty: Easy | ExpectedTime: 141.4400 | ActualTime: 141.5341 | TimingOffset: 0.0941 | TimingError: 0.0941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16:39:47.496</t>
        </is>
      </c>
      <c r="C136" s="0" t="inlineStr">
        <is>
          <t>Interaction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Failed</t>
        </is>
      </c>
      <c r="G136" s="0" t="inlineStr">
        <is>
          <t>Easy</t>
        </is>
      </c>
      <c r="M136" s="0">
        <v>140</v>
      </c>
      <c r="N136" s="0" t="inlineStr">
        <is>
          <t>2026-10-02 16:39:47.496 | Minigame: Danniel | Type: GunShoot | Outcome: Failed | Difficulty: Easy | ExpectedTime: 146.3802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16:39:48.356</t>
        </is>
      </c>
      <c r="C137" s="6" t="inlineStr">
        <is>
          <t>Interaction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Success</t>
        </is>
      </c>
      <c r="G137" s="6" t="inlineStr">
        <is>
          <t>Easy</t>
        </is>
      </c>
      <c r="K137" s="4">
        <v>0.1375</v>
      </c>
      <c r="M137" s="6">
        <v>141</v>
      </c>
      <c r="N137" s="6" t="inlineStr">
        <is>
          <t>2026-10-02 16:39:48.356 | Minigame: Danniel | Type: GunShoot | Outcome: Success | Difficulty: Easy | ExpectedTime: 146.0480 | ActualTime: 146.1855 | TimingOffset: 0.1375 | TimingError: 0.1375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16:39:52.800</t>
        </is>
      </c>
      <c r="C138" s="0" t="inlineStr">
        <is>
          <t>Interaction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Success</t>
        </is>
      </c>
      <c r="G138" s="0" t="inlineStr">
        <is>
          <t>Easy</t>
        </is>
      </c>
      <c r="K138" s="4">
        <v>0.0329</v>
      </c>
      <c r="M138" s="0">
        <v>142</v>
      </c>
      <c r="N138" s="0" t="inlineStr">
        <is>
          <t>2026-10-02 16:39:52.800 | Minigame: Danniel | Type: GunShoot | Outcome: Success | Difficulty: Easy | ExpectedTime: 151.0400 | ActualTime: 151.0729 | TimingOffset: 0.0329 | TimingError: 0.0329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16:39:52.800</t>
        </is>
      </c>
      <c r="C139" s="6" t="inlineStr">
        <is>
          <t>PlayerState</t>
        </is>
      </c>
      <c r="H139" s="6" t="inlineStr">
        <is>
          <t>Engaged</t>
        </is>
      </c>
      <c r="M139" s="6">
        <v>143</v>
      </c>
      <c r="N139" s="6" t="inlineStr">
        <is>
          <t>2026-10-02 16:39:52.800 | PlayerState: Engaged</t>
        </is>
      </c>
    </row>
    <row r="140" ht="17" customHeight="1">
      <c r="A140" s="0">
        <v>139</v>
      </c>
      <c r="B140" s="0" t="inlineStr">
        <is>
          <t>2026-10-02 16:39:53.341</t>
        </is>
      </c>
      <c r="C140" s="0" t="inlineStr">
        <is>
          <t>Interaction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Failed</t>
        </is>
      </c>
      <c r="G140" s="0" t="inlineStr">
        <is>
          <t>Easy</t>
        </is>
      </c>
      <c r="M140" s="0">
        <v>144</v>
      </c>
      <c r="N140" s="0" t="inlineStr">
        <is>
          <t>2026-10-02 16:39:53.341 | Minigame: Danniel | Type: GunShoot | Outcome: Failed | Difficulty: Easy | ExpectedTime: 152.2251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16:39:54.035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Missed</t>
        </is>
      </c>
      <c r="G141" s="6" t="inlineStr">
        <is>
          <t>Easy</t>
        </is>
      </c>
      <c r="M141" s="6">
        <v>145</v>
      </c>
      <c r="N141" s="6" t="inlineStr">
        <is>
          <t>2026-10-02 16:39:54.035 | Minigame: Danniel | Type: GunShoot | Outcome: Missed | Difficulty: Easy | ExpectedTime: 152.9198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16:39:54.813</t>
        </is>
      </c>
      <c r="C142" s="0" t="inlineStr">
        <is>
          <t>Interaction</t>
        </is>
      </c>
      <c r="D142" s="0" t="inlineStr">
        <is>
          <t>Danniel</t>
        </is>
      </c>
      <c r="E142" s="0" t="inlineStr">
        <is>
          <t>GunShoot</t>
        </is>
      </c>
      <c r="F142" s="0" t="inlineStr">
        <is>
          <t>Success</t>
        </is>
      </c>
      <c r="G142" s="0" t="inlineStr">
        <is>
          <t>Easy</t>
        </is>
      </c>
      <c r="K142" s="4">
        <v>0.0241</v>
      </c>
      <c r="M142" s="0">
        <v>146</v>
      </c>
      <c r="N142" s="0" t="inlineStr">
        <is>
          <t>2026-10-02 16:39:54.813 | Minigame: Danniel | Type: GunShoot | Outcome: Success | Difficulty: Easy | ExpectedTime: 152.5760 | ActualTime: 152.6001 | TimingOffset: 0.0241 | TimingError: 0.0241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16:39:56.521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K143" s="4">
        <v>0.0218</v>
      </c>
      <c r="M143" s="6">
        <v>147</v>
      </c>
      <c r="N143" s="6" t="inlineStr">
        <is>
          <t>2026-10-02 16:39:56.521 | Minigame: Danniel | Type: GunShoot | Outcome: Success | Difficulty: Easy | ExpectedTime: 154.4960 | ActualTime: 154.4742 | TimingOffset: -0.0218 | TimingError: 0.0218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16:40:01.507</t>
        </is>
      </c>
      <c r="C144" s="0" t="inlineStr">
        <is>
          <t>PlayerState</t>
        </is>
      </c>
      <c r="H144" s="0" t="inlineStr">
        <is>
          <t>Idle</t>
        </is>
      </c>
      <c r="M144" s="0">
        <v>148</v>
      </c>
      <c r="N144" s="0" t="inlineStr">
        <is>
          <t>2026-10-02 16:40:01.507 | PlayerState: Idle</t>
        </is>
      </c>
    </row>
    <row r="145" ht="17" customHeight="1">
      <c r="A145" s="6">
        <v>144</v>
      </c>
      <c r="B145" s="6" t="inlineStr">
        <is>
          <t>2026-10-02 16:40:06.315</t>
        </is>
      </c>
      <c r="C145" s="6" t="inlineStr">
        <is>
          <t>Interaction</t>
        </is>
      </c>
      <c r="D145" s="6" t="inlineStr">
        <is>
          <t>Jeremy</t>
        </is>
      </c>
      <c r="E145" s="6" t="inlineStr">
        <is>
          <t>SwordCut</t>
        </is>
      </c>
      <c r="F145" s="6" t="inlineStr">
        <is>
          <t>Success</t>
        </is>
      </c>
      <c r="G145" s="6" t="inlineStr">
        <is>
          <t>Easy</t>
        </is>
      </c>
      <c r="K145" s="4">
        <v>0.2087</v>
      </c>
      <c r="M145" s="6">
        <v>149</v>
      </c>
      <c r="N145" s="6" t="inlineStr">
        <is>
          <t>2026-10-02 16:40:06.315 | Minigame: Jeremy | Type: SwordCut | Outcome: Success | Difficulty: Easy | ExpectedTime: 165.4073 | ActualTime: 165.1986 | TimingOffset: -0.2087 | TimingError: 0.2087 | ReactionTime: N/A | SpatialAccuracy: N/A | DirectionAccuracy: 1.0000 | CorrectHand: True</t>
        </is>
      </c>
    </row>
    <row r="146" ht="17" customHeight="1">
      <c r="A146" s="0">
        <v>145</v>
      </c>
      <c r="B146" s="0" t="inlineStr">
        <is>
          <t>2026-10-02 16:40:06.315</t>
        </is>
      </c>
      <c r="C146" s="0" t="inlineStr">
        <is>
          <t>PlayerState</t>
        </is>
      </c>
      <c r="H146" s="0" t="inlineStr">
        <is>
          <t>Engaged</t>
        </is>
      </c>
      <c r="M146" s="0">
        <v>150</v>
      </c>
      <c r="N146" s="0" t="inlineStr">
        <is>
          <t>2026-10-02 16:40:06.315 | PlayerState: Engaged</t>
        </is>
      </c>
    </row>
    <row r="147" ht="17" customHeight="1">
      <c r="A147" s="6">
        <v>146</v>
      </c>
      <c r="B147" s="6" t="inlineStr">
        <is>
          <t>2026-10-02 16:40:09.118</t>
        </is>
      </c>
      <c r="C147" s="6" t="inlineStr">
        <is>
          <t>Interaction</t>
        </is>
      </c>
      <c r="D147" s="6" t="inlineStr">
        <is>
          <t>Jeremy</t>
        </is>
      </c>
      <c r="E147" s="6" t="inlineStr">
        <is>
          <t>SwordCut</t>
        </is>
      </c>
      <c r="F147" s="6" t="inlineStr">
        <is>
          <t>Failed</t>
        </is>
      </c>
      <c r="G147" s="6" t="inlineStr">
        <is>
          <t>Easy</t>
        </is>
      </c>
      <c r="K147" s="4">
        <v>0.2972</v>
      </c>
      <c r="M147" s="6">
        <v>151</v>
      </c>
      <c r="N147" s="6" t="inlineStr">
        <is>
          <t>2026-10-02 16:40:09.118 | Minigame: Jeremy | Type: SwordCut | Outcome: Failed | Difficulty: Easy | ExpectedTime: 167.7061 | ActualTime: 168.0033 | TimingOffset: 0.2972 | TimingError: 0.2972 | ReactionTime: N/A | SpatialAccuracy: N/A | DirectionAccuracy: 0.0000 | CorrectHand: True</t>
        </is>
      </c>
    </row>
    <row r="148" ht="17" customHeight="1">
      <c r="A148" s="0">
        <v>147</v>
      </c>
      <c r="B148" s="0" t="inlineStr">
        <is>
          <t>2026-10-02 16:40:10.937</t>
        </is>
      </c>
      <c r="C148" s="0" t="inlineStr">
        <is>
          <t>Interaction</t>
        </is>
      </c>
      <c r="D148" s="0" t="inlineStr">
        <is>
          <t>Jeremy</t>
        </is>
      </c>
      <c r="E148" s="0" t="inlineStr">
        <is>
          <t>SwordCut</t>
        </is>
      </c>
      <c r="F148" s="0" t="inlineStr">
        <is>
          <t>Success</t>
        </is>
      </c>
      <c r="G148" s="0" t="inlineStr">
        <is>
          <t>Easy</t>
        </is>
      </c>
      <c r="K148" s="4">
        <v>0.1823</v>
      </c>
      <c r="M148" s="0">
        <v>152</v>
      </c>
      <c r="N148" s="0" t="inlineStr">
        <is>
          <t>2026-10-02 16:40:10.937 | Minigame: Jeremy | Type: SwordCut | Outcome: Success | Difficulty: Easy | ExpectedTime: 170.0049 | ActualTime: 169.8226 | TimingOffset: -0.1823 | TimingError: 0.1823 | ReactionTime: N/A | SpatialAccuracy: N/A | DirectionAccuracy: 1.0000 | CorrectHand: True</t>
        </is>
      </c>
    </row>
    <row r="149" ht="17" customHeight="1">
      <c r="A149" s="6">
        <v>148</v>
      </c>
      <c r="B149" s="6" t="inlineStr">
        <is>
          <t>2026-10-02 16:40:13.256</t>
        </is>
      </c>
      <c r="C149" s="6" t="inlineStr">
        <is>
          <t>Interaction</t>
        </is>
      </c>
      <c r="D149" s="6" t="inlineStr">
        <is>
          <t>Jeremy</t>
        </is>
      </c>
      <c r="E149" s="6" t="inlineStr">
        <is>
          <t>SwordCut</t>
        </is>
      </c>
      <c r="F149" s="6" t="inlineStr">
        <is>
          <t>Success</t>
        </is>
      </c>
      <c r="G149" s="6" t="inlineStr">
        <is>
          <t>Easy</t>
        </is>
      </c>
      <c r="K149" s="4">
        <v>0.162</v>
      </c>
      <c r="M149" s="6">
        <v>153</v>
      </c>
      <c r="N149" s="6" t="inlineStr">
        <is>
          <t>2026-10-02 16:40:13.256 | Minigame: Jeremy | Type: SwordCut | Outcome: Success | Difficulty: Easy | ExpectedTime: 172.3037 | ActualTime: 172.1417 | TimingOffset: -0.1620 | TimingError: 0.1620 | ReactionTime: N/A | SpatialAccuracy: N/A | DirectionAccuracy: 1.0000 | CorrectHand: True</t>
        </is>
      </c>
    </row>
    <row r="150" ht="17" customHeight="1">
      <c r="A150" s="0">
        <v>149</v>
      </c>
      <c r="B150" s="0" t="inlineStr">
        <is>
          <t>2026-10-02 16:40:15.673</t>
        </is>
      </c>
      <c r="C150" s="0" t="inlineStr">
        <is>
          <t>Interaction</t>
        </is>
      </c>
      <c r="D150" s="0" t="inlineStr">
        <is>
          <t>Jeremy</t>
        </is>
      </c>
      <c r="E150" s="0" t="inlineStr">
        <is>
          <t>SwordCut</t>
        </is>
      </c>
      <c r="F150" s="0" t="inlineStr">
        <is>
          <t>Failed</t>
        </is>
      </c>
      <c r="G150" s="0" t="inlineStr">
        <is>
          <t>Easy</t>
        </is>
      </c>
      <c r="K150" s="4">
        <v>0.0448</v>
      </c>
      <c r="M150" s="0">
        <v>154</v>
      </c>
      <c r="N150" s="0" t="inlineStr">
        <is>
          <t>2026-10-02 16:40:15.673 | Minigame: Jeremy | Type: SwordCut | Outcome: Failed | Difficulty: Easy | ExpectedTime: 174.6024 | ActualTime: 174.5577 | TimingOffset: -0.0448 | TimingError: 0.0448 | ReactionTime: N/A | SpatialAccuracy: N/A | DirectionAccuracy: 0.0000 | CorrectHand: True</t>
        </is>
      </c>
    </row>
    <row r="151" ht="17" customHeight="1">
      <c r="A151" s="6">
        <v>150</v>
      </c>
      <c r="B151" s="6" t="inlineStr">
        <is>
          <t>2026-10-02 16:40:18.021</t>
        </is>
      </c>
      <c r="C151" s="6" t="inlineStr">
        <is>
          <t>Interaction</t>
        </is>
      </c>
      <c r="D151" s="6" t="inlineStr">
        <is>
          <t>Jeremy</t>
        </is>
      </c>
      <c r="E151" s="6" t="inlineStr">
        <is>
          <t>SwordCut</t>
        </is>
      </c>
      <c r="F151" s="6" t="inlineStr">
        <is>
          <t>Failed</t>
        </is>
      </c>
      <c r="G151" s="6" t="inlineStr">
        <is>
          <t>Easy</t>
        </is>
      </c>
      <c r="K151" s="4">
        <v>0.0039</v>
      </c>
      <c r="M151" s="6">
        <v>155</v>
      </c>
      <c r="N151" s="6" t="inlineStr">
        <is>
          <t>2026-10-02 16:40:18.021 | Minigame: Jeremy | Type: SwordCut | Outcome: Failed | Difficulty: Easy | ExpectedTime: 176.9012 | ActualTime: 176.9052 | TimingOffset: 0.0039 | TimingError: 0.0039 | ReactionTime: N/A | SpatialAccuracy: N/A | DirectionAccuracy: 0.0000 | CorrectHand: True</t>
        </is>
      </c>
    </row>
    <row r="152" ht="17" customHeight="1">
      <c r="A152" s="0">
        <v>151</v>
      </c>
      <c r="B152" s="0" t="inlineStr">
        <is>
          <t>2026-10-02 16:40:20.951</t>
        </is>
      </c>
      <c r="C152" s="0" t="inlineStr">
        <is>
          <t>Interaction</t>
        </is>
      </c>
      <c r="D152" s="0" t="inlineStr">
        <is>
          <t>Jeremy</t>
        </is>
      </c>
      <c r="E152" s="0" t="inlineStr">
        <is>
          <t>SwordCut</t>
        </is>
      </c>
      <c r="F152" s="0" t="inlineStr">
        <is>
          <t>Missed</t>
        </is>
      </c>
      <c r="G152" s="0" t="inlineStr">
        <is>
          <t>Easy</t>
        </is>
      </c>
      <c r="M152" s="0">
        <v>156</v>
      </c>
      <c r="N152" s="0" t="inlineStr">
        <is>
          <t>2026-10-02 16:40:20.951 | Minigame: Jeremy | Type: SwordCut | Outcome: Missed | Difficulty: Easy | ExpectedTime: 179.2000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16:40:20.951</t>
        </is>
      </c>
      <c r="C153" s="6" t="inlineStr">
        <is>
          <t>PlayerState</t>
        </is>
      </c>
      <c r="H153" s="6" t="inlineStr">
        <is>
          <t>Overloaded</t>
        </is>
      </c>
      <c r="M153" s="6">
        <v>157</v>
      </c>
      <c r="N153" s="6" t="inlineStr">
        <is>
          <t>2026-10-02 16:40:20.951 | PlayerState: Overloaded</t>
        </is>
      </c>
    </row>
    <row r="154" ht="17" customHeight="1">
      <c r="A154" s="0">
        <v>153</v>
      </c>
      <c r="B154" s="0" t="inlineStr">
        <is>
          <t>2026-10-02 16:40:22.533</t>
        </is>
      </c>
      <c r="C154" s="0" t="inlineStr">
        <is>
          <t>Interaction</t>
        </is>
      </c>
      <c r="D154" s="0" t="inlineStr">
        <is>
          <t>Jeremy</t>
        </is>
      </c>
      <c r="E154" s="0" t="inlineStr">
        <is>
          <t>SwordCut</t>
        </is>
      </c>
      <c r="F154" s="0" t="inlineStr">
        <is>
          <t>Failed</t>
        </is>
      </c>
      <c r="G154" s="0" t="inlineStr">
        <is>
          <t>Easy</t>
        </is>
      </c>
      <c r="K154" s="4">
        <v>0.0814</v>
      </c>
      <c r="M154" s="0">
        <v>158</v>
      </c>
      <c r="N154" s="0" t="inlineStr">
        <is>
          <t>2026-10-02 16:40:22.533 | Minigame: Jeremy | Type: SwordCut | Outcome: Failed | Difficulty: Easy | ExpectedTime: 181.4988 | ActualTime: 181.4174 | TimingOffset: -0.0814 | TimingError: 0.0814 | ReactionTime: N/A | SpatialAccuracy: N/A | DirectionAccuracy: 1.0000 | CorrectHand: False</t>
        </is>
      </c>
    </row>
    <row r="155" ht="17" customHeight="1">
      <c r="A155" s="6">
        <v>154</v>
      </c>
      <c r="B155" s="6" t="inlineStr">
        <is>
          <t>2026-10-02 16:40:27.531</t>
        </is>
      </c>
      <c r="C155" s="6" t="inlineStr">
        <is>
          <t>PlayerState</t>
        </is>
      </c>
      <c r="H155" s="6" t="inlineStr">
        <is>
          <t>Idle</t>
        </is>
      </c>
      <c r="M155" s="6">
        <v>159</v>
      </c>
      <c r="N155" s="6" t="inlineStr">
        <is>
          <t>2026-10-02 16:40:27.531 | PlayerState: Idle</t>
        </is>
      </c>
    </row>
  </sheetData>
  <autoFilter ref="A1:N155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