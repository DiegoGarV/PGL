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P020</t>
        </is>
      </c>
    </row>
    <row r="2" ht="17" customHeight="1"/>
    <row r="3" ht="17" customHeight="1">
      <c r="A3" s="6" t="inlineStr">
        <is>
          <t>Inicio: 2026-10-02 14:59:34     |     Fuente: Metrics_P020_2026-10-02_14-59-34.txt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111.0</v>
      </c>
      <c r="C6" s="0">
        <f>COUNTA('Interacciones'!$A$2:$A$112)</f>
        <v>111</v>
      </c>
      <c r="E6" s="0" t="inlineStr">
        <is>
          <t>Cambios de dificultad</t>
        </is>
      </c>
      <c r="F6" s="0">
        <v>3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55.0</v>
      </c>
      <c r="C7" s="6">
        <f>COUNTIF('Interacciones'!$F$2:$F$112,"Success")</f>
        <v>55</v>
      </c>
      <c r="E7" s="6" t="inlineStr">
        <is>
          <t>Estados del jugador</t>
        </is>
      </c>
      <c r="F7" s="6">
        <v>27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48.0</v>
      </c>
      <c r="C8" s="0">
        <f>COUNTIF('Interacciones'!$F$2:$F$112,"Failed")</f>
        <v>48</v>
      </c>
      <c r="E8" s="0" t="inlineStr">
        <is>
          <t>Eventos totales</t>
        </is>
      </c>
      <c r="F8" s="0">
        <v>141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8.0</v>
      </c>
      <c r="C9" s="6">
        <f>COUNTIF('Interacciones'!$F$2:$F$112,"Missed")</f>
        <v>8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0.4955</v>
      </c>
      <c r="C10" s="0">
        <f>IFERROR(C7/C6,0)</f>
        <v>0.4954954954954955</v>
      </c>
    </row>
    <row r="11" ht="17" customHeight="1">
      <c r="A11" s="6" t="inlineStr">
        <is>
          <t>Error timing medio (s)</t>
        </is>
      </c>
      <c r="B11" s="6">
        <v>0.2988</v>
      </c>
      <c r="C11" s="6">
        <f>IFERROR(AVERAGE('Interacciones'!$K$2:$K$112),"")</f>
        <v>0.29876315789473684</v>
      </c>
    </row>
    <row r="12" ht="17" customHeight="1">
      <c r="A12" s="0" t="inlineStr">
        <is>
          <t>Reacción media (s)</t>
        </is>
      </c>
      <c r="B12" s="0">
        <v>0.6794</v>
      </c>
      <c r="C12" s="0">
        <f>IFERROR(AVERAGE('Interacciones'!$L$2:$L$112),"")</f>
        <v>0.6794416666666666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IFERROR(AVERAGE('Interacciones'!$M$2:$M$112),"")</f>
        <v/>
      </c>
    </row>
    <row r="14" ht="17" customHeight="1">
      <c r="A14" s="0" t="inlineStr">
        <is>
          <t>Precisión dirección media</t>
        </is>
      </c>
      <c r="B14" s="0">
        <v>0.4375</v>
      </c>
      <c r="C14" s="0">
        <f>IFERROR(AVERAGE('Interacciones'!$N$2:$N$112),"")</f>
        <v>0.4375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COUNTIF('Interacciones'!$D$2:$D$112,$A5)</f>
        <v>41</v>
      </c>
      <c r="C5" s="6">
        <f>COUNTIFS('Interacciones'!$D$2:$D$112,$A5,'Interacciones'!$F$2:$F$112,"Success")</f>
        <v>24</v>
      </c>
      <c r="D5" s="6">
        <f>COUNTIFS('Interacciones'!$D$2:$D$112,$A5,'Interacciones'!$F$2:$F$112,"Failed")</f>
        <v>13</v>
      </c>
      <c r="E5" s="6">
        <f>COUNTIFS('Interacciones'!$D$2:$D$112,$A5,'Interacciones'!$F$2:$F$112,"Missed")</f>
        <v>4</v>
      </c>
      <c r="F5" s="3">
        <f>IFERROR(C5/B5,0)</f>
        <v>0.5853658536585366</v>
      </c>
      <c r="G5" s="4">
        <f>IFERROR(AVERAGEIF('Interacciones'!$D$2:$D$112,$A5,'Interacciones'!$K$2:$K$112),"")</f>
        <v>0.027136</v>
      </c>
      <c r="H5" s="4" t="str">
        <f>IFERROR(AVERAGEIF('Interacciones'!$D$2:$D$112,$A5,'Interacciones'!$L$2:$L$112),"")</f>
        <v/>
      </c>
      <c r="I5" s="6">
        <f>COUNTIF('Adaptaciones'!$C$2:$C$4,$A5)</f>
        <v>2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COUNTIF('Interacciones'!$D$2:$D$112,$A6)</f>
        <v>13</v>
      </c>
      <c r="C6" s="0">
        <f>COUNTIFS('Interacciones'!$D$2:$D$112,$A6,'Interacciones'!$F$2:$F$112,"Success")</f>
        <v>9</v>
      </c>
      <c r="D6" s="0">
        <f>COUNTIFS('Interacciones'!$D$2:$D$112,$A6,'Interacciones'!$F$2:$F$112,"Failed")</f>
        <v>3</v>
      </c>
      <c r="E6" s="0">
        <f>COUNTIFS('Interacciones'!$D$2:$D$112,$A6,'Interacciones'!$F$2:$F$112,"Missed")</f>
        <v>1</v>
      </c>
      <c r="F6" s="3">
        <f>IFERROR(C6/B6,0)</f>
        <v>0.6923076923076923</v>
      </c>
      <c r="G6" s="4">
        <f>IFERROR(AVERAGEIF('Interacciones'!$D$2:$D$112,$A6,'Interacciones'!$K$2:$K$112),"")</f>
        <v>0.1183</v>
      </c>
      <c r="H6" s="4" t="str">
        <f>IFERROR(AVERAGEIF('Interacciones'!$D$2:$D$112,$A6,'Interacciones'!$L$2:$L$112),"")</f>
        <v/>
      </c>
      <c r="I6" s="0">
        <f>COUNTIF('Adaptaciones'!$C$2:$C$4,$A6)</f>
        <v>0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COUNTIF('Interacciones'!$D$2:$D$112,$A7)</f>
        <v>7</v>
      </c>
      <c r="C7" s="6">
        <f>COUNTIFS('Interacciones'!$D$2:$D$112,$A7,'Interacciones'!$F$2:$F$112,"Success")</f>
        <v>2</v>
      </c>
      <c r="D7" s="6">
        <f>COUNTIFS('Interacciones'!$D$2:$D$112,$A7,'Interacciones'!$F$2:$F$112,"Failed")</f>
        <v>4</v>
      </c>
      <c r="E7" s="6">
        <f>COUNTIFS('Interacciones'!$D$2:$D$112,$A7,'Interacciones'!$F$2:$F$112,"Missed")</f>
        <v>1</v>
      </c>
      <c r="F7" s="3">
        <f>IFERROR(C7/B7,0)</f>
        <v>0.2857142857142857</v>
      </c>
      <c r="G7" s="4">
        <f>IFERROR(AVERAGEIF('Interacciones'!$D$2:$D$112,$A7,'Interacciones'!$K$2:$K$112),"")</f>
        <v>0.13861666666666667</v>
      </c>
      <c r="H7" s="4" t="str">
        <f>IFERROR(AVERAGEIF('Interacciones'!$D$2:$D$112,$A7,'Interacciones'!$L$2:$L$112),"")</f>
        <v/>
      </c>
      <c r="I7" s="6">
        <f>COUNTIF('Adaptaciones'!$C$2:$C$4,$A7)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COUNTIF('Interacciones'!$D$2:$D$112,$A8)</f>
        <v>19</v>
      </c>
      <c r="C8" s="0">
        <f>COUNTIFS('Interacciones'!$D$2:$D$112,$A8,'Interacciones'!$F$2:$F$112,"Success")</f>
        <v>10</v>
      </c>
      <c r="D8" s="0">
        <f>COUNTIFS('Interacciones'!$D$2:$D$112,$A8,'Interacciones'!$F$2:$F$112,"Failed")</f>
        <v>9</v>
      </c>
      <c r="E8" s="0">
        <f>COUNTIFS('Interacciones'!$D$2:$D$112,$A8,'Interacciones'!$F$2:$F$112,"Missed")</f>
        <v>0</v>
      </c>
      <c r="F8" s="3">
        <f>IFERROR(C8/B8,0)</f>
        <v>0.5263157894736842</v>
      </c>
      <c r="G8" s="4">
        <f>IFERROR(AVERAGEIF('Interacciones'!$D$2:$D$112,$A8,'Interacciones'!$K$2:$K$112),"")</f>
        <v>0.13165</v>
      </c>
      <c r="H8" s="4" t="str">
        <f>IFERROR(AVERAGEIF('Interacciones'!$D$2:$D$112,$A8,'Interacciones'!$L$2:$L$112),"")</f>
        <v/>
      </c>
      <c r="I8" s="0">
        <f>COUNTIF('Adaptaciones'!$C$2:$C$4,$A8)</f>
        <v>0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COUNTIF('Interacciones'!$D$2:$D$112,$A9)</f>
        <v>15</v>
      </c>
      <c r="C9" s="6">
        <f>COUNTIFS('Interacciones'!$D$2:$D$112,$A9,'Interacciones'!$F$2:$F$112,"Success")</f>
        <v>5</v>
      </c>
      <c r="D9" s="6">
        <f>COUNTIFS('Interacciones'!$D$2:$D$112,$A9,'Interacciones'!$F$2:$F$112,"Failed")</f>
        <v>9</v>
      </c>
      <c r="E9" s="6">
        <f>COUNTIFS('Interacciones'!$D$2:$D$112,$A9,'Interacciones'!$F$2:$F$112,"Missed")</f>
        <v>1</v>
      </c>
      <c r="F9" s="3">
        <f>IFERROR(C9/B9,0)</f>
        <v>0.3333333333333333</v>
      </c>
      <c r="G9" s="4">
        <f>IFERROR(AVERAGEIF('Interacciones'!$D$2:$D$112,$A9,'Interacciones'!$K$2:$K$112),"")</f>
        <v>1.0268142857142857</v>
      </c>
      <c r="H9" s="4" t="str">
        <f>IFERROR(AVERAGEIF('Interacciones'!$D$2:$D$112,$A9,'Interacciones'!$L$2:$L$112),"")</f>
        <v/>
      </c>
      <c r="I9" s="6">
        <f>COUNTIF('Adaptaciones'!$C$2:$C$4,$A9)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COUNTIF('Interacciones'!$D$2:$D$112,$A10)</f>
        <v>16</v>
      </c>
      <c r="C10" s="0">
        <f>COUNTIFS('Interacciones'!$D$2:$D$112,$A10,'Interacciones'!$F$2:$F$112,"Success")</f>
        <v>5</v>
      </c>
      <c r="D10" s="0">
        <f>COUNTIFS('Interacciones'!$D$2:$D$112,$A10,'Interacciones'!$F$2:$F$112,"Failed")</f>
        <v>10</v>
      </c>
      <c r="E10" s="0">
        <f>COUNTIFS('Interacciones'!$D$2:$D$112,$A10,'Interacciones'!$F$2:$F$112,"Missed")</f>
        <v>1</v>
      </c>
      <c r="F10" s="3">
        <f>IFERROR(C10/B10,0)</f>
        <v>0.3125</v>
      </c>
      <c r="G10" s="4">
        <f>IFERROR(AVERAGEIF('Interacciones'!$D$2:$D$112,$A10,'Interacciones'!$K$2:$K$112),"")</f>
        <v>0.36994166666666667</v>
      </c>
      <c r="H10" s="4">
        <f>IFERROR(AVERAGEIF('Interacciones'!$D$2:$D$112,$A10,'Interacciones'!$L$2:$L$112),"")</f>
        <v>0.6794416666666666</v>
      </c>
      <c r="I10" s="0">
        <f>COUNTIF('Adaptaciones'!$C$2:$C$4,$A10)</f>
        <v>1</v>
      </c>
      <c r="J10" s="0" t="inlineStr">
        <is>
          <t>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3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COUNTIFS('Interacciones'!$D$2:$D$112,$A5,'Interacciones'!$E$2:$E$112,$B5)</f>
        <v>30</v>
      </c>
      <c r="D5" s="6">
        <f>COUNTIFS('Interacciones'!$D$2:$D$112,$A5,'Interacciones'!$E$2:$E$112,$B5,'Interacciones'!$F$2:$F$112,"Success")</f>
        <v>18</v>
      </c>
      <c r="E5" s="6">
        <f>COUNTIFS('Interacciones'!$D$2:$D$112,$A5,'Interacciones'!$E$2:$E$112,$B5,'Interacciones'!$F$2:$F$112,"Failed")</f>
        <v>12</v>
      </c>
      <c r="F5" s="6">
        <f>COUNTIFS('Interacciones'!$D$2:$D$112,$A5,'Interacciones'!$E$2:$E$112,$B5,'Interacciones'!$F$2:$F$112,"Missed")</f>
        <v>0</v>
      </c>
      <c r="G5" s="3">
        <f>IFERROR(D5/C5,0)</f>
        <v>0.6</v>
      </c>
      <c r="H5" s="4">
        <f>IFERROR(AVERAGEIFS('Interacciones'!$K$2:$K$112,'Interacciones'!$D$2:$D$112,$A5,'Interacciones'!$E$2:$E$112,$B5),"")</f>
        <v>0.027136</v>
      </c>
      <c r="I5" s="4" t="str">
        <f>IFERROR(AVERAGEIFS('Interacciones'!$L$2:$L$112,'Interacciones'!$D$2:$D$112,$A5,'Interacciones'!$E$2:$E$112,$B5),"")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COUNTIFS('Interacciones'!$D$2:$D$112,$A6,'Interacciones'!$E$2:$E$112,$B6)</f>
        <v>11</v>
      </c>
      <c r="D6" s="0">
        <f>COUNTIFS('Interacciones'!$D$2:$D$112,$A6,'Interacciones'!$E$2:$E$112,$B6,'Interacciones'!$F$2:$F$112,"Success")</f>
        <v>6</v>
      </c>
      <c r="E6" s="0">
        <f>COUNTIFS('Interacciones'!$D$2:$D$112,$A6,'Interacciones'!$E$2:$E$112,$B6,'Interacciones'!$F$2:$F$112,"Failed")</f>
        <v>1</v>
      </c>
      <c r="F6" s="0">
        <f>COUNTIFS('Interacciones'!$D$2:$D$112,$A6,'Interacciones'!$E$2:$E$112,$B6,'Interacciones'!$F$2:$F$112,"Missed")</f>
        <v>4</v>
      </c>
      <c r="G6" s="3">
        <f>IFERROR(D6/C6,0)</f>
        <v>0.5454545454545454</v>
      </c>
      <c r="H6" s="4" t="str">
        <f>IFERROR(AVERAGEIFS('Interacciones'!$K$2:$K$112,'Interacciones'!$D$2:$D$112,$A6,'Interacciones'!$E$2:$E$112,$B6),"")</f>
        <v/>
      </c>
      <c r="I6" s="4" t="str">
        <f>IFERROR(AVERAGEIFS('Interacciones'!$L$2:$L$112,'Interacciones'!$D$2:$D$112,$A6,'Interacciones'!$E$2:$E$112,$B6),"")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COUNTIFS('Interacciones'!$D$2:$D$112,$A7,'Interacciones'!$E$2:$E$112,$B7)</f>
        <v>12</v>
      </c>
      <c r="D7" s="6">
        <f>COUNTIFS('Interacciones'!$D$2:$D$112,$A7,'Interacciones'!$E$2:$E$112,$B7,'Interacciones'!$F$2:$F$112,"Success")</f>
        <v>9</v>
      </c>
      <c r="E7" s="6">
        <f>COUNTIFS('Interacciones'!$D$2:$D$112,$A7,'Interacciones'!$E$2:$E$112,$B7,'Interacciones'!$F$2:$F$112,"Failed")</f>
        <v>2</v>
      </c>
      <c r="F7" s="6">
        <f>COUNTIFS('Interacciones'!$D$2:$D$112,$A7,'Interacciones'!$E$2:$E$112,$B7,'Interacciones'!$F$2:$F$112,"Missed")</f>
        <v>1</v>
      </c>
      <c r="G7" s="3">
        <f>IFERROR(D7/C7,0)</f>
        <v>0.75</v>
      </c>
      <c r="H7" s="4">
        <f>IFERROR(AVERAGEIFS('Interacciones'!$K$2:$K$112,'Interacciones'!$D$2:$D$112,$A7,'Interacciones'!$E$2:$E$112,$B7),"")</f>
        <v>0.1183</v>
      </c>
      <c r="I7" s="4" t="str">
        <f>IFERROR(AVERAGEIFS('Interacciones'!$L$2:$L$112,'Interacciones'!$D$2:$D$112,$A7,'Interacciones'!$E$2:$E$112,$B7),"")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COUNTIFS('Interacciones'!$D$2:$D$112,$A8,'Interacciones'!$E$2:$E$112,$B8)</f>
        <v>1</v>
      </c>
      <c r="D8" s="0">
        <f>COUNTIFS('Interacciones'!$D$2:$D$112,$A8,'Interacciones'!$E$2:$E$112,$B8,'Interacciones'!$F$2:$F$112,"Success")</f>
        <v>0</v>
      </c>
      <c r="E8" s="0">
        <f>COUNTIFS('Interacciones'!$D$2:$D$112,$A8,'Interacciones'!$E$2:$E$112,$B8,'Interacciones'!$F$2:$F$112,"Failed")</f>
        <v>1</v>
      </c>
      <c r="F8" s="0">
        <f>COUNTIFS('Interacciones'!$D$2:$D$112,$A8,'Interacciones'!$E$2:$E$112,$B8,'Interacciones'!$F$2:$F$112,"Missed")</f>
        <v>0</v>
      </c>
      <c r="G8" s="3">
        <f>IFERROR(D8/C8,0)</f>
        <v>0.0</v>
      </c>
      <c r="H8" s="4" t="str">
        <f>IFERROR(AVERAGEIFS('Interacciones'!$K$2:$K$112,'Interacciones'!$D$2:$D$112,$A8,'Interacciones'!$E$2:$E$112,$B8),"")</f>
        <v/>
      </c>
      <c r="I8" s="4" t="str">
        <f>IFERROR(AVERAGEIFS('Interacciones'!$L$2:$L$112,'Interacciones'!$D$2:$D$112,$A8,'Interacciones'!$E$2:$E$112,$B8),"")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COUNTIFS('Interacciones'!$D$2:$D$112,$A9,'Interacciones'!$E$2:$E$112,$B9)</f>
        <v>7</v>
      </c>
      <c r="D9" s="6">
        <f>COUNTIFS('Interacciones'!$D$2:$D$112,$A9,'Interacciones'!$E$2:$E$112,$B9,'Interacciones'!$F$2:$F$112,"Success")</f>
        <v>2</v>
      </c>
      <c r="E9" s="6">
        <f>COUNTIFS('Interacciones'!$D$2:$D$112,$A9,'Interacciones'!$E$2:$E$112,$B9,'Interacciones'!$F$2:$F$112,"Failed")</f>
        <v>4</v>
      </c>
      <c r="F9" s="6">
        <f>COUNTIFS('Interacciones'!$D$2:$D$112,$A9,'Interacciones'!$E$2:$E$112,$B9,'Interacciones'!$F$2:$F$112,"Missed")</f>
        <v>1</v>
      </c>
      <c r="G9" s="3">
        <f>IFERROR(D9/C9,0)</f>
        <v>0.2857142857142857</v>
      </c>
      <c r="H9" s="4">
        <f>IFERROR(AVERAGEIFS('Interacciones'!$K$2:$K$112,'Interacciones'!$D$2:$D$112,$A9,'Interacciones'!$E$2:$E$112,$B9),"")</f>
        <v>0.13861666666666667</v>
      </c>
      <c r="I9" s="4" t="str">
        <f>IFERROR(AVERAGEIFS('Interacciones'!$L$2:$L$112,'Interacciones'!$D$2:$D$112,$A9,'Interacciones'!$E$2:$E$112,$B9),"")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COUNTIFS('Interacciones'!$D$2:$D$112,$A10,'Interacciones'!$E$2:$E$112,$B10)</f>
        <v>10</v>
      </c>
      <c r="D10" s="0">
        <f>COUNTIFS('Interacciones'!$D$2:$D$112,$A10,'Interacciones'!$E$2:$E$112,$B10,'Interacciones'!$F$2:$F$112,"Success")</f>
        <v>10</v>
      </c>
      <c r="E10" s="0">
        <f>COUNTIFS('Interacciones'!$D$2:$D$112,$A10,'Interacciones'!$E$2:$E$112,$B10,'Interacciones'!$F$2:$F$112,"Failed")</f>
        <v>0</v>
      </c>
      <c r="F10" s="0">
        <f>COUNTIFS('Interacciones'!$D$2:$D$112,$A10,'Interacciones'!$E$2:$E$112,$B10,'Interacciones'!$F$2:$F$112,"Missed")</f>
        <v>0</v>
      </c>
      <c r="G10" s="3">
        <f>IFERROR(D10/C10,0)</f>
        <v>1.0</v>
      </c>
      <c r="H10" s="4">
        <f>IFERROR(AVERAGEIFS('Interacciones'!$K$2:$K$112,'Interacciones'!$D$2:$D$112,$A10,'Interacciones'!$E$2:$E$112,$B10),"")</f>
        <v>0.13165</v>
      </c>
      <c r="I10" s="4" t="str">
        <f>IFERROR(AVERAGEIFS('Interacciones'!$L$2:$L$112,'Interacciones'!$D$2:$D$112,$A10,'Interacciones'!$E$2:$E$112,$B10),"")</f>
        <v/>
      </c>
    </row>
    <row r="11" ht="17" customHeight="1">
      <c r="A11" s="6" t="inlineStr">
        <is>
          <t>Joaquin</t>
        </is>
      </c>
      <c r="B11" s="6" t="inlineStr">
        <is>
          <t>PlayerHit</t>
        </is>
      </c>
      <c r="C11" s="6">
        <f>COUNTIFS('Interacciones'!$D$2:$D$112,$A11,'Interacciones'!$E$2:$E$112,$B11)</f>
        <v>9</v>
      </c>
      <c r="D11" s="6">
        <f>COUNTIFS('Interacciones'!$D$2:$D$112,$A11,'Interacciones'!$E$2:$E$112,$B11,'Interacciones'!$F$2:$F$112,"Success")</f>
        <v>0</v>
      </c>
      <c r="E11" s="6">
        <f>COUNTIFS('Interacciones'!$D$2:$D$112,$A11,'Interacciones'!$E$2:$E$112,$B11,'Interacciones'!$F$2:$F$112,"Failed")</f>
        <v>9</v>
      </c>
      <c r="F11" s="6">
        <f>COUNTIFS('Interacciones'!$D$2:$D$112,$A11,'Interacciones'!$E$2:$E$112,$B11,'Interacciones'!$F$2:$F$112,"Missed")</f>
        <v>0</v>
      </c>
      <c r="G11" s="3">
        <f>IFERROR(D11/C11,0)</f>
        <v>0.0</v>
      </c>
      <c r="H11" s="4" t="str">
        <f>IFERROR(AVERAGEIFS('Interacciones'!$K$2:$K$112,'Interacciones'!$D$2:$D$112,$A11,'Interacciones'!$E$2:$E$112,$B11),"")</f>
        <v/>
      </c>
      <c r="I11" s="4" t="str">
        <f>IFERROR(AVERAGEIFS('Interacciones'!$L$2:$L$112,'Interacciones'!$D$2:$D$112,$A11,'Interacciones'!$E$2:$E$112,$B11),"")</f>
        <v/>
      </c>
    </row>
    <row r="12" ht="17" customHeight="1">
      <c r="A12" s="0" t="inlineStr">
        <is>
          <t>JuanAndres</t>
        </is>
      </c>
      <c r="B12" s="0" t="inlineStr">
        <is>
          <t>GroomStroke</t>
        </is>
      </c>
      <c r="C12" s="0">
        <f>COUNTIFS('Interacciones'!$D$2:$D$112,$A12,'Interacciones'!$E$2:$E$112,$B12)</f>
        <v>15</v>
      </c>
      <c r="D12" s="0">
        <f>COUNTIFS('Interacciones'!$D$2:$D$112,$A12,'Interacciones'!$E$2:$E$112,$B12,'Interacciones'!$F$2:$F$112,"Success")</f>
        <v>5</v>
      </c>
      <c r="E12" s="0">
        <f>COUNTIFS('Interacciones'!$D$2:$D$112,$A12,'Interacciones'!$E$2:$E$112,$B12,'Interacciones'!$F$2:$F$112,"Failed")</f>
        <v>9</v>
      </c>
      <c r="F12" s="0">
        <f>COUNTIFS('Interacciones'!$D$2:$D$112,$A12,'Interacciones'!$E$2:$E$112,$B12,'Interacciones'!$F$2:$F$112,"Missed")</f>
        <v>1</v>
      </c>
      <c r="G12" s="3">
        <f>IFERROR(D12/C12,0)</f>
        <v>0.3333333333333333</v>
      </c>
      <c r="H12" s="4">
        <f>IFERROR(AVERAGEIFS('Interacciones'!$K$2:$K$112,'Interacciones'!$D$2:$D$112,$A12,'Interacciones'!$E$2:$E$112,$B12),"")</f>
        <v>1.0268142857142857</v>
      </c>
      <c r="I12" s="4" t="str">
        <f>IFERROR(AVERAGEIFS('Interacciones'!$L$2:$L$112,'Interacciones'!$D$2:$D$112,$A12,'Interacciones'!$E$2:$E$112,$B12),"")</f>
        <v/>
      </c>
    </row>
    <row r="13" ht="17" customHeight="1">
      <c r="A13" s="6" t="inlineStr">
        <is>
          <t>Shipi</t>
        </is>
      </c>
      <c r="B13" s="6" t="inlineStr">
        <is>
          <t>FoodCut</t>
        </is>
      </c>
      <c r="C13" s="6">
        <f>COUNTIFS('Interacciones'!$D$2:$D$112,$A13,'Interacciones'!$E$2:$E$112,$B13)</f>
        <v>16</v>
      </c>
      <c r="D13" s="6">
        <f>COUNTIFS('Interacciones'!$D$2:$D$112,$A13,'Interacciones'!$E$2:$E$112,$B13,'Interacciones'!$F$2:$F$112,"Success")</f>
        <v>5</v>
      </c>
      <c r="E13" s="6">
        <f>COUNTIFS('Interacciones'!$D$2:$D$112,$A13,'Interacciones'!$E$2:$E$112,$B13,'Interacciones'!$F$2:$F$112,"Failed")</f>
        <v>10</v>
      </c>
      <c r="F13" s="6">
        <f>COUNTIFS('Interacciones'!$D$2:$D$112,$A13,'Interacciones'!$E$2:$E$112,$B13,'Interacciones'!$F$2:$F$112,"Missed")</f>
        <v>1</v>
      </c>
      <c r="G13" s="3">
        <f>IFERROR(D13/C13,0)</f>
        <v>0.3125</v>
      </c>
      <c r="H13" s="4">
        <f>IFERROR(AVERAGEIFS('Interacciones'!$K$2:$K$112,'Interacciones'!$D$2:$D$112,$A13,'Interacciones'!$E$2:$E$112,$B13),"")</f>
        <v>0.36994166666666667</v>
      </c>
      <c r="I13" s="4">
        <f>IFERROR(AVERAGEIFS('Interacciones'!$L$2:$L$112,'Interacciones'!$D$2:$D$112,$A13,'Interacciones'!$E$2:$E$112,$B13),"")</f>
        <v>0.6794416666666666</v>
      </c>
    </row>
  </sheetData>
  <autoFilter ref="A4:I13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12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P020</t>
        </is>
      </c>
      <c r="C2" s="0" t="inlineStr">
        <is>
          <t>2026-10-02 14:59:37.470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Missed</t>
        </is>
      </c>
      <c r="G2" s="0" t="inlineStr">
        <is>
          <t>Normal</t>
        </is>
      </c>
      <c r="H2" s="4">
        <v>0.896</v>
      </c>
      <c r="P2" s="0">
        <v>7</v>
      </c>
    </row>
    <row r="3" ht="17" customHeight="1">
      <c r="A3" s="6">
        <v>3</v>
      </c>
      <c r="B3" s="6" t="inlineStr">
        <is>
          <t>P020</t>
        </is>
      </c>
      <c r="C3" s="6" t="inlineStr">
        <is>
          <t>2026-10-02 14:59:37.930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H3" s="4">
        <v>1.664</v>
      </c>
      <c r="P3" s="6">
        <v>8</v>
      </c>
    </row>
    <row r="4" ht="17" customHeight="1">
      <c r="A4" s="0">
        <v>5</v>
      </c>
      <c r="B4" s="0" t="inlineStr">
        <is>
          <t>P020</t>
        </is>
      </c>
      <c r="C4" s="0" t="inlineStr">
        <is>
          <t>2026-10-02 14:59:37.944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Failed</t>
        </is>
      </c>
      <c r="G4" s="0" t="inlineStr">
        <is>
          <t>Normal</t>
        </is>
      </c>
      <c r="H4" s="4">
        <v>1.664</v>
      </c>
      <c r="P4" s="0">
        <v>10</v>
      </c>
    </row>
    <row r="5" ht="17" customHeight="1">
      <c r="A5" s="6">
        <v>6</v>
      </c>
      <c r="B5" s="6" t="inlineStr">
        <is>
          <t>P020</t>
        </is>
      </c>
      <c r="C5" s="6" t="inlineStr">
        <is>
          <t>2026-10-02 14:59:39.002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Missed</t>
        </is>
      </c>
      <c r="G5" s="6" t="inlineStr">
        <is>
          <t>Normal</t>
        </is>
      </c>
      <c r="H5" s="4">
        <v>2.432</v>
      </c>
      <c r="P5" s="6">
        <v>11</v>
      </c>
    </row>
    <row r="6" ht="17" customHeight="1">
      <c r="A6" s="0">
        <v>7</v>
      </c>
      <c r="B6" s="0" t="inlineStr">
        <is>
          <t>P020</t>
        </is>
      </c>
      <c r="C6" s="0" t="inlineStr">
        <is>
          <t>2026-10-02 14:59:39.448</t>
        </is>
      </c>
      <c r="D6" s="0" t="inlineStr">
        <is>
          <t>Alex</t>
        </is>
      </c>
      <c r="E6" s="0" t="inlineStr">
        <is>
          <t>HammerHit</t>
        </is>
      </c>
      <c r="F6" s="0" t="inlineStr">
        <is>
          <t>Success</t>
        </is>
      </c>
      <c r="G6" s="0" t="inlineStr">
        <is>
          <t>Normal</t>
        </is>
      </c>
      <c r="H6" s="4">
        <v>3.2</v>
      </c>
      <c r="I6" s="4">
        <v>3.2015</v>
      </c>
      <c r="J6" s="4">
        <v>0.0015</v>
      </c>
      <c r="K6" s="4">
        <v>0.0015</v>
      </c>
      <c r="P6" s="0">
        <v>12</v>
      </c>
    </row>
    <row r="7" ht="17" customHeight="1">
      <c r="A7" s="6">
        <v>8</v>
      </c>
      <c r="B7" s="6" t="inlineStr">
        <is>
          <t>P020</t>
        </is>
      </c>
      <c r="C7" s="6" t="inlineStr">
        <is>
          <t>2026-10-02 14:59:39.768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Missed</t>
        </is>
      </c>
      <c r="G7" s="6" t="inlineStr">
        <is>
          <t>Normal</t>
        </is>
      </c>
      <c r="H7" s="4">
        <v>3.2</v>
      </c>
      <c r="P7" s="6">
        <v>13</v>
      </c>
    </row>
    <row r="8" ht="17" customHeight="1">
      <c r="A8" s="0">
        <v>12</v>
      </c>
      <c r="B8" s="0" t="inlineStr">
        <is>
          <t>P020</t>
        </is>
      </c>
      <c r="C8" s="0" t="inlineStr">
        <is>
          <t>2026-10-02 14:59:40.186</t>
        </is>
      </c>
      <c r="D8" s="0" t="inlineStr">
        <is>
          <t>Alex</t>
        </is>
      </c>
      <c r="E8" s="0" t="inlineStr">
        <is>
          <t>HammerHit</t>
        </is>
      </c>
      <c r="F8" s="0" t="inlineStr">
        <is>
          <t>Success</t>
        </is>
      </c>
      <c r="G8" s="0" t="inlineStr">
        <is>
          <t>Easy</t>
        </is>
      </c>
      <c r="H8" s="4">
        <v>3.968</v>
      </c>
      <c r="I8" s="4">
        <v>3.9394</v>
      </c>
      <c r="J8" s="4">
        <v>-0.0286</v>
      </c>
      <c r="K8" s="4">
        <v>0.0286</v>
      </c>
      <c r="P8" s="0">
        <v>17</v>
      </c>
    </row>
    <row r="9" ht="17" customHeight="1">
      <c r="A9" s="6">
        <v>13</v>
      </c>
      <c r="B9" s="6" t="inlineStr">
        <is>
          <t>P020</t>
        </is>
      </c>
      <c r="C9" s="6" t="inlineStr">
        <is>
          <t>2026-10-02 14:59:40.241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Success</t>
        </is>
      </c>
      <c r="G9" s="6" t="inlineStr">
        <is>
          <t>Easy</t>
        </is>
      </c>
      <c r="H9" s="4">
        <v>3.968</v>
      </c>
      <c r="P9" s="6">
        <v>18</v>
      </c>
    </row>
    <row r="10" ht="17" customHeight="1">
      <c r="A10" s="0">
        <v>14</v>
      </c>
      <c r="B10" s="0" t="inlineStr">
        <is>
          <t>P020</t>
        </is>
      </c>
      <c r="C10" s="0" t="inlineStr">
        <is>
          <t>2026-10-02 14:59:41.732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Success</t>
        </is>
      </c>
      <c r="G10" s="0" t="inlineStr">
        <is>
          <t>Easy</t>
        </is>
      </c>
      <c r="H10" s="4">
        <v>5.504</v>
      </c>
      <c r="I10" s="4">
        <v>5.4848</v>
      </c>
      <c r="J10" s="4">
        <v>-0.0192</v>
      </c>
      <c r="K10" s="4">
        <v>0.0192</v>
      </c>
      <c r="P10" s="0">
        <v>19</v>
      </c>
    </row>
    <row r="11" ht="17" customHeight="1">
      <c r="A11" s="6">
        <v>15</v>
      </c>
      <c r="B11" s="6" t="inlineStr">
        <is>
          <t>P020</t>
        </is>
      </c>
      <c r="C11" s="6" t="inlineStr">
        <is>
          <t>2026-10-02 14:59:41.732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Failed</t>
        </is>
      </c>
      <c r="G11" s="6" t="inlineStr">
        <is>
          <t>Easy</t>
        </is>
      </c>
      <c r="H11" s="4">
        <v>5.504</v>
      </c>
      <c r="I11" s="4">
        <v>5.4848</v>
      </c>
      <c r="J11" s="4">
        <v>-0.0192</v>
      </c>
      <c r="K11" s="4">
        <v>0.0192</v>
      </c>
      <c r="P11" s="6">
        <v>20</v>
      </c>
    </row>
    <row r="12" ht="17" customHeight="1">
      <c r="A12" s="0">
        <v>16</v>
      </c>
      <c r="B12" s="0" t="inlineStr">
        <is>
          <t>P020</t>
        </is>
      </c>
      <c r="C12" s="0" t="inlineStr">
        <is>
          <t>2026-10-02 14:59:43.263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Failed</t>
        </is>
      </c>
      <c r="G12" s="0" t="inlineStr">
        <is>
          <t>Easy</t>
        </is>
      </c>
      <c r="H12" s="4">
        <v>7.04</v>
      </c>
      <c r="I12" s="4">
        <v>7.0163</v>
      </c>
      <c r="J12" s="4">
        <v>-0.0237</v>
      </c>
      <c r="K12" s="4">
        <v>0.0237</v>
      </c>
      <c r="P12" s="0">
        <v>21</v>
      </c>
    </row>
    <row r="13" ht="17" customHeight="1">
      <c r="A13" s="6">
        <v>17</v>
      </c>
      <c r="B13" s="6" t="inlineStr">
        <is>
          <t>P020</t>
        </is>
      </c>
      <c r="C13" s="6" t="inlineStr">
        <is>
          <t>2026-10-02 14:59:43.292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Easy</t>
        </is>
      </c>
      <c r="H13" s="4">
        <v>7.04</v>
      </c>
      <c r="P13" s="6">
        <v>22</v>
      </c>
    </row>
    <row r="14" ht="17" customHeight="1">
      <c r="A14" s="0">
        <v>18</v>
      </c>
      <c r="B14" s="0" t="inlineStr">
        <is>
          <t>P020</t>
        </is>
      </c>
      <c r="C14" s="0" t="inlineStr">
        <is>
          <t>2026-10-02 14:59:44.808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Easy</t>
        </is>
      </c>
      <c r="H14" s="4">
        <v>8.576</v>
      </c>
      <c r="I14" s="4">
        <v>8.5615</v>
      </c>
      <c r="J14" s="4">
        <v>-0.0145</v>
      </c>
      <c r="K14" s="4">
        <v>0.0145</v>
      </c>
      <c r="P14" s="0">
        <v>23</v>
      </c>
    </row>
    <row r="15" ht="17" customHeight="1">
      <c r="A15" s="6">
        <v>19</v>
      </c>
      <c r="B15" s="6" t="inlineStr">
        <is>
          <t>P020</t>
        </is>
      </c>
      <c r="C15" s="6" t="inlineStr">
        <is>
          <t>2026-10-02 14:59:44.821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Failed</t>
        </is>
      </c>
      <c r="G15" s="6" t="inlineStr">
        <is>
          <t>Easy</t>
        </is>
      </c>
      <c r="H15" s="4">
        <v>8.576</v>
      </c>
      <c r="I15" s="4">
        <v>8.5615</v>
      </c>
      <c r="J15" s="4">
        <v>-0.0145</v>
      </c>
      <c r="K15" s="4">
        <v>0.0145</v>
      </c>
      <c r="P15" s="6">
        <v>24</v>
      </c>
    </row>
    <row r="16" ht="17" customHeight="1">
      <c r="A16" s="0">
        <v>20</v>
      </c>
      <c r="B16" s="0" t="inlineStr">
        <is>
          <t>P020</t>
        </is>
      </c>
      <c r="C16" s="0" t="inlineStr">
        <is>
          <t>2026-10-02 14:59:46.326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Easy</t>
        </is>
      </c>
      <c r="H16" s="4">
        <v>10.112</v>
      </c>
      <c r="I16" s="4">
        <v>10.0791</v>
      </c>
      <c r="J16" s="4">
        <v>-0.0329</v>
      </c>
      <c r="K16" s="4">
        <v>0.0329</v>
      </c>
      <c r="P16" s="0">
        <v>25</v>
      </c>
    </row>
    <row r="17" ht="17" customHeight="1">
      <c r="A17" s="6">
        <v>21</v>
      </c>
      <c r="B17" s="6" t="inlineStr">
        <is>
          <t>P020</t>
        </is>
      </c>
      <c r="C17" s="6" t="inlineStr">
        <is>
          <t>2026-10-02 14:59:46.409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Failed</t>
        </is>
      </c>
      <c r="G17" s="6" t="inlineStr">
        <is>
          <t>Easy</t>
        </is>
      </c>
      <c r="H17" s="4">
        <v>10.112</v>
      </c>
      <c r="P17" s="6">
        <v>26</v>
      </c>
    </row>
    <row r="18" ht="17" customHeight="1">
      <c r="A18" s="0">
        <v>22</v>
      </c>
      <c r="B18" s="0" t="inlineStr">
        <is>
          <t>P020</t>
        </is>
      </c>
      <c r="C18" s="0" t="inlineStr">
        <is>
          <t>2026-10-02 14:59:47.829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Failed</t>
        </is>
      </c>
      <c r="G18" s="0" t="inlineStr">
        <is>
          <t>Easy</t>
        </is>
      </c>
      <c r="H18" s="4">
        <v>11.648</v>
      </c>
      <c r="I18" s="4">
        <v>11.5833</v>
      </c>
      <c r="J18" s="4">
        <v>-0.0647</v>
      </c>
      <c r="K18" s="4">
        <v>0.0647</v>
      </c>
      <c r="P18" s="0">
        <v>27</v>
      </c>
    </row>
    <row r="19" ht="17" customHeight="1">
      <c r="A19" s="6">
        <v>24</v>
      </c>
      <c r="B19" s="6" t="inlineStr">
        <is>
          <t>P020</t>
        </is>
      </c>
      <c r="C19" s="6" t="inlineStr">
        <is>
          <t>2026-10-02 14:59:47.927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Easy</t>
        </is>
      </c>
      <c r="H19" s="4">
        <v>11.648</v>
      </c>
      <c r="I19" s="4">
        <v>11.6669</v>
      </c>
      <c r="J19" s="4">
        <v>0.0189</v>
      </c>
      <c r="K19" s="4">
        <v>0.0189</v>
      </c>
      <c r="P19" s="6">
        <v>29</v>
      </c>
    </row>
    <row r="20" ht="17" customHeight="1">
      <c r="A20" s="0">
        <v>25</v>
      </c>
      <c r="B20" s="0" t="inlineStr">
        <is>
          <t>P020</t>
        </is>
      </c>
      <c r="C20" s="0" t="inlineStr">
        <is>
          <t>2026-10-02 14:59:49.348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Failed</t>
        </is>
      </c>
      <c r="G20" s="0" t="inlineStr">
        <is>
          <t>Easy</t>
        </is>
      </c>
      <c r="H20" s="4">
        <v>13.184</v>
      </c>
      <c r="I20" s="4">
        <v>13.1012</v>
      </c>
      <c r="J20" s="4">
        <v>-0.0828</v>
      </c>
      <c r="K20" s="4">
        <v>0.0828</v>
      </c>
      <c r="P20" s="0">
        <v>30</v>
      </c>
    </row>
    <row r="21" ht="17" customHeight="1">
      <c r="A21" s="6">
        <v>26</v>
      </c>
      <c r="B21" s="6" t="inlineStr">
        <is>
          <t>P020</t>
        </is>
      </c>
      <c r="C21" s="6" t="inlineStr">
        <is>
          <t>2026-10-02 14:59:49.362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Easy</t>
        </is>
      </c>
      <c r="H21" s="4">
        <v>13.184</v>
      </c>
      <c r="P21" s="6">
        <v>31</v>
      </c>
    </row>
    <row r="22" ht="17" customHeight="1">
      <c r="A22" s="0">
        <v>27</v>
      </c>
      <c r="B22" s="0" t="inlineStr">
        <is>
          <t>P020</t>
        </is>
      </c>
      <c r="C22" s="0" t="inlineStr">
        <is>
          <t>2026-10-02 14:59:50.921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Failed</t>
        </is>
      </c>
      <c r="G22" s="0" t="inlineStr">
        <is>
          <t>Easy</t>
        </is>
      </c>
      <c r="H22" s="4">
        <v>14.72</v>
      </c>
      <c r="I22" s="4">
        <v>14.6743</v>
      </c>
      <c r="J22" s="4">
        <v>-0.0457</v>
      </c>
      <c r="K22" s="4">
        <v>0.0457</v>
      </c>
      <c r="P22" s="0">
        <v>32</v>
      </c>
    </row>
    <row r="23" ht="17" customHeight="1">
      <c r="A23" s="6">
        <v>28</v>
      </c>
      <c r="B23" s="6" t="inlineStr">
        <is>
          <t>P020</t>
        </is>
      </c>
      <c r="C23" s="6" t="inlineStr">
        <is>
          <t>2026-10-02 14:59:50.935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Easy</t>
        </is>
      </c>
      <c r="H23" s="4">
        <v>14.72</v>
      </c>
      <c r="I23" s="4">
        <v>14.6884</v>
      </c>
      <c r="J23" s="4">
        <v>-0.0316</v>
      </c>
      <c r="K23" s="4">
        <v>0.0316</v>
      </c>
      <c r="P23" s="6">
        <v>33</v>
      </c>
    </row>
    <row r="24" ht="17" customHeight="1">
      <c r="A24" s="0">
        <v>29</v>
      </c>
      <c r="B24" s="0" t="inlineStr">
        <is>
          <t>P020</t>
        </is>
      </c>
      <c r="C24" s="0" t="inlineStr">
        <is>
          <t>2026-10-02 14:59:52.466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Failed</t>
        </is>
      </c>
      <c r="G24" s="0" t="inlineStr">
        <is>
          <t>Easy</t>
        </is>
      </c>
      <c r="H24" s="4">
        <v>16.256</v>
      </c>
      <c r="I24" s="4">
        <v>16.2198</v>
      </c>
      <c r="J24" s="4">
        <v>-0.0362</v>
      </c>
      <c r="K24" s="4">
        <v>0.0362</v>
      </c>
      <c r="P24" s="0">
        <v>34</v>
      </c>
    </row>
    <row r="25" ht="17" customHeight="1">
      <c r="A25" s="6">
        <v>30</v>
      </c>
      <c r="B25" s="6" t="inlineStr">
        <is>
          <t>P020</t>
        </is>
      </c>
      <c r="C25" s="6" t="inlineStr">
        <is>
          <t>2026-10-02 14:59:52.508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Easy</t>
        </is>
      </c>
      <c r="H25" s="4">
        <v>16.256</v>
      </c>
      <c r="P25" s="6">
        <v>35</v>
      </c>
    </row>
    <row r="26" ht="17" customHeight="1">
      <c r="A26" s="0">
        <v>31</v>
      </c>
      <c r="B26" s="0" t="inlineStr">
        <is>
          <t>P020</t>
        </is>
      </c>
      <c r="C26" s="0" t="inlineStr">
        <is>
          <t>2026-10-02 14:59:54.011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Easy</t>
        </is>
      </c>
      <c r="H26" s="4">
        <v>17.792</v>
      </c>
      <c r="I26" s="4">
        <v>17.7651</v>
      </c>
      <c r="J26" s="4">
        <v>-0.0269</v>
      </c>
      <c r="K26" s="4">
        <v>0.0269</v>
      </c>
      <c r="P26" s="0">
        <v>36</v>
      </c>
    </row>
    <row r="27" ht="17" customHeight="1">
      <c r="A27" s="6">
        <v>32</v>
      </c>
      <c r="B27" s="6" t="inlineStr">
        <is>
          <t>P020</t>
        </is>
      </c>
      <c r="C27" s="6" t="inlineStr">
        <is>
          <t>2026-10-02 14:59:54.013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Failed</t>
        </is>
      </c>
      <c r="G27" s="6" t="inlineStr">
        <is>
          <t>Easy</t>
        </is>
      </c>
      <c r="H27" s="4">
        <v>17.792</v>
      </c>
      <c r="I27" s="4">
        <v>17.7651</v>
      </c>
      <c r="J27" s="4">
        <v>-0.0269</v>
      </c>
      <c r="K27" s="4">
        <v>0.0269</v>
      </c>
      <c r="P27" s="6">
        <v>37</v>
      </c>
    </row>
    <row r="28" ht="17" customHeight="1">
      <c r="A28" s="0">
        <v>33</v>
      </c>
      <c r="B28" s="0" t="inlineStr">
        <is>
          <t>P020</t>
        </is>
      </c>
      <c r="C28" s="0" t="inlineStr">
        <is>
          <t>2026-10-02 14:59:55.571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Failed</t>
        </is>
      </c>
      <c r="G28" s="0" t="inlineStr">
        <is>
          <t>Easy</t>
        </is>
      </c>
      <c r="H28" s="4">
        <v>19.328</v>
      </c>
      <c r="I28" s="4">
        <v>19.3106</v>
      </c>
      <c r="J28" s="4">
        <v>-0.0174</v>
      </c>
      <c r="K28" s="4">
        <v>0.0174</v>
      </c>
      <c r="P28" s="0">
        <v>38</v>
      </c>
    </row>
    <row r="29" ht="17" customHeight="1">
      <c r="A29" s="6">
        <v>34</v>
      </c>
      <c r="B29" s="6" t="inlineStr">
        <is>
          <t>P020</t>
        </is>
      </c>
      <c r="C29" s="6" t="inlineStr">
        <is>
          <t>2026-10-02 14:59:55.585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Easy</t>
        </is>
      </c>
      <c r="H29" s="4">
        <v>19.328</v>
      </c>
      <c r="P29" s="6">
        <v>39</v>
      </c>
    </row>
    <row r="30" ht="17" customHeight="1">
      <c r="A30" s="0">
        <v>35</v>
      </c>
      <c r="B30" s="0" t="inlineStr">
        <is>
          <t>P020</t>
        </is>
      </c>
      <c r="C30" s="0" t="inlineStr">
        <is>
          <t>2026-10-02 14:59:57.089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Easy</t>
        </is>
      </c>
      <c r="H30" s="4">
        <v>20.864</v>
      </c>
      <c r="I30" s="4">
        <v>20.8424</v>
      </c>
      <c r="J30" s="4">
        <v>-0.0216</v>
      </c>
      <c r="K30" s="4">
        <v>0.0216</v>
      </c>
      <c r="P30" s="0">
        <v>40</v>
      </c>
    </row>
    <row r="31" ht="17" customHeight="1">
      <c r="A31" s="6">
        <v>36</v>
      </c>
      <c r="B31" s="6" t="inlineStr">
        <is>
          <t>P020</t>
        </is>
      </c>
      <c r="C31" s="6" t="inlineStr">
        <is>
          <t>2026-10-02 14:59:57.103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Failed</t>
        </is>
      </c>
      <c r="G31" s="6" t="inlineStr">
        <is>
          <t>Easy</t>
        </is>
      </c>
      <c r="H31" s="4">
        <v>20.864</v>
      </c>
      <c r="I31" s="4">
        <v>20.8424</v>
      </c>
      <c r="J31" s="4">
        <v>-0.0216</v>
      </c>
      <c r="K31" s="4">
        <v>0.0216</v>
      </c>
      <c r="P31" s="6">
        <v>41</v>
      </c>
    </row>
    <row r="32" ht="17" customHeight="1">
      <c r="A32" s="0">
        <v>37</v>
      </c>
      <c r="B32" s="0" t="inlineStr">
        <is>
          <t>P020</t>
        </is>
      </c>
      <c r="C32" s="0" t="inlineStr">
        <is>
          <t>2026-10-02 14:59:58.606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Failed</t>
        </is>
      </c>
      <c r="G32" s="0" t="inlineStr">
        <is>
          <t>Easy</t>
        </is>
      </c>
      <c r="H32" s="4">
        <v>22.4</v>
      </c>
      <c r="I32" s="4">
        <v>22.3598</v>
      </c>
      <c r="J32" s="4">
        <v>-0.0402</v>
      </c>
      <c r="K32" s="4">
        <v>0.0402</v>
      </c>
      <c r="P32" s="0">
        <v>42</v>
      </c>
    </row>
    <row r="33" ht="17" customHeight="1">
      <c r="A33" s="6">
        <v>38</v>
      </c>
      <c r="B33" s="6" t="inlineStr">
        <is>
          <t>P020</t>
        </is>
      </c>
      <c r="C33" s="6" t="inlineStr">
        <is>
          <t>2026-10-02 15:00:00.167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Easy</t>
        </is>
      </c>
      <c r="H33" s="4">
        <v>23.936</v>
      </c>
      <c r="I33" s="4">
        <v>23.9195</v>
      </c>
      <c r="J33" s="4">
        <v>-0.0165</v>
      </c>
      <c r="K33" s="4">
        <v>0.0165</v>
      </c>
      <c r="P33" s="6">
        <v>43</v>
      </c>
    </row>
    <row r="34" ht="17" customHeight="1">
      <c r="A34" s="0">
        <v>39</v>
      </c>
      <c r="B34" s="0" t="inlineStr">
        <is>
          <t>P020</t>
        </is>
      </c>
      <c r="C34" s="0" t="inlineStr">
        <is>
          <t>2026-10-02 15:00:00.180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Easy</t>
        </is>
      </c>
      <c r="H34" s="4">
        <v>23.936</v>
      </c>
      <c r="I34" s="4">
        <v>23.9195</v>
      </c>
      <c r="J34" s="4">
        <v>-0.0165</v>
      </c>
      <c r="K34" s="4">
        <v>0.0165</v>
      </c>
      <c r="P34" s="0">
        <v>44</v>
      </c>
    </row>
    <row r="35" ht="17" customHeight="1">
      <c r="A35" s="6">
        <v>40</v>
      </c>
      <c r="B35" s="6" t="inlineStr">
        <is>
          <t>P020</t>
        </is>
      </c>
      <c r="C35" s="6" t="inlineStr">
        <is>
          <t>2026-10-02 15:00:01.739</t>
        </is>
      </c>
      <c r="D35" s="6" t="inlineStr">
        <is>
          <t>Alex</t>
        </is>
      </c>
      <c r="E35" s="6" t="inlineStr">
        <is>
          <t>HammerTouch</t>
        </is>
      </c>
      <c r="F35" s="6" t="inlineStr">
        <is>
          <t>Success</t>
        </is>
      </c>
      <c r="G35" s="6" t="inlineStr">
        <is>
          <t>Easy</t>
        </is>
      </c>
      <c r="H35" s="4">
        <v>25.472</v>
      </c>
      <c r="P35" s="6">
        <v>45</v>
      </c>
    </row>
    <row r="36" ht="17" customHeight="1">
      <c r="A36" s="0">
        <v>41</v>
      </c>
      <c r="B36" s="0" t="inlineStr">
        <is>
          <t>P020</t>
        </is>
      </c>
      <c r="C36" s="0" t="inlineStr">
        <is>
          <t>2026-10-02 15:00:03.229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Easy</t>
        </is>
      </c>
      <c r="H36" s="4">
        <v>27.008</v>
      </c>
      <c r="I36" s="4">
        <v>26.983</v>
      </c>
      <c r="J36" s="4">
        <v>-0.025</v>
      </c>
      <c r="K36" s="4">
        <v>0.025</v>
      </c>
      <c r="P36" s="0">
        <v>46</v>
      </c>
    </row>
    <row r="37" ht="17" customHeight="1">
      <c r="A37" s="6">
        <v>43</v>
      </c>
      <c r="B37" s="6" t="inlineStr">
        <is>
          <t>P020</t>
        </is>
      </c>
      <c r="C37" s="6" t="inlineStr">
        <is>
          <t>2026-10-02 15:00:03.244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Easy</t>
        </is>
      </c>
      <c r="H37" s="4">
        <v>27.008</v>
      </c>
      <c r="I37" s="4">
        <v>26.9967</v>
      </c>
      <c r="J37" s="4">
        <v>-0.0113</v>
      </c>
      <c r="K37" s="4">
        <v>0.0113</v>
      </c>
      <c r="P37" s="6">
        <v>48</v>
      </c>
    </row>
    <row r="38" ht="17" customHeight="1">
      <c r="A38" s="0">
        <v>44</v>
      </c>
      <c r="B38" s="0" t="inlineStr">
        <is>
          <t>P020</t>
        </is>
      </c>
      <c r="C38" s="0" t="inlineStr">
        <is>
          <t>2026-10-02 15:00:04.831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Success</t>
        </is>
      </c>
      <c r="G38" s="0" t="inlineStr">
        <is>
          <t>Easy</t>
        </is>
      </c>
      <c r="H38" s="4">
        <v>28.544</v>
      </c>
      <c r="P38" s="0">
        <v>49</v>
      </c>
    </row>
    <row r="39" ht="17" customHeight="1">
      <c r="A39" s="6">
        <v>45</v>
      </c>
      <c r="B39" s="6" t="inlineStr">
        <is>
          <t>P020</t>
        </is>
      </c>
      <c r="C39" s="6" t="inlineStr">
        <is>
          <t>2026-10-02 15:00:06.306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Easy</t>
        </is>
      </c>
      <c r="H39" s="4">
        <v>30.08</v>
      </c>
      <c r="I39" s="4">
        <v>30.0595</v>
      </c>
      <c r="J39" s="4">
        <v>-0.0205</v>
      </c>
      <c r="K39" s="4">
        <v>0.0205</v>
      </c>
      <c r="P39" s="6">
        <v>50</v>
      </c>
    </row>
    <row r="40" ht="17" customHeight="1">
      <c r="A40" s="0">
        <v>47</v>
      </c>
      <c r="B40" s="0" t="inlineStr">
        <is>
          <t>P020</t>
        </is>
      </c>
      <c r="C40" s="0" t="inlineStr">
        <is>
          <t>2026-10-02 15:00:06.668</t>
        </is>
      </c>
      <c r="D40" s="0" t="inlineStr">
        <is>
          <t>Alex</t>
        </is>
      </c>
      <c r="E40" s="0" t="inlineStr">
        <is>
          <t>HammerTouch</t>
        </is>
      </c>
      <c r="F40" s="0" t="inlineStr">
        <is>
          <t>Missed</t>
        </is>
      </c>
      <c r="G40" s="0" t="inlineStr">
        <is>
          <t>Normal</t>
        </is>
      </c>
      <c r="H40" s="4">
        <v>30.08</v>
      </c>
      <c r="P40" s="0">
        <v>52</v>
      </c>
    </row>
    <row r="41" ht="17" customHeight="1">
      <c r="A41" s="6">
        <v>48</v>
      </c>
      <c r="B41" s="6" t="inlineStr">
        <is>
          <t>P020</t>
        </is>
      </c>
      <c r="C41" s="6" t="inlineStr">
        <is>
          <t>2026-10-02 15:00:07.142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Success</t>
        </is>
      </c>
      <c r="G41" s="6" t="inlineStr">
        <is>
          <t>Normal</t>
        </is>
      </c>
      <c r="H41" s="4">
        <v>30.848</v>
      </c>
      <c r="P41" s="6">
        <v>53</v>
      </c>
    </row>
    <row r="42" ht="17" customHeight="1">
      <c r="A42" s="0">
        <v>49</v>
      </c>
      <c r="B42" s="0" t="inlineStr">
        <is>
          <t>P020</t>
        </is>
      </c>
      <c r="C42" s="0" t="inlineStr">
        <is>
          <t>2026-10-02 15:00:07.169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Success</t>
        </is>
      </c>
      <c r="G42" s="0" t="inlineStr">
        <is>
          <t>Normal</t>
        </is>
      </c>
      <c r="H42" s="4">
        <v>30.848</v>
      </c>
      <c r="P42" s="0">
        <v>54</v>
      </c>
    </row>
    <row r="43" ht="17" customHeight="1">
      <c r="A43" s="6">
        <v>50</v>
      </c>
      <c r="B43" s="6" t="inlineStr">
        <is>
          <t>P020</t>
        </is>
      </c>
      <c r="C43" s="6" t="inlineStr">
        <is>
          <t>2026-10-02 15:00:09.912</t>
        </is>
      </c>
      <c r="D43" s="6" t="inlineStr">
        <is>
          <t>Joaquin</t>
        </is>
      </c>
      <c r="E43" s="6" t="inlineStr">
        <is>
          <t>GuitarHit</t>
        </is>
      </c>
      <c r="F43" s="6" t="inlineStr">
        <is>
          <t>Success</t>
        </is>
      </c>
      <c r="G43" s="6" t="inlineStr">
        <is>
          <t>Normal</t>
        </is>
      </c>
      <c r="H43" s="4">
        <v>33.536</v>
      </c>
      <c r="I43" s="4">
        <v>33.651</v>
      </c>
      <c r="J43" s="4">
        <v>0.115</v>
      </c>
      <c r="K43" s="4">
        <v>0.115</v>
      </c>
      <c r="P43" s="6">
        <v>55</v>
      </c>
    </row>
    <row r="44" ht="17" customHeight="1">
      <c r="A44" s="0">
        <v>51</v>
      </c>
      <c r="B44" s="0" t="inlineStr">
        <is>
          <t>P020</t>
        </is>
      </c>
      <c r="C44" s="0" t="inlineStr">
        <is>
          <t>2026-10-02 15:00:13.141</t>
        </is>
      </c>
      <c r="D44" s="0" t="inlineStr">
        <is>
          <t>Joaquin</t>
        </is>
      </c>
      <c r="E44" s="0" t="inlineStr">
        <is>
          <t>GuitarHit</t>
        </is>
      </c>
      <c r="F44" s="0" t="inlineStr">
        <is>
          <t>Success</t>
        </is>
      </c>
      <c r="G44" s="0" t="inlineStr">
        <is>
          <t>Normal</t>
        </is>
      </c>
      <c r="H44" s="4">
        <v>36.992</v>
      </c>
      <c r="I44" s="4">
        <v>36.8807</v>
      </c>
      <c r="J44" s="4">
        <v>-0.1113</v>
      </c>
      <c r="K44" s="4">
        <v>0.1113</v>
      </c>
      <c r="P44" s="0">
        <v>56</v>
      </c>
    </row>
    <row r="45" ht="17" customHeight="1">
      <c r="A45" s="6">
        <v>52</v>
      </c>
      <c r="B45" s="6" t="inlineStr">
        <is>
          <t>P020</t>
        </is>
      </c>
      <c r="C45" s="6" t="inlineStr">
        <is>
          <t>2026-10-02 15:00:15.439</t>
        </is>
      </c>
      <c r="D45" s="6" t="inlineStr">
        <is>
          <t>Joaquin</t>
        </is>
      </c>
      <c r="E45" s="6" t="inlineStr">
        <is>
          <t>GuitarHit</t>
        </is>
      </c>
      <c r="F45" s="6" t="inlineStr">
        <is>
          <t>Success</t>
        </is>
      </c>
      <c r="G45" s="6" t="inlineStr">
        <is>
          <t>Normal</t>
        </is>
      </c>
      <c r="H45" s="4">
        <v>39.296</v>
      </c>
      <c r="I45" s="4">
        <v>39.1785</v>
      </c>
      <c r="J45" s="4">
        <v>-0.1175</v>
      </c>
      <c r="K45" s="4">
        <v>0.1175</v>
      </c>
      <c r="P45" s="6">
        <v>57</v>
      </c>
    </row>
    <row r="46" ht="17" customHeight="1">
      <c r="A46" s="0">
        <v>53</v>
      </c>
      <c r="B46" s="0" t="inlineStr">
        <is>
          <t>P020</t>
        </is>
      </c>
      <c r="C46" s="0" t="inlineStr">
        <is>
          <t>2026-10-02 15:00:17.750</t>
        </is>
      </c>
      <c r="D46" s="0" t="inlineStr">
        <is>
          <t>Joaquin</t>
        </is>
      </c>
      <c r="E46" s="0" t="inlineStr">
        <is>
          <t>GuitarHit</t>
        </is>
      </c>
      <c r="F46" s="0" t="inlineStr">
        <is>
          <t>Success</t>
        </is>
      </c>
      <c r="G46" s="0" t="inlineStr">
        <is>
          <t>Normal</t>
        </is>
      </c>
      <c r="H46" s="4">
        <v>41.6</v>
      </c>
      <c r="I46" s="4">
        <v>41.4886</v>
      </c>
      <c r="J46" s="4">
        <v>-0.1114</v>
      </c>
      <c r="K46" s="4">
        <v>0.1114</v>
      </c>
      <c r="P46" s="0">
        <v>58</v>
      </c>
    </row>
    <row r="47" ht="17" customHeight="1">
      <c r="A47" s="6">
        <v>54</v>
      </c>
      <c r="B47" s="6" t="inlineStr">
        <is>
          <t>P020</t>
        </is>
      </c>
      <c r="C47" s="6" t="inlineStr">
        <is>
          <t>2026-10-02 15:00:19.434</t>
        </is>
      </c>
      <c r="D47" s="6" t="inlineStr">
        <is>
          <t>Joaquin</t>
        </is>
      </c>
      <c r="E47" s="6" t="inlineStr">
        <is>
          <t>PlayerHit</t>
        </is>
      </c>
      <c r="F47" s="6" t="inlineStr">
        <is>
          <t>Failed</t>
        </is>
      </c>
      <c r="G47" s="6" t="inlineStr">
        <is>
          <t>Normal</t>
        </is>
      </c>
      <c r="H47" s="4">
        <v>43.1739</v>
      </c>
      <c r="P47" s="6">
        <v>59</v>
      </c>
    </row>
    <row r="48" ht="17" customHeight="1">
      <c r="A48" s="0">
        <v>55</v>
      </c>
      <c r="B48" s="0" t="inlineStr">
        <is>
          <t>P020</t>
        </is>
      </c>
      <c r="C48" s="0" t="inlineStr">
        <is>
          <t>2026-10-02 15:00:20.006</t>
        </is>
      </c>
      <c r="D48" s="0" t="inlineStr">
        <is>
          <t>Joaquin</t>
        </is>
      </c>
      <c r="E48" s="0" t="inlineStr">
        <is>
          <t>GuitarHit</t>
        </is>
      </c>
      <c r="F48" s="0" t="inlineStr">
        <is>
          <t>Success</t>
        </is>
      </c>
      <c r="G48" s="0" t="inlineStr">
        <is>
          <t>Normal</t>
        </is>
      </c>
      <c r="H48" s="4">
        <v>43.904</v>
      </c>
      <c r="I48" s="4">
        <v>43.7452</v>
      </c>
      <c r="J48" s="4">
        <v>-0.1588</v>
      </c>
      <c r="K48" s="4">
        <v>0.1588</v>
      </c>
      <c r="P48" s="0">
        <v>60</v>
      </c>
    </row>
    <row r="49" ht="17" customHeight="1">
      <c r="A49" s="6">
        <v>56</v>
      </c>
      <c r="B49" s="6" t="inlineStr">
        <is>
          <t>P020</t>
        </is>
      </c>
      <c r="C49" s="6" t="inlineStr">
        <is>
          <t>2026-10-02 15:00:23.109</t>
        </is>
      </c>
      <c r="D49" s="6" t="inlineStr">
        <is>
          <t>Joaquin</t>
        </is>
      </c>
      <c r="E49" s="6" t="inlineStr">
        <is>
          <t>PlayerHit</t>
        </is>
      </c>
      <c r="F49" s="6" t="inlineStr">
        <is>
          <t>Failed</t>
        </is>
      </c>
      <c r="G49" s="6" t="inlineStr">
        <is>
          <t>Normal</t>
        </is>
      </c>
      <c r="H49" s="4">
        <v>46.8492</v>
      </c>
      <c r="P49" s="6">
        <v>61</v>
      </c>
    </row>
    <row r="50" ht="17" customHeight="1">
      <c r="A50" s="0">
        <v>58</v>
      </c>
      <c r="B50" s="0" t="inlineStr">
        <is>
          <t>P020</t>
        </is>
      </c>
      <c r="C50" s="0" t="inlineStr">
        <is>
          <t>2026-10-02 15:00:25.017</t>
        </is>
      </c>
      <c r="D50" s="0" t="inlineStr">
        <is>
          <t>Joaquin</t>
        </is>
      </c>
      <c r="E50" s="0" t="inlineStr">
        <is>
          <t>PlayerHit</t>
        </is>
      </c>
      <c r="F50" s="0" t="inlineStr">
        <is>
          <t>Failed</t>
        </is>
      </c>
      <c r="G50" s="0" t="inlineStr">
        <is>
          <t>Normal</t>
        </is>
      </c>
      <c r="H50" s="4">
        <v>48.7569</v>
      </c>
      <c r="P50" s="0">
        <v>63</v>
      </c>
    </row>
    <row r="51" ht="17" customHeight="1">
      <c r="A51" s="6">
        <v>59</v>
      </c>
      <c r="B51" s="6" t="inlineStr">
        <is>
          <t>P020</t>
        </is>
      </c>
      <c r="C51" s="6" t="inlineStr">
        <is>
          <t>2026-10-02 15:00:25.767</t>
        </is>
      </c>
      <c r="D51" s="6" t="inlineStr">
        <is>
          <t>Joaquin</t>
        </is>
      </c>
      <c r="E51" s="6" t="inlineStr">
        <is>
          <t>PlayerHit</t>
        </is>
      </c>
      <c r="F51" s="6" t="inlineStr">
        <is>
          <t>Failed</t>
        </is>
      </c>
      <c r="G51" s="6" t="inlineStr">
        <is>
          <t>Normal</t>
        </is>
      </c>
      <c r="H51" s="4">
        <v>49.5078</v>
      </c>
      <c r="P51" s="6">
        <v>64</v>
      </c>
    </row>
    <row r="52" ht="17" customHeight="1">
      <c r="A52" s="0">
        <v>60</v>
      </c>
      <c r="B52" s="0" t="inlineStr">
        <is>
          <t>P020</t>
        </is>
      </c>
      <c r="C52" s="0" t="inlineStr">
        <is>
          <t>2026-10-02 15:00:27.396</t>
        </is>
      </c>
      <c r="D52" s="0" t="inlineStr">
        <is>
          <t>Joaquin</t>
        </is>
      </c>
      <c r="E52" s="0" t="inlineStr">
        <is>
          <t>PlayerHit</t>
        </is>
      </c>
      <c r="F52" s="0" t="inlineStr">
        <is>
          <t>Failed</t>
        </is>
      </c>
      <c r="G52" s="0" t="inlineStr">
        <is>
          <t>Normal</t>
        </is>
      </c>
      <c r="H52" s="4">
        <v>51.1363</v>
      </c>
      <c r="P52" s="0">
        <v>65</v>
      </c>
    </row>
    <row r="53" ht="17" customHeight="1">
      <c r="A53" s="6">
        <v>61</v>
      </c>
      <c r="B53" s="6" t="inlineStr">
        <is>
          <t>P020</t>
        </is>
      </c>
      <c r="C53" s="6" t="inlineStr">
        <is>
          <t>2026-10-02 15:00:27.647</t>
        </is>
      </c>
      <c r="D53" s="6" t="inlineStr">
        <is>
          <t>Joaquin</t>
        </is>
      </c>
      <c r="E53" s="6" t="inlineStr">
        <is>
          <t>PlayerHit</t>
        </is>
      </c>
      <c r="F53" s="6" t="inlineStr">
        <is>
          <t>Failed</t>
        </is>
      </c>
      <c r="G53" s="6" t="inlineStr">
        <is>
          <t>Normal</t>
        </is>
      </c>
      <c r="H53" s="4">
        <v>51.3868</v>
      </c>
      <c r="P53" s="6">
        <v>66</v>
      </c>
    </row>
    <row r="54" ht="17" customHeight="1">
      <c r="A54" s="0">
        <v>62</v>
      </c>
      <c r="B54" s="0" t="inlineStr">
        <is>
          <t>P020</t>
        </is>
      </c>
      <c r="C54" s="0" t="inlineStr">
        <is>
          <t>2026-10-02 15:00:40.317</t>
        </is>
      </c>
      <c r="D54" s="0" t="inlineStr">
        <is>
          <t>Joaquin</t>
        </is>
      </c>
      <c r="E54" s="0" t="inlineStr">
        <is>
          <t>GuitarHit</t>
        </is>
      </c>
      <c r="F54" s="0" t="inlineStr">
        <is>
          <t>Success</t>
        </is>
      </c>
      <c r="G54" s="0" t="inlineStr">
        <is>
          <t>Normal</t>
        </is>
      </c>
      <c r="H54" s="4">
        <v>53.12</v>
      </c>
      <c r="I54" s="4">
        <v>53.2677</v>
      </c>
      <c r="J54" s="4">
        <v>0.1477</v>
      </c>
      <c r="K54" s="4">
        <v>0.1477</v>
      </c>
      <c r="P54" s="0">
        <v>67</v>
      </c>
    </row>
    <row r="55" ht="17" customHeight="1">
      <c r="A55" s="6">
        <v>64</v>
      </c>
      <c r="B55" s="6" t="inlineStr">
        <is>
          <t>P020</t>
        </is>
      </c>
      <c r="C55" s="6" t="inlineStr">
        <is>
          <t>2026-10-02 15:00:40.331</t>
        </is>
      </c>
      <c r="D55" s="6" t="inlineStr">
        <is>
          <t>Joaquin</t>
        </is>
      </c>
      <c r="E55" s="6" t="inlineStr">
        <is>
          <t>PlayerHit</t>
        </is>
      </c>
      <c r="F55" s="6" t="inlineStr">
        <is>
          <t>Failed</t>
        </is>
      </c>
      <c r="G55" s="6" t="inlineStr">
        <is>
          <t>Normal</t>
        </is>
      </c>
      <c r="H55" s="4">
        <v>53.2814</v>
      </c>
      <c r="P55" s="6">
        <v>69</v>
      </c>
    </row>
    <row r="56" ht="17" customHeight="1">
      <c r="A56" s="0">
        <v>65</v>
      </c>
      <c r="B56" s="0" t="inlineStr">
        <is>
          <t>P020</t>
        </is>
      </c>
      <c r="C56" s="0" t="inlineStr">
        <is>
          <t>2026-10-02 15:00:41.082</t>
        </is>
      </c>
      <c r="D56" s="0" t="inlineStr">
        <is>
          <t>Joaquin</t>
        </is>
      </c>
      <c r="E56" s="0" t="inlineStr">
        <is>
          <t>PlayerHit</t>
        </is>
      </c>
      <c r="F56" s="0" t="inlineStr">
        <is>
          <t>Failed</t>
        </is>
      </c>
      <c r="G56" s="0" t="inlineStr">
        <is>
          <t>Normal</t>
        </is>
      </c>
      <c r="H56" s="4">
        <v>54.0317</v>
      </c>
      <c r="P56" s="0">
        <v>70</v>
      </c>
    </row>
    <row r="57" ht="17" customHeight="1">
      <c r="A57" s="6">
        <v>66</v>
      </c>
      <c r="B57" s="6" t="inlineStr">
        <is>
          <t>P020</t>
        </is>
      </c>
      <c r="C57" s="6" t="inlineStr">
        <is>
          <t>2026-10-02 15:00:42.293</t>
        </is>
      </c>
      <c r="D57" s="6" t="inlineStr">
        <is>
          <t>Joaquin</t>
        </is>
      </c>
      <c r="E57" s="6" t="inlineStr">
        <is>
          <t>GuitarHit</t>
        </is>
      </c>
      <c r="F57" s="6" t="inlineStr">
        <is>
          <t>Success</t>
        </is>
      </c>
      <c r="G57" s="6" t="inlineStr">
        <is>
          <t>Normal</t>
        </is>
      </c>
      <c r="H57" s="4">
        <v>55.424</v>
      </c>
      <c r="I57" s="4">
        <v>55.2432</v>
      </c>
      <c r="J57" s="4">
        <v>-0.1808</v>
      </c>
      <c r="K57" s="4">
        <v>0.1808</v>
      </c>
      <c r="P57" s="6">
        <v>71</v>
      </c>
    </row>
    <row r="58" ht="17" customHeight="1">
      <c r="A58" s="0">
        <v>67</v>
      </c>
      <c r="B58" s="0" t="inlineStr">
        <is>
          <t>P020</t>
        </is>
      </c>
      <c r="C58" s="0" t="inlineStr">
        <is>
          <t>2026-10-02 15:00:44.619</t>
        </is>
      </c>
      <c r="D58" s="0" t="inlineStr">
        <is>
          <t>Joaquin</t>
        </is>
      </c>
      <c r="E58" s="0" t="inlineStr">
        <is>
          <t>GuitarHit</t>
        </is>
      </c>
      <c r="F58" s="0" t="inlineStr">
        <is>
          <t>Success</t>
        </is>
      </c>
      <c r="G58" s="0" t="inlineStr">
        <is>
          <t>Normal</t>
        </is>
      </c>
      <c r="H58" s="4">
        <v>57.728</v>
      </c>
      <c r="I58" s="4">
        <v>57.5684</v>
      </c>
      <c r="J58" s="4">
        <v>-0.1596</v>
      </c>
      <c r="K58" s="4">
        <v>0.1596</v>
      </c>
      <c r="P58" s="0">
        <v>72</v>
      </c>
    </row>
    <row r="59" ht="17" customHeight="1">
      <c r="A59" s="6">
        <v>68</v>
      </c>
      <c r="B59" s="6" t="inlineStr">
        <is>
          <t>P020</t>
        </is>
      </c>
      <c r="C59" s="6" t="inlineStr">
        <is>
          <t>2026-10-02 15:00:47.054</t>
        </is>
      </c>
      <c r="D59" s="6" t="inlineStr">
        <is>
          <t>Joaquin</t>
        </is>
      </c>
      <c r="E59" s="6" t="inlineStr">
        <is>
          <t>GuitarHit</t>
        </is>
      </c>
      <c r="F59" s="6" t="inlineStr">
        <is>
          <t>Success</t>
        </is>
      </c>
      <c r="G59" s="6" t="inlineStr">
        <is>
          <t>Normal</t>
        </is>
      </c>
      <c r="H59" s="4">
        <v>60.032</v>
      </c>
      <c r="I59" s="4">
        <v>60.0046</v>
      </c>
      <c r="J59" s="4">
        <v>-0.0274</v>
      </c>
      <c r="K59" s="4">
        <v>0.0274</v>
      </c>
      <c r="P59" s="6">
        <v>73</v>
      </c>
    </row>
    <row r="60" ht="17" customHeight="1">
      <c r="A60" s="0">
        <v>69</v>
      </c>
      <c r="B60" s="0" t="inlineStr">
        <is>
          <t>P020</t>
        </is>
      </c>
      <c r="C60" s="0" t="inlineStr">
        <is>
          <t>2026-10-02 15:00:49.199</t>
        </is>
      </c>
      <c r="D60" s="0" t="inlineStr">
        <is>
          <t>Joaquin</t>
        </is>
      </c>
      <c r="E60" s="0" t="inlineStr">
        <is>
          <t>GuitarHit</t>
        </is>
      </c>
      <c r="F60" s="0" t="inlineStr">
        <is>
          <t>Success</t>
        </is>
      </c>
      <c r="G60" s="0" t="inlineStr">
        <is>
          <t>Normal</t>
        </is>
      </c>
      <c r="H60" s="4">
        <v>62.336</v>
      </c>
      <c r="I60" s="4">
        <v>62.149</v>
      </c>
      <c r="J60" s="4">
        <v>-0.187</v>
      </c>
      <c r="K60" s="4">
        <v>0.187</v>
      </c>
      <c r="P60" s="0">
        <v>74</v>
      </c>
    </row>
    <row r="61" ht="17" customHeight="1">
      <c r="A61" s="6">
        <v>70</v>
      </c>
      <c r="B61" s="6" t="inlineStr">
        <is>
          <t>P020</t>
        </is>
      </c>
      <c r="C61" s="6" t="inlineStr">
        <is>
          <t>2026-10-02 15:00:49.240</t>
        </is>
      </c>
      <c r="D61" s="6" t="inlineStr">
        <is>
          <t>Joaquin</t>
        </is>
      </c>
      <c r="E61" s="6" t="inlineStr">
        <is>
          <t>PlayerHit</t>
        </is>
      </c>
      <c r="F61" s="6" t="inlineStr">
        <is>
          <t>Failed</t>
        </is>
      </c>
      <c r="G61" s="6" t="inlineStr">
        <is>
          <t>Normal</t>
        </is>
      </c>
      <c r="H61" s="4">
        <v>62.1905</v>
      </c>
      <c r="P61" s="6">
        <v>75</v>
      </c>
    </row>
    <row r="62" ht="17" customHeight="1">
      <c r="A62" s="0">
        <v>72</v>
      </c>
      <c r="B62" s="0" t="inlineStr">
        <is>
          <t>P020</t>
        </is>
      </c>
      <c r="C62" s="0" t="inlineStr">
        <is>
          <t>2026-10-02 15:00:54.213</t>
        </is>
      </c>
      <c r="D62" s="0" t="inlineStr">
        <is>
          <t>Shipi</t>
        </is>
      </c>
      <c r="E62" s="0" t="inlineStr">
        <is>
          <t>FoodCut</t>
        </is>
      </c>
      <c r="F62" s="0" t="inlineStr">
        <is>
          <t>Failed</t>
        </is>
      </c>
      <c r="G62" s="0" t="inlineStr">
        <is>
          <t>Normal</t>
        </is>
      </c>
      <c r="H62" s="4">
        <v>66.6368</v>
      </c>
      <c r="I62" s="4">
        <v>67.1633</v>
      </c>
      <c r="J62" s="4">
        <v>0.5265</v>
      </c>
      <c r="K62" s="4">
        <v>0.5265</v>
      </c>
      <c r="L62" s="4">
        <v>1.3713</v>
      </c>
      <c r="N62" s="4">
        <v>0.0</v>
      </c>
      <c r="P62" s="0">
        <v>77</v>
      </c>
    </row>
    <row r="63" ht="17" customHeight="1">
      <c r="A63" s="6">
        <v>74</v>
      </c>
      <c r="B63" s="6" t="inlineStr">
        <is>
          <t>P020</t>
        </is>
      </c>
      <c r="C63" s="6" t="inlineStr">
        <is>
          <t>2026-10-02 15:00:54.394</t>
        </is>
      </c>
      <c r="D63" s="6" t="inlineStr">
        <is>
          <t>Shipi</t>
        </is>
      </c>
      <c r="E63" s="6" t="inlineStr">
        <is>
          <t>FoodCut</t>
        </is>
      </c>
      <c r="F63" s="6" t="inlineStr">
        <is>
          <t>Failed</t>
        </is>
      </c>
      <c r="G63" s="6" t="inlineStr">
        <is>
          <t>Normal</t>
        </is>
      </c>
      <c r="H63" s="4">
        <v>68.1728</v>
      </c>
      <c r="P63" s="6">
        <v>79</v>
      </c>
    </row>
    <row r="64" ht="17" customHeight="1">
      <c r="A64" s="0">
        <v>75</v>
      </c>
      <c r="B64" s="0" t="inlineStr">
        <is>
          <t>P020</t>
        </is>
      </c>
      <c r="C64" s="0" t="inlineStr">
        <is>
          <t>2026-10-02 15:00:56.036</t>
        </is>
      </c>
      <c r="D64" s="0" t="inlineStr">
        <is>
          <t>Shipi</t>
        </is>
      </c>
      <c r="E64" s="0" t="inlineStr">
        <is>
          <t>FoodCut</t>
        </is>
      </c>
      <c r="F64" s="0" t="inlineStr">
        <is>
          <t>Success</t>
        </is>
      </c>
      <c r="G64" s="0" t="inlineStr">
        <is>
          <t>Normal</t>
        </is>
      </c>
      <c r="H64" s="4">
        <v>69.7088</v>
      </c>
      <c r="I64" s="4">
        <v>68.9872</v>
      </c>
      <c r="J64" s="4">
        <v>-0.7216</v>
      </c>
      <c r="K64" s="4">
        <v>0.7216</v>
      </c>
      <c r="L64" s="4">
        <v>0.1232</v>
      </c>
      <c r="N64" s="4">
        <v>1.0</v>
      </c>
      <c r="P64" s="0">
        <v>80</v>
      </c>
    </row>
    <row r="65" ht="17" customHeight="1">
      <c r="A65" s="6">
        <v>76</v>
      </c>
      <c r="B65" s="6" t="inlineStr">
        <is>
          <t>P020</t>
        </is>
      </c>
      <c r="C65" s="6" t="inlineStr">
        <is>
          <t>2026-10-02 15:00:58.348</t>
        </is>
      </c>
      <c r="D65" s="6" t="inlineStr">
        <is>
          <t>Shipi</t>
        </is>
      </c>
      <c r="E65" s="6" t="inlineStr">
        <is>
          <t>FoodCut</t>
        </is>
      </c>
      <c r="F65" s="6" t="inlineStr">
        <is>
          <t>Success</t>
        </is>
      </c>
      <c r="G65" s="6" t="inlineStr">
        <is>
          <t>Normal</t>
        </is>
      </c>
      <c r="H65" s="4">
        <v>71.2448</v>
      </c>
      <c r="I65" s="4">
        <v>71.2981</v>
      </c>
      <c r="J65" s="4">
        <v>0.0533</v>
      </c>
      <c r="K65" s="4">
        <v>0.0533</v>
      </c>
      <c r="L65" s="4">
        <v>0.8981</v>
      </c>
      <c r="N65" s="4">
        <v>1.0</v>
      </c>
      <c r="P65" s="6">
        <v>81</v>
      </c>
    </row>
    <row r="66" ht="17" customHeight="1">
      <c r="A66" s="0">
        <v>77</v>
      </c>
      <c r="B66" s="0" t="inlineStr">
        <is>
          <t>P020</t>
        </is>
      </c>
      <c r="C66" s="0" t="inlineStr">
        <is>
          <t>2026-10-02 15:00:59.656</t>
        </is>
      </c>
      <c r="D66" s="0" t="inlineStr">
        <is>
          <t>Shipi</t>
        </is>
      </c>
      <c r="E66" s="0" t="inlineStr">
        <is>
          <t>FoodCut</t>
        </is>
      </c>
      <c r="F66" s="0" t="inlineStr">
        <is>
          <t>Success</t>
        </is>
      </c>
      <c r="G66" s="0" t="inlineStr">
        <is>
          <t>Normal</t>
        </is>
      </c>
      <c r="H66" s="4">
        <v>72.7808</v>
      </c>
      <c r="I66" s="4">
        <v>72.6069</v>
      </c>
      <c r="J66" s="4">
        <v>-0.1739</v>
      </c>
      <c r="K66" s="4">
        <v>0.1739</v>
      </c>
      <c r="L66" s="4">
        <v>0.6709</v>
      </c>
      <c r="N66" s="4">
        <v>1.0</v>
      </c>
      <c r="P66" s="0">
        <v>82</v>
      </c>
    </row>
    <row r="67" ht="17" customHeight="1">
      <c r="A67" s="6">
        <v>78</v>
      </c>
      <c r="B67" s="6" t="inlineStr">
        <is>
          <t>P020</t>
        </is>
      </c>
      <c r="C67" s="6" t="inlineStr">
        <is>
          <t>2026-10-02 15:01:00.868</t>
        </is>
      </c>
      <c r="D67" s="6" t="inlineStr">
        <is>
          <t>Shipi</t>
        </is>
      </c>
      <c r="E67" s="6" t="inlineStr">
        <is>
          <t>FoodCut</t>
        </is>
      </c>
      <c r="F67" s="6" t="inlineStr">
        <is>
          <t>Failed</t>
        </is>
      </c>
      <c r="G67" s="6" t="inlineStr">
        <is>
          <t>Normal</t>
        </is>
      </c>
      <c r="H67" s="4">
        <v>74.3168</v>
      </c>
      <c r="I67" s="4">
        <v>73.8184</v>
      </c>
      <c r="J67" s="4">
        <v>-0.4984</v>
      </c>
      <c r="K67" s="4">
        <v>0.4984</v>
      </c>
      <c r="L67" s="4">
        <v>0.3464</v>
      </c>
      <c r="N67" s="4">
        <v>0.0</v>
      </c>
      <c r="P67" s="6">
        <v>83</v>
      </c>
    </row>
    <row r="68" ht="17" customHeight="1">
      <c r="A68" s="0">
        <v>79</v>
      </c>
      <c r="B68" s="0" t="inlineStr">
        <is>
          <t>P020</t>
        </is>
      </c>
      <c r="C68" s="0" t="inlineStr">
        <is>
          <t>2026-10-02 15:01:02.442</t>
        </is>
      </c>
      <c r="D68" s="0" t="inlineStr">
        <is>
          <t>Shipi</t>
        </is>
      </c>
      <c r="E68" s="0" t="inlineStr">
        <is>
          <t>FoodCut</t>
        </is>
      </c>
      <c r="F68" s="0" t="inlineStr">
        <is>
          <t>Failed</t>
        </is>
      </c>
      <c r="G68" s="0" t="inlineStr">
        <is>
          <t>Normal</t>
        </is>
      </c>
      <c r="H68" s="4">
        <v>75.8528</v>
      </c>
      <c r="I68" s="4">
        <v>75.3914</v>
      </c>
      <c r="J68" s="4">
        <v>-0.4614</v>
      </c>
      <c r="K68" s="4">
        <v>0.4614</v>
      </c>
      <c r="L68" s="4">
        <v>0.3834</v>
      </c>
      <c r="N68" s="4">
        <v>0.0</v>
      </c>
      <c r="P68" s="0">
        <v>84</v>
      </c>
    </row>
    <row r="69" ht="17" customHeight="1">
      <c r="A69" s="6">
        <v>80</v>
      </c>
      <c r="B69" s="6" t="inlineStr">
        <is>
          <t>P020</t>
        </is>
      </c>
      <c r="C69" s="6" t="inlineStr">
        <is>
          <t>2026-10-02 15:01:05.142</t>
        </is>
      </c>
      <c r="D69" s="6" t="inlineStr">
        <is>
          <t>Shipi</t>
        </is>
      </c>
      <c r="E69" s="6" t="inlineStr">
        <is>
          <t>FoodCut</t>
        </is>
      </c>
      <c r="F69" s="6" t="inlineStr">
        <is>
          <t>Missed</t>
        </is>
      </c>
      <c r="G69" s="6" t="inlineStr">
        <is>
          <t>Normal</t>
        </is>
      </c>
      <c r="H69" s="4">
        <v>77.3888</v>
      </c>
      <c r="P69" s="6">
        <v>85</v>
      </c>
    </row>
    <row r="70" ht="17" customHeight="1">
      <c r="A70" s="0">
        <v>84</v>
      </c>
      <c r="B70" s="0" t="inlineStr">
        <is>
          <t>P020</t>
        </is>
      </c>
      <c r="C70" s="0" t="inlineStr">
        <is>
          <t>2026-10-02 15:01:06.019</t>
        </is>
      </c>
      <c r="D70" s="0" t="inlineStr">
        <is>
          <t>Shipi</t>
        </is>
      </c>
      <c r="E70" s="0" t="inlineStr">
        <is>
          <t>FoodCut</t>
        </is>
      </c>
      <c r="F70" s="0" t="inlineStr">
        <is>
          <t>Failed</t>
        </is>
      </c>
      <c r="G70" s="0" t="inlineStr">
        <is>
          <t>Normal</t>
        </is>
      </c>
      <c r="H70" s="4">
        <v>78.9248</v>
      </c>
      <c r="I70" s="4">
        <v>78.9696</v>
      </c>
      <c r="J70" s="4">
        <v>0.0448</v>
      </c>
      <c r="K70" s="4">
        <v>0.0448</v>
      </c>
      <c r="L70" s="4">
        <v>0.8896</v>
      </c>
      <c r="N70" s="4">
        <v>0.0</v>
      </c>
      <c r="P70" s="0">
        <v>89</v>
      </c>
    </row>
    <row r="71" ht="17" customHeight="1">
      <c r="A71" s="6">
        <v>86</v>
      </c>
      <c r="B71" s="6" t="inlineStr">
        <is>
          <t>P020</t>
        </is>
      </c>
      <c r="C71" s="6" t="inlineStr">
        <is>
          <t>2026-10-02 15:01:07.732</t>
        </is>
      </c>
      <c r="D71" s="6" t="inlineStr">
        <is>
          <t>Shipi</t>
        </is>
      </c>
      <c r="E71" s="6" t="inlineStr">
        <is>
          <t>FoodCut</t>
        </is>
      </c>
      <c r="F71" s="6" t="inlineStr">
        <is>
          <t>Failed</t>
        </is>
      </c>
      <c r="G71" s="6" t="inlineStr">
        <is>
          <t>Normal</t>
        </is>
      </c>
      <c r="H71" s="4">
        <v>81.056</v>
      </c>
      <c r="P71" s="6">
        <v>91</v>
      </c>
    </row>
    <row r="72" ht="17" customHeight="1">
      <c r="A72" s="0">
        <v>87</v>
      </c>
      <c r="B72" s="0" t="inlineStr">
        <is>
          <t>P020</t>
        </is>
      </c>
      <c r="C72" s="0" t="inlineStr">
        <is>
          <t>2026-10-02 15:01:09.556</t>
        </is>
      </c>
      <c r="D72" s="0" t="inlineStr">
        <is>
          <t>Shipi</t>
        </is>
      </c>
      <c r="E72" s="0" t="inlineStr">
        <is>
          <t>FoodCut</t>
        </is>
      </c>
      <c r="F72" s="0" t="inlineStr">
        <is>
          <t>Failed</t>
        </is>
      </c>
      <c r="G72" s="0" t="inlineStr">
        <is>
          <t>Easy</t>
        </is>
      </c>
      <c r="H72" s="4">
        <v>82.976</v>
      </c>
      <c r="I72" s="4">
        <v>82.5058</v>
      </c>
      <c r="J72" s="4">
        <v>-0.4702</v>
      </c>
      <c r="K72" s="4">
        <v>0.4702</v>
      </c>
      <c r="L72" s="4">
        <v>0.5858</v>
      </c>
      <c r="N72" s="4">
        <v>0.0</v>
      </c>
      <c r="P72" s="0">
        <v>92</v>
      </c>
    </row>
    <row r="73" ht="17" customHeight="1">
      <c r="A73" s="6">
        <v>89</v>
      </c>
      <c r="B73" s="6" t="inlineStr">
        <is>
          <t>P020</t>
        </is>
      </c>
      <c r="C73" s="6" t="inlineStr">
        <is>
          <t>2026-10-02 15:01:11.393</t>
        </is>
      </c>
      <c r="D73" s="6" t="inlineStr">
        <is>
          <t>Shipi</t>
        </is>
      </c>
      <c r="E73" s="6" t="inlineStr">
        <is>
          <t>FoodCut</t>
        </is>
      </c>
      <c r="F73" s="6" t="inlineStr">
        <is>
          <t>Failed</t>
        </is>
      </c>
      <c r="G73" s="6" t="inlineStr">
        <is>
          <t>Easy</t>
        </is>
      </c>
      <c r="H73" s="4">
        <v>84.896</v>
      </c>
      <c r="I73" s="4">
        <v>84.3432</v>
      </c>
      <c r="J73" s="4">
        <v>-0.5528</v>
      </c>
      <c r="K73" s="4">
        <v>0.5528</v>
      </c>
      <c r="L73" s="4">
        <v>0.5032</v>
      </c>
      <c r="N73" s="4">
        <v>0.0</v>
      </c>
      <c r="P73" s="6">
        <v>94</v>
      </c>
    </row>
    <row r="74" ht="17" customHeight="1">
      <c r="A74" s="0">
        <v>90</v>
      </c>
      <c r="B74" s="0" t="inlineStr">
        <is>
          <t>P020</t>
        </is>
      </c>
      <c r="C74" s="0" t="inlineStr">
        <is>
          <t>2026-10-02 15:01:13.940</t>
        </is>
      </c>
      <c r="D74" s="0" t="inlineStr">
        <is>
          <t>Shipi</t>
        </is>
      </c>
      <c r="E74" s="0" t="inlineStr">
        <is>
          <t>FoodCut</t>
        </is>
      </c>
      <c r="F74" s="0" t="inlineStr">
        <is>
          <t>Success</t>
        </is>
      </c>
      <c r="G74" s="0" t="inlineStr">
        <is>
          <t>Easy</t>
        </is>
      </c>
      <c r="H74" s="4">
        <v>86.816</v>
      </c>
      <c r="I74" s="4">
        <v>86.8909</v>
      </c>
      <c r="J74" s="4">
        <v>0.0749</v>
      </c>
      <c r="K74" s="4">
        <v>0.0749</v>
      </c>
      <c r="L74" s="4">
        <v>1.1309</v>
      </c>
      <c r="N74" s="4">
        <v>1.0</v>
      </c>
      <c r="P74" s="0">
        <v>95</v>
      </c>
    </row>
    <row r="75" ht="17" customHeight="1">
      <c r="A75" s="6">
        <v>91</v>
      </c>
      <c r="B75" s="6" t="inlineStr">
        <is>
          <t>P020</t>
        </is>
      </c>
      <c r="C75" s="6" t="inlineStr">
        <is>
          <t>2026-10-02 15:01:15.500</t>
        </is>
      </c>
      <c r="D75" s="6" t="inlineStr">
        <is>
          <t>Shipi</t>
        </is>
      </c>
      <c r="E75" s="6" t="inlineStr">
        <is>
          <t>FoodCut</t>
        </is>
      </c>
      <c r="F75" s="6" t="inlineStr">
        <is>
          <t>Failed</t>
        </is>
      </c>
      <c r="G75" s="6" t="inlineStr">
        <is>
          <t>Easy</t>
        </is>
      </c>
      <c r="H75" s="4">
        <v>88.736</v>
      </c>
      <c r="I75" s="4">
        <v>88.4505</v>
      </c>
      <c r="J75" s="4">
        <v>-0.2855</v>
      </c>
      <c r="K75" s="4">
        <v>0.2855</v>
      </c>
      <c r="L75" s="4">
        <v>0.7705</v>
      </c>
      <c r="N75" s="4">
        <v>0.0</v>
      </c>
      <c r="P75" s="6">
        <v>96</v>
      </c>
    </row>
    <row r="76" ht="17" customHeight="1">
      <c r="A76" s="0">
        <v>92</v>
      </c>
      <c r="B76" s="0" t="inlineStr">
        <is>
          <t>P020</t>
        </is>
      </c>
      <c r="C76" s="0" t="inlineStr">
        <is>
          <t>2026-10-02 15:01:17.130</t>
        </is>
      </c>
      <c r="D76" s="0" t="inlineStr">
        <is>
          <t>Shipi</t>
        </is>
      </c>
      <c r="E76" s="0" t="inlineStr">
        <is>
          <t>FoodCut</t>
        </is>
      </c>
      <c r="F76" s="0" t="inlineStr">
        <is>
          <t>Success</t>
        </is>
      </c>
      <c r="G76" s="0" t="inlineStr">
        <is>
          <t>Easy</t>
        </is>
      </c>
      <c r="H76" s="4">
        <v>90.656</v>
      </c>
      <c r="I76" s="4">
        <v>90.08</v>
      </c>
      <c r="J76" s="4">
        <v>-0.576</v>
      </c>
      <c r="K76" s="4">
        <v>0.576</v>
      </c>
      <c r="L76" s="4">
        <v>0.48</v>
      </c>
      <c r="N76" s="4">
        <v>1.0</v>
      </c>
      <c r="P76" s="0">
        <v>97</v>
      </c>
    </row>
    <row r="77" ht="17" customHeight="1">
      <c r="A77" s="6">
        <v>94</v>
      </c>
      <c r="B77" s="6" t="inlineStr">
        <is>
          <t>P020</t>
        </is>
      </c>
      <c r="C77" s="6" t="inlineStr">
        <is>
          <t>2026-10-02 15:01:18.591</t>
        </is>
      </c>
      <c r="D77" s="6" t="inlineStr">
        <is>
          <t>Shipi</t>
        </is>
      </c>
      <c r="E77" s="6" t="inlineStr">
        <is>
          <t>FoodCut</t>
        </is>
      </c>
      <c r="F77" s="6" t="inlineStr">
        <is>
          <t>Failed</t>
        </is>
      </c>
      <c r="G77" s="6" t="inlineStr">
        <is>
          <t>Easy</t>
        </is>
      </c>
      <c r="H77" s="4">
        <v>92.576</v>
      </c>
      <c r="P77" s="6">
        <v>99</v>
      </c>
    </row>
    <row r="78" ht="17" customHeight="1">
      <c r="A78" s="0">
        <v>96</v>
      </c>
      <c r="B78" s="0" t="inlineStr">
        <is>
          <t>P020</t>
        </is>
      </c>
      <c r="C78" s="0" t="inlineStr">
        <is>
          <t>2026-10-02 15:01:24.175</t>
        </is>
      </c>
      <c r="D78" s="0" t="inlineStr">
        <is>
          <t>JuanAndres</t>
        </is>
      </c>
      <c r="E78" s="0" t="inlineStr">
        <is>
          <t>GroomStroke</t>
        </is>
      </c>
      <c r="F78" s="0" t="inlineStr">
        <is>
          <t>Success</t>
        </is>
      </c>
      <c r="G78" s="0" t="inlineStr">
        <is>
          <t>Easy</t>
        </is>
      </c>
      <c r="H78" s="4">
        <v>94.976</v>
      </c>
      <c r="I78" s="4">
        <v>95.44</v>
      </c>
      <c r="J78" s="4">
        <v>0.464</v>
      </c>
      <c r="K78" s="4">
        <v>0.464</v>
      </c>
      <c r="N78" s="4">
        <v>1.0</v>
      </c>
      <c r="O78" s="0" t="b">
        <v>1</v>
      </c>
      <c r="P78" s="0">
        <v>101</v>
      </c>
    </row>
    <row r="79" ht="17" customHeight="1">
      <c r="A79" s="6">
        <v>98</v>
      </c>
      <c r="B79" s="6" t="inlineStr">
        <is>
          <t>P020</t>
        </is>
      </c>
      <c r="C79" s="6" t="inlineStr">
        <is>
          <t>2026-10-02 15:01:25.176</t>
        </is>
      </c>
      <c r="D79" s="6" t="inlineStr">
        <is>
          <t>JuanAndres</t>
        </is>
      </c>
      <c r="E79" s="6" t="inlineStr">
        <is>
          <t>GroomStroke</t>
        </is>
      </c>
      <c r="F79" s="6" t="inlineStr">
        <is>
          <t>Failed</t>
        </is>
      </c>
      <c r="G79" s="6" t="inlineStr">
        <is>
          <t>Easy</t>
        </is>
      </c>
      <c r="H79" s="4">
        <v>97.664</v>
      </c>
      <c r="I79" s="4">
        <v>97.8622</v>
      </c>
      <c r="J79" s="4">
        <v>0.1982</v>
      </c>
      <c r="K79" s="4">
        <v>0.1982</v>
      </c>
      <c r="N79" s="4">
        <v>0.0</v>
      </c>
      <c r="O79" s="6" t="b">
        <v>1</v>
      </c>
      <c r="P79" s="6">
        <v>103</v>
      </c>
    </row>
    <row r="80" ht="17" customHeight="1">
      <c r="A80" s="0">
        <v>99</v>
      </c>
      <c r="B80" s="0" t="inlineStr">
        <is>
          <t>P020</t>
        </is>
      </c>
      <c r="C80" s="0" t="inlineStr">
        <is>
          <t>2026-10-02 15:01:25.831</t>
        </is>
      </c>
      <c r="D80" s="0" t="inlineStr">
        <is>
          <t>JuanAndres</t>
        </is>
      </c>
      <c r="E80" s="0" t="inlineStr">
        <is>
          <t>GroomStroke</t>
        </is>
      </c>
      <c r="F80" s="0" t="inlineStr">
        <is>
          <t>Failed</t>
        </is>
      </c>
      <c r="G80" s="0" t="inlineStr">
        <is>
          <t>Easy</t>
        </is>
      </c>
      <c r="H80" s="4">
        <v>96.128</v>
      </c>
      <c r="I80" s="4">
        <v>98.6281</v>
      </c>
      <c r="J80" s="4">
        <v>2.5001</v>
      </c>
      <c r="K80" s="4">
        <v>2.5001</v>
      </c>
      <c r="N80" s="4">
        <v>0.0</v>
      </c>
      <c r="O80" s="0" t="b">
        <v>1</v>
      </c>
      <c r="P80" s="0">
        <v>104</v>
      </c>
    </row>
    <row r="81" ht="17" customHeight="1">
      <c r="A81" s="6">
        <v>101</v>
      </c>
      <c r="B81" s="6" t="inlineStr">
        <is>
          <t>P020</t>
        </is>
      </c>
      <c r="C81" s="6" t="inlineStr">
        <is>
          <t>2026-10-02 15:01:33.098</t>
        </is>
      </c>
      <c r="D81" s="6" t="inlineStr">
        <is>
          <t>JuanAndres</t>
        </is>
      </c>
      <c r="E81" s="6" t="inlineStr">
        <is>
          <t>GroomStroke</t>
        </is>
      </c>
      <c r="F81" s="6" t="inlineStr">
        <is>
          <t>Failed</t>
        </is>
      </c>
      <c r="G81" s="6" t="inlineStr">
        <is>
          <t>Easy</t>
        </is>
      </c>
      <c r="H81" s="4">
        <v>102.656</v>
      </c>
      <c r="I81" s="4">
        <v>105.7</v>
      </c>
      <c r="J81" s="4">
        <v>3.044</v>
      </c>
      <c r="K81" s="4">
        <v>3.044</v>
      </c>
      <c r="N81" s="4">
        <v>0.0</v>
      </c>
      <c r="O81" s="6" t="b">
        <v>1</v>
      </c>
      <c r="P81" s="6">
        <v>106</v>
      </c>
    </row>
    <row r="82" ht="17" customHeight="1">
      <c r="A82" s="0">
        <v>103</v>
      </c>
      <c r="B82" s="0" t="inlineStr">
        <is>
          <t>P020</t>
        </is>
      </c>
      <c r="C82" s="0" t="inlineStr">
        <is>
          <t>2026-10-02 15:01:34.170</t>
        </is>
      </c>
      <c r="D82" s="0" t="inlineStr">
        <is>
          <t>JuanAndres</t>
        </is>
      </c>
      <c r="E82" s="0" t="inlineStr">
        <is>
          <t>GroomStroke</t>
        </is>
      </c>
      <c r="F82" s="0" t="inlineStr">
        <is>
          <t>Missed</t>
        </is>
      </c>
      <c r="G82" s="0" t="inlineStr">
        <is>
          <t>Easy</t>
        </is>
      </c>
      <c r="H82" s="4">
        <v>101.12</v>
      </c>
      <c r="P82" s="0">
        <v>108</v>
      </c>
    </row>
    <row r="83" ht="17" customHeight="1">
      <c r="A83" s="6">
        <v>104</v>
      </c>
      <c r="B83" s="6" t="inlineStr">
        <is>
          <t>P020</t>
        </is>
      </c>
      <c r="C83" s="6" t="inlineStr">
        <is>
          <t>2026-10-02 15:01:34.560</t>
        </is>
      </c>
      <c r="D83" s="6" t="inlineStr">
        <is>
          <t>JuanAndres</t>
        </is>
      </c>
      <c r="E83" s="6" t="inlineStr">
        <is>
          <t>GroomStroke</t>
        </is>
      </c>
      <c r="F83" s="6" t="inlineStr">
        <is>
          <t>Failed</t>
        </is>
      </c>
      <c r="G83" s="6" t="inlineStr">
        <is>
          <t>Easy</t>
        </is>
      </c>
      <c r="H83" s="4">
        <v>106.88</v>
      </c>
      <c r="I83" s="4">
        <v>107.3017</v>
      </c>
      <c r="J83" s="4">
        <v>0.4217</v>
      </c>
      <c r="K83" s="4">
        <v>0.4217</v>
      </c>
      <c r="N83" s="4">
        <v>1.0</v>
      </c>
      <c r="O83" s="6" t="b">
        <v>0</v>
      </c>
      <c r="P83" s="6">
        <v>109</v>
      </c>
    </row>
    <row r="84" ht="17" customHeight="1">
      <c r="A84" s="0">
        <v>105</v>
      </c>
      <c r="B84" s="0" t="inlineStr">
        <is>
          <t>P020</t>
        </is>
      </c>
      <c r="C84" s="0" t="inlineStr">
        <is>
          <t>2026-10-02 15:01:35.689</t>
        </is>
      </c>
      <c r="D84" s="0" t="inlineStr">
        <is>
          <t>JuanAndres</t>
        </is>
      </c>
      <c r="E84" s="0" t="inlineStr">
        <is>
          <t>GroomStroke</t>
        </is>
      </c>
      <c r="F84" s="0" t="inlineStr">
        <is>
          <t>Failed</t>
        </is>
      </c>
      <c r="G84" s="0" t="inlineStr">
        <is>
          <t>Easy</t>
        </is>
      </c>
      <c r="H84" s="4">
        <v>108.032</v>
      </c>
      <c r="I84" s="4">
        <v>107.9004</v>
      </c>
      <c r="J84" s="4">
        <v>-0.1316</v>
      </c>
      <c r="K84" s="4">
        <v>0.1316</v>
      </c>
      <c r="N84" s="4">
        <v>0.0</v>
      </c>
      <c r="O84" s="0" t="b">
        <v>1</v>
      </c>
      <c r="P84" s="0">
        <v>110</v>
      </c>
    </row>
    <row r="85" ht="17" customHeight="1">
      <c r="A85" s="6">
        <v>106</v>
      </c>
      <c r="B85" s="6" t="inlineStr">
        <is>
          <t>P020</t>
        </is>
      </c>
      <c r="C85" s="6" t="inlineStr">
        <is>
          <t>2026-10-02 15:01:36.440</t>
        </is>
      </c>
      <c r="D85" s="6" t="inlineStr">
        <is>
          <t>JuanAndres</t>
        </is>
      </c>
      <c r="E85" s="6" t="inlineStr">
        <is>
          <t>GroomStroke</t>
        </is>
      </c>
      <c r="F85" s="6" t="inlineStr">
        <is>
          <t>Failed</t>
        </is>
      </c>
      <c r="G85" s="6" t="inlineStr">
        <is>
          <t>Easy</t>
        </is>
      </c>
      <c r="H85" s="4">
        <v>109.184</v>
      </c>
      <c r="I85" s="4">
        <v>108.7219</v>
      </c>
      <c r="J85" s="4">
        <v>-0.4621</v>
      </c>
      <c r="K85" s="4">
        <v>0.4621</v>
      </c>
      <c r="N85" s="4">
        <v>0.0</v>
      </c>
      <c r="O85" s="6" t="b">
        <v>0</v>
      </c>
      <c r="P85" s="6">
        <v>111</v>
      </c>
    </row>
    <row r="86" ht="17" customHeight="1">
      <c r="A86" s="0">
        <v>108</v>
      </c>
      <c r="B86" s="0" t="inlineStr">
        <is>
          <t>P020</t>
        </is>
      </c>
      <c r="C86" s="0" t="inlineStr">
        <is>
          <t>2026-10-02 15:01:38.988</t>
        </is>
      </c>
      <c r="D86" s="0" t="inlineStr">
        <is>
          <t>JuanAndres</t>
        </is>
      </c>
      <c r="E86" s="0" t="inlineStr">
        <is>
          <t>GroomStroke</t>
        </is>
      </c>
      <c r="F86" s="0" t="inlineStr">
        <is>
          <t>Success</t>
        </is>
      </c>
      <c r="G86" s="0" t="inlineStr">
        <is>
          <t>Easy</t>
        </is>
      </c>
      <c r="H86" s="4">
        <v>111.104</v>
      </c>
      <c r="I86" s="4">
        <v>111.7848</v>
      </c>
      <c r="J86" s="4">
        <v>0.6808</v>
      </c>
      <c r="K86" s="4">
        <v>0.6808</v>
      </c>
      <c r="N86" s="4">
        <v>1.0</v>
      </c>
      <c r="O86" s="0" t="b">
        <v>1</v>
      </c>
      <c r="P86" s="0">
        <v>113</v>
      </c>
    </row>
    <row r="87" ht="17" customHeight="1">
      <c r="A87" s="6">
        <v>109</v>
      </c>
      <c r="B87" s="6" t="inlineStr">
        <is>
          <t>P020</t>
        </is>
      </c>
      <c r="C87" s="6" t="inlineStr">
        <is>
          <t>2026-10-02 15:01:40.518</t>
        </is>
      </c>
      <c r="D87" s="6" t="inlineStr">
        <is>
          <t>JuanAndres</t>
        </is>
      </c>
      <c r="E87" s="6" t="inlineStr">
        <is>
          <t>GroomStroke</t>
        </is>
      </c>
      <c r="F87" s="6" t="inlineStr">
        <is>
          <t>Failed</t>
        </is>
      </c>
      <c r="G87" s="6" t="inlineStr">
        <is>
          <t>Easy</t>
        </is>
      </c>
      <c r="H87" s="4">
        <v>113.024</v>
      </c>
      <c r="I87" s="4">
        <v>113.3437</v>
      </c>
      <c r="J87" s="4">
        <v>0.3197</v>
      </c>
      <c r="K87" s="4">
        <v>0.3197</v>
      </c>
      <c r="N87" s="4">
        <v>0.0</v>
      </c>
      <c r="O87" s="6" t="b">
        <v>1</v>
      </c>
      <c r="P87" s="6">
        <v>114</v>
      </c>
    </row>
    <row r="88" ht="17" customHeight="1">
      <c r="A88" s="0">
        <v>110</v>
      </c>
      <c r="B88" s="0" t="inlineStr">
        <is>
          <t>P020</t>
        </is>
      </c>
      <c r="C88" s="0" t="inlineStr">
        <is>
          <t>2026-10-02 15:01:41.856</t>
        </is>
      </c>
      <c r="D88" s="0" t="inlineStr">
        <is>
          <t>JuanAndres</t>
        </is>
      </c>
      <c r="E88" s="0" t="inlineStr">
        <is>
          <t>GroomStroke</t>
        </is>
      </c>
      <c r="F88" s="0" t="inlineStr">
        <is>
          <t>Failed</t>
        </is>
      </c>
      <c r="G88" s="0" t="inlineStr">
        <is>
          <t>Easy</t>
        </is>
      </c>
      <c r="H88" s="4">
        <v>113.792</v>
      </c>
      <c r="I88" s="4">
        <v>114.7219</v>
      </c>
      <c r="J88" s="4">
        <v>0.9299</v>
      </c>
      <c r="K88" s="4">
        <v>0.9299</v>
      </c>
      <c r="N88" s="4">
        <v>0.0</v>
      </c>
      <c r="O88" s="0" t="b">
        <v>1</v>
      </c>
      <c r="P88" s="0">
        <v>115</v>
      </c>
    </row>
    <row r="89" ht="17" customHeight="1">
      <c r="A89" s="6">
        <v>111</v>
      </c>
      <c r="B89" s="6" t="inlineStr">
        <is>
          <t>P020</t>
        </is>
      </c>
      <c r="C89" s="6" t="inlineStr">
        <is>
          <t>2026-10-02 15:01:43.888</t>
        </is>
      </c>
      <c r="D89" s="6" t="inlineStr">
        <is>
          <t>JuanAndres</t>
        </is>
      </c>
      <c r="E89" s="6" t="inlineStr">
        <is>
          <t>GroomStroke</t>
        </is>
      </c>
      <c r="F89" s="6" t="inlineStr">
        <is>
          <t>Success</t>
        </is>
      </c>
      <c r="G89" s="6" t="inlineStr">
        <is>
          <t>Easy</t>
        </is>
      </c>
      <c r="H89" s="4">
        <v>116.096</v>
      </c>
      <c r="I89" s="4">
        <v>116.6011</v>
      </c>
      <c r="J89" s="4">
        <v>0.5051</v>
      </c>
      <c r="K89" s="4">
        <v>0.5051</v>
      </c>
      <c r="N89" s="4">
        <v>1.0</v>
      </c>
      <c r="O89" s="6" t="b">
        <v>1</v>
      </c>
      <c r="P89" s="6">
        <v>116</v>
      </c>
    </row>
    <row r="90" ht="17" customHeight="1">
      <c r="A90" s="0">
        <v>112</v>
      </c>
      <c r="B90" s="0" t="inlineStr">
        <is>
          <t>P020</t>
        </is>
      </c>
      <c r="C90" s="0" t="inlineStr">
        <is>
          <t>2026-10-02 15:01:45.058</t>
        </is>
      </c>
      <c r="D90" s="0" t="inlineStr">
        <is>
          <t>JuanAndres</t>
        </is>
      </c>
      <c r="E90" s="0" t="inlineStr">
        <is>
          <t>GroomStroke</t>
        </is>
      </c>
      <c r="F90" s="0" t="inlineStr">
        <is>
          <t>Success</t>
        </is>
      </c>
      <c r="G90" s="0" t="inlineStr">
        <is>
          <t>Easy</t>
        </is>
      </c>
      <c r="H90" s="4">
        <v>117.248</v>
      </c>
      <c r="I90" s="4">
        <v>117.9099</v>
      </c>
      <c r="J90" s="4">
        <v>0.6619</v>
      </c>
      <c r="K90" s="4">
        <v>0.6619</v>
      </c>
      <c r="N90" s="4">
        <v>1.0</v>
      </c>
      <c r="O90" s="0" t="b">
        <v>1</v>
      </c>
      <c r="P90" s="0">
        <v>117</v>
      </c>
    </row>
    <row r="91" ht="17" customHeight="1">
      <c r="A91" s="6">
        <v>113</v>
      </c>
      <c r="B91" s="6" t="inlineStr">
        <is>
          <t>P020</t>
        </is>
      </c>
      <c r="C91" s="6" t="inlineStr">
        <is>
          <t>2026-10-02 15:01:46.854</t>
        </is>
      </c>
      <c r="D91" s="6" t="inlineStr">
        <is>
          <t>JuanAndres</t>
        </is>
      </c>
      <c r="E91" s="6" t="inlineStr">
        <is>
          <t>GroomStroke</t>
        </is>
      </c>
      <c r="F91" s="6" t="inlineStr">
        <is>
          <t>Success</t>
        </is>
      </c>
      <c r="G91" s="6" t="inlineStr">
        <is>
          <t>Easy</t>
        </is>
      </c>
      <c r="H91" s="4">
        <v>118.4</v>
      </c>
      <c r="I91" s="4">
        <v>119.5814</v>
      </c>
      <c r="J91" s="4">
        <v>1.1814</v>
      </c>
      <c r="K91" s="4">
        <v>1.1814</v>
      </c>
      <c r="N91" s="4">
        <v>1.0</v>
      </c>
      <c r="O91" s="6" t="b">
        <v>1</v>
      </c>
      <c r="P91" s="6">
        <v>118</v>
      </c>
    </row>
    <row r="92" ht="17" customHeight="1">
      <c r="A92" s="0">
        <v>114</v>
      </c>
      <c r="B92" s="0" t="inlineStr">
        <is>
          <t>P020</t>
        </is>
      </c>
      <c r="C92" s="0" t="inlineStr">
        <is>
          <t>2026-10-02 15:01:50.098</t>
        </is>
      </c>
      <c r="D92" s="0" t="inlineStr">
        <is>
          <t>JuanAndres</t>
        </is>
      </c>
      <c r="E92" s="0" t="inlineStr">
        <is>
          <t>GroomStroke</t>
        </is>
      </c>
      <c r="F92" s="0" t="inlineStr">
        <is>
          <t>Failed</t>
        </is>
      </c>
      <c r="G92" s="0" t="inlineStr">
        <is>
          <t>Easy</t>
        </is>
      </c>
      <c r="H92" s="4">
        <v>119.936</v>
      </c>
      <c r="I92" s="4">
        <v>122.8109</v>
      </c>
      <c r="J92" s="4">
        <v>2.8749</v>
      </c>
      <c r="K92" s="4">
        <v>2.8749</v>
      </c>
      <c r="N92" s="4">
        <v>0.0</v>
      </c>
      <c r="O92" s="0" t="b">
        <v>1</v>
      </c>
      <c r="P92" s="0">
        <v>119</v>
      </c>
    </row>
    <row r="93" ht="17" customHeight="1">
      <c r="A93" s="6">
        <v>115</v>
      </c>
      <c r="B93" s="6" t="inlineStr">
        <is>
          <t>P020</t>
        </is>
      </c>
      <c r="C93" s="6" t="inlineStr">
        <is>
          <t>2026-10-02 15:01:54.200</t>
        </is>
      </c>
      <c r="D93" s="6" t="inlineStr">
        <is>
          <t>Danniel</t>
        </is>
      </c>
      <c r="E93" s="6" t="inlineStr">
        <is>
          <t>GunShoot</t>
        </is>
      </c>
      <c r="F93" s="6" t="inlineStr">
        <is>
          <t>Success</t>
        </is>
      </c>
      <c r="G93" s="6" t="inlineStr">
        <is>
          <t>Easy</t>
        </is>
      </c>
      <c r="H93" s="4">
        <v>127.232</v>
      </c>
      <c r="I93" s="4">
        <v>127.0949</v>
      </c>
      <c r="J93" s="4">
        <v>-0.1371</v>
      </c>
      <c r="K93" s="4">
        <v>0.1371</v>
      </c>
      <c r="P93" s="6">
        <v>120</v>
      </c>
    </row>
    <row r="94" ht="17" customHeight="1">
      <c r="A94" s="0">
        <v>117</v>
      </c>
      <c r="B94" s="0" t="inlineStr">
        <is>
          <t>P020</t>
        </is>
      </c>
      <c r="C94" s="0" t="inlineStr">
        <is>
          <t>2026-10-02 15:01:57.849</t>
        </is>
      </c>
      <c r="D94" s="0" t="inlineStr">
        <is>
          <t>Danniel</t>
        </is>
      </c>
      <c r="E94" s="0" t="inlineStr">
        <is>
          <t>PlayerHit</t>
        </is>
      </c>
      <c r="F94" s="0" t="inlineStr">
        <is>
          <t>Failed</t>
        </is>
      </c>
      <c r="G94" s="0" t="inlineStr">
        <is>
          <t>Easy</t>
        </is>
      </c>
      <c r="H94" s="4">
        <v>130.7991</v>
      </c>
      <c r="P94" s="0">
        <v>122</v>
      </c>
    </row>
    <row r="95" ht="17" customHeight="1">
      <c r="A95" s="6">
        <v>118</v>
      </c>
      <c r="B95" s="6" t="inlineStr">
        <is>
          <t>P020</t>
        </is>
      </c>
      <c r="C95" s="6" t="inlineStr">
        <is>
          <t>2026-10-02 15:01:58.810</t>
        </is>
      </c>
      <c r="D95" s="6" t="inlineStr">
        <is>
          <t>Danniel</t>
        </is>
      </c>
      <c r="E95" s="6" t="inlineStr">
        <is>
          <t>GunShoot</t>
        </is>
      </c>
      <c r="F95" s="6" t="inlineStr">
        <is>
          <t>Success</t>
        </is>
      </c>
      <c r="G95" s="6" t="inlineStr">
        <is>
          <t>Easy</t>
        </is>
      </c>
      <c r="H95" s="4">
        <v>131.072</v>
      </c>
      <c r="I95" s="4">
        <v>131.1748</v>
      </c>
      <c r="J95" s="4">
        <v>0.1028</v>
      </c>
      <c r="K95" s="4">
        <v>0.1028</v>
      </c>
      <c r="P95" s="6">
        <v>123</v>
      </c>
    </row>
    <row r="96" ht="17" customHeight="1">
      <c r="A96" s="0">
        <v>119</v>
      </c>
      <c r="B96" s="0" t="inlineStr">
        <is>
          <t>P020</t>
        </is>
      </c>
      <c r="C96" s="0" t="inlineStr">
        <is>
          <t>2026-10-02 15:02:00.215</t>
        </is>
      </c>
      <c r="D96" s="0" t="inlineStr">
        <is>
          <t>Danniel</t>
        </is>
      </c>
      <c r="E96" s="0" t="inlineStr">
        <is>
          <t>GunShoot</t>
        </is>
      </c>
      <c r="F96" s="0" t="inlineStr">
        <is>
          <t>Success</t>
        </is>
      </c>
      <c r="G96" s="0" t="inlineStr">
        <is>
          <t>Easy</t>
        </is>
      </c>
      <c r="H96" s="4">
        <v>132.608</v>
      </c>
      <c r="I96" s="4">
        <v>132.7892</v>
      </c>
      <c r="J96" s="4">
        <v>0.1812</v>
      </c>
      <c r="K96" s="4">
        <v>0.1812</v>
      </c>
      <c r="P96" s="0">
        <v>124</v>
      </c>
    </row>
    <row r="97" ht="17" customHeight="1">
      <c r="A97" s="6">
        <v>120</v>
      </c>
      <c r="B97" s="6" t="inlineStr">
        <is>
          <t>P020</t>
        </is>
      </c>
      <c r="C97" s="6" t="inlineStr">
        <is>
          <t>2026-10-02 15:02:04.837</t>
        </is>
      </c>
      <c r="D97" s="6" t="inlineStr">
        <is>
          <t>Danniel</t>
        </is>
      </c>
      <c r="E97" s="6" t="inlineStr">
        <is>
          <t>GunShoot</t>
        </is>
      </c>
      <c r="F97" s="6" t="inlineStr">
        <is>
          <t>Success</t>
        </is>
      </c>
      <c r="G97" s="6" t="inlineStr">
        <is>
          <t>Easy</t>
        </is>
      </c>
      <c r="H97" s="4">
        <v>137.216</v>
      </c>
      <c r="I97" s="4">
        <v>137.3278</v>
      </c>
      <c r="J97" s="4">
        <v>0.1118</v>
      </c>
      <c r="K97" s="4">
        <v>0.1118</v>
      </c>
      <c r="P97" s="6">
        <v>125</v>
      </c>
    </row>
    <row r="98" ht="17" customHeight="1">
      <c r="A98" s="0">
        <v>121</v>
      </c>
      <c r="B98" s="0" t="inlineStr">
        <is>
          <t>P020</t>
        </is>
      </c>
      <c r="C98" s="0" t="inlineStr">
        <is>
          <t>2026-10-02 15:02:07.594</t>
        </is>
      </c>
      <c r="D98" s="0" t="inlineStr">
        <is>
          <t>Danniel</t>
        </is>
      </c>
      <c r="E98" s="0" t="inlineStr">
        <is>
          <t>GunShoot</t>
        </is>
      </c>
      <c r="F98" s="0" t="inlineStr">
        <is>
          <t>Success</t>
        </is>
      </c>
      <c r="G98" s="0" t="inlineStr">
        <is>
          <t>Easy</t>
        </is>
      </c>
      <c r="H98" s="4">
        <v>140.288</v>
      </c>
      <c r="I98" s="4">
        <v>140.1689</v>
      </c>
      <c r="J98" s="4">
        <v>-0.1191</v>
      </c>
      <c r="K98" s="4">
        <v>0.1191</v>
      </c>
      <c r="P98" s="0">
        <v>126</v>
      </c>
    </row>
    <row r="99" ht="17" customHeight="1">
      <c r="A99" s="6">
        <v>122</v>
      </c>
      <c r="B99" s="6" t="inlineStr">
        <is>
          <t>P020</t>
        </is>
      </c>
      <c r="C99" s="6" t="inlineStr">
        <is>
          <t>2026-10-02 15:02:09.669</t>
        </is>
      </c>
      <c r="D99" s="6" t="inlineStr">
        <is>
          <t>Danniel</t>
        </is>
      </c>
      <c r="E99" s="6" t="inlineStr">
        <is>
          <t>GunShoot</t>
        </is>
      </c>
      <c r="F99" s="6" t="inlineStr">
        <is>
          <t>Success</t>
        </is>
      </c>
      <c r="G99" s="6" t="inlineStr">
        <is>
          <t>Easy</t>
        </is>
      </c>
      <c r="H99" s="4">
        <v>141.824</v>
      </c>
      <c r="I99" s="4">
        <v>141.937</v>
      </c>
      <c r="J99" s="4">
        <v>0.113</v>
      </c>
      <c r="K99" s="4">
        <v>0.113</v>
      </c>
      <c r="P99" s="6">
        <v>127</v>
      </c>
    </row>
    <row r="100" ht="17" customHeight="1">
      <c r="A100" s="0">
        <v>123</v>
      </c>
      <c r="B100" s="0" t="inlineStr">
        <is>
          <t>P020</t>
        </is>
      </c>
      <c r="C100" s="0" t="inlineStr">
        <is>
          <t>2026-10-02 15:02:10.114</t>
        </is>
      </c>
      <c r="D100" s="0" t="inlineStr">
        <is>
          <t>Danniel</t>
        </is>
      </c>
      <c r="E100" s="0" t="inlineStr">
        <is>
          <t>GunShoot</t>
        </is>
      </c>
      <c r="F100" s="0" t="inlineStr">
        <is>
          <t>Failed</t>
        </is>
      </c>
      <c r="G100" s="0" t="inlineStr">
        <is>
          <t>Easy</t>
        </is>
      </c>
      <c r="H100" s="4">
        <v>143.0645</v>
      </c>
      <c r="P100" s="0">
        <v>128</v>
      </c>
    </row>
    <row r="101" ht="17" customHeight="1">
      <c r="A101" s="6">
        <v>124</v>
      </c>
      <c r="B101" s="6" t="inlineStr">
        <is>
          <t>P020</t>
        </is>
      </c>
      <c r="C101" s="6" t="inlineStr">
        <is>
          <t>2026-10-02 15:02:11.380</t>
        </is>
      </c>
      <c r="D101" s="6" t="inlineStr">
        <is>
          <t>Danniel</t>
        </is>
      </c>
      <c r="E101" s="6" t="inlineStr">
        <is>
          <t>GunShoot</t>
        </is>
      </c>
      <c r="F101" s="6" t="inlineStr">
        <is>
          <t>Success</t>
        </is>
      </c>
      <c r="G101" s="6" t="inlineStr">
        <is>
          <t>Easy</t>
        </is>
      </c>
      <c r="H101" s="4">
        <v>143.744</v>
      </c>
      <c r="I101" s="4">
        <v>143.7608</v>
      </c>
      <c r="J101" s="4">
        <v>0.0168</v>
      </c>
      <c r="K101" s="4">
        <v>0.0168</v>
      </c>
      <c r="P101" s="6">
        <v>129</v>
      </c>
    </row>
    <row r="102" ht="17" customHeight="1">
      <c r="A102" s="0">
        <v>126</v>
      </c>
      <c r="B102" s="0" t="inlineStr">
        <is>
          <t>P020</t>
        </is>
      </c>
      <c r="C102" s="0" t="inlineStr">
        <is>
          <t>2026-10-02 15:02:19.971</t>
        </is>
      </c>
      <c r="D102" s="0" t="inlineStr">
        <is>
          <t>Danniel</t>
        </is>
      </c>
      <c r="E102" s="0" t="inlineStr">
        <is>
          <t>GunShoot</t>
        </is>
      </c>
      <c r="F102" s="0" t="inlineStr">
        <is>
          <t>Missed</t>
        </is>
      </c>
      <c r="G102" s="0" t="inlineStr">
        <is>
          <t>Easy</t>
        </is>
      </c>
      <c r="H102" s="4">
        <v>152.9217</v>
      </c>
      <c r="P102" s="0">
        <v>131</v>
      </c>
    </row>
    <row r="103" ht="17" customHeight="1">
      <c r="A103" s="6">
        <v>127</v>
      </c>
      <c r="B103" s="6" t="inlineStr">
        <is>
          <t>P020</t>
        </is>
      </c>
      <c r="C103" s="6" t="inlineStr">
        <is>
          <t>2026-10-02 15:02:20.696</t>
        </is>
      </c>
      <c r="D103" s="6" t="inlineStr">
        <is>
          <t>Danniel</t>
        </is>
      </c>
      <c r="E103" s="6" t="inlineStr">
        <is>
          <t>GunShoot</t>
        </is>
      </c>
      <c r="F103" s="6" t="inlineStr">
        <is>
          <t>Failed</t>
        </is>
      </c>
      <c r="G103" s="6" t="inlineStr">
        <is>
          <t>Easy</t>
        </is>
      </c>
      <c r="H103" s="4">
        <v>153.6453</v>
      </c>
      <c r="P103" s="6">
        <v>132</v>
      </c>
    </row>
    <row r="104" ht="17" customHeight="1">
      <c r="A104" s="0">
        <v>129</v>
      </c>
      <c r="B104" s="0" t="inlineStr">
        <is>
          <t>P020</t>
        </is>
      </c>
      <c r="C104" s="0" t="inlineStr">
        <is>
          <t>2026-10-02 15:02:20.778</t>
        </is>
      </c>
      <c r="D104" s="0" t="inlineStr">
        <is>
          <t>Danniel</t>
        </is>
      </c>
      <c r="E104" s="0" t="inlineStr">
        <is>
          <t>GunShoot</t>
        </is>
      </c>
      <c r="F104" s="0" t="inlineStr">
        <is>
          <t>Success</t>
        </is>
      </c>
      <c r="G104" s="0" t="inlineStr">
        <is>
          <t>Easy</t>
        </is>
      </c>
      <c r="H104" s="4">
        <v>153.344</v>
      </c>
      <c r="I104" s="4">
        <v>153.5196</v>
      </c>
      <c r="J104" s="4">
        <v>0.1756</v>
      </c>
      <c r="K104" s="4">
        <v>0.1756</v>
      </c>
      <c r="P104" s="0">
        <v>134</v>
      </c>
    </row>
    <row r="105" ht="17" customHeight="1">
      <c r="A105" s="6">
        <v>130</v>
      </c>
      <c r="B105" s="6" t="inlineStr">
        <is>
          <t>P020</t>
        </is>
      </c>
      <c r="C105" s="6" t="inlineStr">
        <is>
          <t>2026-10-02 15:02:22.715</t>
        </is>
      </c>
      <c r="D105" s="6" t="inlineStr">
        <is>
          <t>Danniel</t>
        </is>
      </c>
      <c r="E105" s="6" t="inlineStr">
        <is>
          <t>GunShoot</t>
        </is>
      </c>
      <c r="F105" s="6" t="inlineStr">
        <is>
          <t>Success</t>
        </is>
      </c>
      <c r="G105" s="6" t="inlineStr">
        <is>
          <t>Easy</t>
        </is>
      </c>
      <c r="H105" s="4">
        <v>155.648</v>
      </c>
      <c r="I105" s="4">
        <v>155.5407</v>
      </c>
      <c r="J105" s="4">
        <v>-0.1073</v>
      </c>
      <c r="K105" s="4">
        <v>0.1073</v>
      </c>
      <c r="P105" s="6">
        <v>135</v>
      </c>
    </row>
    <row r="106" ht="17" customHeight="1">
      <c r="A106" s="0">
        <v>132</v>
      </c>
      <c r="B106" s="0" t="inlineStr">
        <is>
          <t>P020</t>
        </is>
      </c>
      <c r="C106" s="0" t="inlineStr">
        <is>
          <t>2026-10-02 15:02:34.718</t>
        </is>
      </c>
      <c r="D106" s="0" t="inlineStr">
        <is>
          <t>Jeremy</t>
        </is>
      </c>
      <c r="E106" s="0" t="inlineStr">
        <is>
          <t>SwordCut</t>
        </is>
      </c>
      <c r="F106" s="0" t="inlineStr">
        <is>
          <t>Failed</t>
        </is>
      </c>
      <c r="G106" s="0" t="inlineStr">
        <is>
          <t>Easy</t>
        </is>
      </c>
      <c r="H106" s="4">
        <v>167.7061</v>
      </c>
      <c r="I106" s="4">
        <v>167.6682</v>
      </c>
      <c r="J106" s="4">
        <v>-0.0379</v>
      </c>
      <c r="K106" s="4">
        <v>0.0379</v>
      </c>
      <c r="N106" s="4">
        <v>0.0</v>
      </c>
      <c r="O106" s="0" t="b">
        <v>1</v>
      </c>
      <c r="P106" s="0">
        <v>137</v>
      </c>
    </row>
    <row r="107" ht="17" customHeight="1">
      <c r="A107" s="6">
        <v>134</v>
      </c>
      <c r="B107" s="6" t="inlineStr">
        <is>
          <t>P020</t>
        </is>
      </c>
      <c r="C107" s="6" t="inlineStr">
        <is>
          <t>2026-10-02 15:02:36.988</t>
        </is>
      </c>
      <c r="D107" s="6" t="inlineStr">
        <is>
          <t>Jeremy</t>
        </is>
      </c>
      <c r="E107" s="6" t="inlineStr">
        <is>
          <t>SwordCut</t>
        </is>
      </c>
      <c r="F107" s="6" t="inlineStr">
        <is>
          <t>Success</t>
        </is>
      </c>
      <c r="G107" s="6" t="inlineStr">
        <is>
          <t>Easy</t>
        </is>
      </c>
      <c r="H107" s="4">
        <v>170.0049</v>
      </c>
      <c r="I107" s="4">
        <v>169.9377</v>
      </c>
      <c r="J107" s="4">
        <v>-0.0672</v>
      </c>
      <c r="K107" s="4">
        <v>0.0672</v>
      </c>
      <c r="N107" s="4">
        <v>1.0</v>
      </c>
      <c r="O107" s="6" t="b">
        <v>1</v>
      </c>
      <c r="P107" s="6">
        <v>139</v>
      </c>
    </row>
    <row r="108" ht="17" customHeight="1">
      <c r="A108" s="0">
        <v>135</v>
      </c>
      <c r="B108" s="0" t="inlineStr">
        <is>
          <t>P020</t>
        </is>
      </c>
      <c r="C108" s="0" t="inlineStr">
        <is>
          <t>2026-10-02 15:02:39.716</t>
        </is>
      </c>
      <c r="D108" s="0" t="inlineStr">
        <is>
          <t>Jeremy</t>
        </is>
      </c>
      <c r="E108" s="0" t="inlineStr">
        <is>
          <t>SwordCut</t>
        </is>
      </c>
      <c r="F108" s="0" t="inlineStr">
        <is>
          <t>Failed</t>
        </is>
      </c>
      <c r="G108" s="0" t="inlineStr">
        <is>
          <t>Easy</t>
        </is>
      </c>
      <c r="H108" s="4">
        <v>172.3037</v>
      </c>
      <c r="I108" s="4">
        <v>172.6661</v>
      </c>
      <c r="J108" s="4">
        <v>0.3624</v>
      </c>
      <c r="K108" s="4">
        <v>0.3624</v>
      </c>
      <c r="N108" s="4">
        <v>0.0</v>
      </c>
      <c r="O108" s="0" t="b">
        <v>1</v>
      </c>
      <c r="P108" s="0">
        <v>140</v>
      </c>
    </row>
    <row r="109" ht="17" customHeight="1">
      <c r="A109" s="6">
        <v>136</v>
      </c>
      <c r="B109" s="6" t="inlineStr">
        <is>
          <t>P020</t>
        </is>
      </c>
      <c r="C109" s="6" t="inlineStr">
        <is>
          <t>2026-10-02 15:02:41.496</t>
        </is>
      </c>
      <c r="D109" s="6" t="inlineStr">
        <is>
          <t>Jeremy</t>
        </is>
      </c>
      <c r="E109" s="6" t="inlineStr">
        <is>
          <t>SwordCut</t>
        </is>
      </c>
      <c r="F109" s="6" t="inlineStr">
        <is>
          <t>Failed</t>
        </is>
      </c>
      <c r="G109" s="6" t="inlineStr">
        <is>
          <t>Easy</t>
        </is>
      </c>
      <c r="H109" s="4">
        <v>174.6024</v>
      </c>
      <c r="I109" s="4">
        <v>174.4471</v>
      </c>
      <c r="J109" s="4">
        <v>-0.1553</v>
      </c>
      <c r="K109" s="4">
        <v>0.1553</v>
      </c>
      <c r="N109" s="4">
        <v>0.0</v>
      </c>
      <c r="O109" s="6" t="b">
        <v>1</v>
      </c>
      <c r="P109" s="6">
        <v>141</v>
      </c>
    </row>
    <row r="110" ht="17" customHeight="1">
      <c r="A110" s="0">
        <v>137</v>
      </c>
      <c r="B110" s="0" t="inlineStr">
        <is>
          <t>P020</t>
        </is>
      </c>
      <c r="C110" s="0" t="inlineStr">
        <is>
          <t>2026-10-02 15:02:43.808</t>
        </is>
      </c>
      <c r="D110" s="0" t="inlineStr">
        <is>
          <t>Jeremy</t>
        </is>
      </c>
      <c r="E110" s="0" t="inlineStr">
        <is>
          <t>SwordCut</t>
        </is>
      </c>
      <c r="F110" s="0" t="inlineStr">
        <is>
          <t>Success</t>
        </is>
      </c>
      <c r="G110" s="0" t="inlineStr">
        <is>
          <t>Easy</t>
        </is>
      </c>
      <c r="H110" s="4">
        <v>176.9012</v>
      </c>
      <c r="I110" s="4">
        <v>176.7589</v>
      </c>
      <c r="J110" s="4">
        <v>-0.1423</v>
      </c>
      <c r="K110" s="4">
        <v>0.1423</v>
      </c>
      <c r="N110" s="4">
        <v>1.0</v>
      </c>
      <c r="O110" s="0" t="b">
        <v>1</v>
      </c>
      <c r="P110" s="0">
        <v>142</v>
      </c>
    </row>
    <row r="111" ht="17" customHeight="1">
      <c r="A111" s="6">
        <v>139</v>
      </c>
      <c r="B111" s="6" t="inlineStr">
        <is>
          <t>P020</t>
        </is>
      </c>
      <c r="C111" s="6" t="inlineStr">
        <is>
          <t>2026-10-02 15:02:46.316</t>
        </is>
      </c>
      <c r="D111" s="6" t="inlineStr">
        <is>
          <t>Jeremy</t>
        </is>
      </c>
      <c r="E111" s="6" t="inlineStr">
        <is>
          <t>SwordCut</t>
        </is>
      </c>
      <c r="F111" s="6" t="inlineStr">
        <is>
          <t>Failed</t>
        </is>
      </c>
      <c r="G111" s="6" t="inlineStr">
        <is>
          <t>Easy</t>
        </is>
      </c>
      <c r="H111" s="4">
        <v>179.2</v>
      </c>
      <c r="I111" s="4">
        <v>179.2666</v>
      </c>
      <c r="J111" s="4">
        <v>0.0666</v>
      </c>
      <c r="K111" s="4">
        <v>0.0666</v>
      </c>
      <c r="N111" s="4">
        <v>1.0</v>
      </c>
      <c r="O111" s="6" t="b">
        <v>0</v>
      </c>
      <c r="P111" s="6">
        <v>144</v>
      </c>
    </row>
    <row r="112" ht="17" customHeight="1">
      <c r="A112" s="0">
        <v>140</v>
      </c>
      <c r="B112" s="0" t="inlineStr">
        <is>
          <t>P020</t>
        </is>
      </c>
      <c r="C112" s="0" t="inlineStr">
        <is>
          <t>2026-10-02 15:02:49.184</t>
        </is>
      </c>
      <c r="D112" s="0" t="inlineStr">
        <is>
          <t>Jeremy</t>
        </is>
      </c>
      <c r="E112" s="0" t="inlineStr">
        <is>
          <t>SwordCut</t>
        </is>
      </c>
      <c r="F112" s="0" t="inlineStr">
        <is>
          <t>Missed</t>
        </is>
      </c>
      <c r="G112" s="0" t="inlineStr">
        <is>
          <t>Easy</t>
        </is>
      </c>
      <c r="H112" s="4">
        <v>181.4988</v>
      </c>
      <c r="P112" s="0">
        <v>145</v>
      </c>
    </row>
  </sheetData>
  <autoFilter ref="A1:P112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4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10</v>
      </c>
      <c r="B2" s="0" t="inlineStr">
        <is>
          <t>2026-10-02 14:59:39.770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Easy</t>
        </is>
      </c>
      <c r="F2" s="0" t="inlineStr">
        <is>
          <t>PlayerState: Overloaded</t>
        </is>
      </c>
      <c r="G2" s="3">
        <v>0.5</v>
      </c>
      <c r="I2" s="0">
        <v>15</v>
      </c>
    </row>
    <row r="3" ht="17" customHeight="1">
      <c r="A3" s="6">
        <v>46</v>
      </c>
      <c r="B3" s="6" t="inlineStr">
        <is>
          <t>2026-10-02 15:00:06.307</t>
        </is>
      </c>
      <c r="C3" s="6" t="inlineStr">
        <is>
          <t>Alex</t>
        </is>
      </c>
      <c r="D3" s="6" t="inlineStr">
        <is>
          <t>Easy</t>
        </is>
      </c>
      <c r="E3" s="6" t="inlineStr">
        <is>
          <t>Normal</t>
        </is>
      </c>
      <c r="F3" s="6" t="inlineStr">
        <is>
          <t>High recent performance</t>
        </is>
      </c>
      <c r="H3" s="3">
        <v>0.88</v>
      </c>
      <c r="I3" s="6">
        <v>51</v>
      </c>
    </row>
    <row r="4" ht="17" customHeight="1">
      <c r="A4" s="0">
        <v>82</v>
      </c>
      <c r="B4" s="0" t="inlineStr">
        <is>
          <t>2026-10-02 15:01:05.144</t>
        </is>
      </c>
      <c r="C4" s="0" t="inlineStr">
        <is>
          <t>Shipi</t>
        </is>
      </c>
      <c r="D4" s="0" t="inlineStr">
        <is>
          <t>Normal</t>
        </is>
      </c>
      <c r="E4" s="0" t="inlineStr">
        <is>
          <t>Easy</t>
        </is>
      </c>
      <c r="F4" s="0" t="inlineStr">
        <is>
          <t>PlayerState: Overloaded</t>
        </is>
      </c>
      <c r="G4" s="3">
        <v>0.43</v>
      </c>
      <c r="I4" s="0">
        <v>87</v>
      </c>
    </row>
  </sheetData>
  <autoFilter ref="A1:I4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8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14:59:36.260</t>
        </is>
      </c>
      <c r="C2" s="0" t="inlineStr">
        <is>
          <t>Idle</t>
        </is>
      </c>
      <c r="D2" s="0">
        <v>6</v>
      </c>
    </row>
    <row r="3" ht="17" customHeight="1">
      <c r="A3" s="6">
        <v>4</v>
      </c>
      <c r="B3" s="6" t="inlineStr">
        <is>
          <t>2026-10-02 14:59:37.931</t>
        </is>
      </c>
      <c r="C3" s="6" t="inlineStr">
        <is>
          <t>Engaged</t>
        </is>
      </c>
      <c r="D3" s="6">
        <v>9</v>
      </c>
    </row>
    <row r="4" ht="17" customHeight="1">
      <c r="A4" s="0">
        <v>9</v>
      </c>
      <c r="B4" s="0" t="inlineStr">
        <is>
          <t>2026-10-02 14:59:39.768</t>
        </is>
      </c>
      <c r="C4" s="0" t="inlineStr">
        <is>
          <t>Overloaded</t>
        </is>
      </c>
      <c r="D4" s="0">
        <v>14</v>
      </c>
    </row>
    <row r="5" ht="17" customHeight="1">
      <c r="A5" s="6">
        <v>11</v>
      </c>
      <c r="B5" s="6" t="inlineStr">
        <is>
          <t>2026-10-02 14:59:39.770</t>
        </is>
      </c>
      <c r="C5" s="6" t="inlineStr">
        <is>
          <t>Engaged</t>
        </is>
      </c>
      <c r="D5" s="6">
        <v>16</v>
      </c>
    </row>
    <row r="6" ht="17" customHeight="1">
      <c r="A6" s="0">
        <v>23</v>
      </c>
      <c r="B6" s="0" t="inlineStr">
        <is>
          <t>2026-10-02 14:59:47.831</t>
        </is>
      </c>
      <c r="C6" s="0" t="inlineStr">
        <is>
          <t>Overloaded</t>
        </is>
      </c>
      <c r="D6" s="0">
        <v>28</v>
      </c>
    </row>
    <row r="7" ht="17" customHeight="1">
      <c r="A7" s="6">
        <v>42</v>
      </c>
      <c r="B7" s="6" t="inlineStr">
        <is>
          <t>2026-10-02 15:00:03.231</t>
        </is>
      </c>
      <c r="C7" s="6" t="inlineStr">
        <is>
          <t>Engaged</t>
        </is>
      </c>
      <c r="D7" s="6">
        <v>47</v>
      </c>
    </row>
    <row r="8" ht="17" customHeight="1">
      <c r="A8" s="0">
        <v>57</v>
      </c>
      <c r="B8" s="0" t="inlineStr">
        <is>
          <t>2026-10-02 15:00:25.004</t>
        </is>
      </c>
      <c r="C8" s="0" t="inlineStr">
        <is>
          <t>Idle</t>
        </is>
      </c>
      <c r="D8" s="0">
        <v>62</v>
      </c>
    </row>
    <row r="9" ht="17" customHeight="1">
      <c r="A9" s="6">
        <v>63</v>
      </c>
      <c r="B9" s="6" t="inlineStr">
        <is>
          <t>2026-10-02 15:00:40.318</t>
        </is>
      </c>
      <c r="C9" s="6" t="inlineStr">
        <is>
          <t>Engaged</t>
        </is>
      </c>
      <c r="D9" s="6">
        <v>68</v>
      </c>
    </row>
    <row r="10" ht="17" customHeight="1">
      <c r="A10" s="0">
        <v>71</v>
      </c>
      <c r="B10" s="0" t="inlineStr">
        <is>
          <t>2026-10-02 15:00:54.199</t>
        </is>
      </c>
      <c r="C10" s="0" t="inlineStr">
        <is>
          <t>Idle</t>
        </is>
      </c>
      <c r="D10" s="0">
        <v>76</v>
      </c>
    </row>
    <row r="11" ht="17" customHeight="1">
      <c r="A11" s="6">
        <v>73</v>
      </c>
      <c r="B11" s="6" t="inlineStr">
        <is>
          <t>2026-10-02 15:00:54.213</t>
        </is>
      </c>
      <c r="C11" s="6" t="inlineStr">
        <is>
          <t>Engaged</t>
        </is>
      </c>
      <c r="D11" s="6">
        <v>78</v>
      </c>
    </row>
    <row r="12" ht="17" customHeight="1">
      <c r="A12" s="0">
        <v>81</v>
      </c>
      <c r="B12" s="0" t="inlineStr">
        <is>
          <t>2026-10-02 15:01:05.143</t>
        </is>
      </c>
      <c r="C12" s="0" t="inlineStr">
        <is>
          <t>Overloaded</t>
        </is>
      </c>
      <c r="D12" s="0">
        <v>86</v>
      </c>
    </row>
    <row r="13" ht="17" customHeight="1">
      <c r="A13" s="6">
        <v>83</v>
      </c>
      <c r="B13" s="6" t="inlineStr">
        <is>
          <t>2026-10-02 15:01:05.156</t>
        </is>
      </c>
      <c r="C13" s="6" t="inlineStr">
        <is>
          <t>Engaged</t>
        </is>
      </c>
      <c r="D13" s="6">
        <v>88</v>
      </c>
    </row>
    <row r="14" ht="17" customHeight="1">
      <c r="A14" s="0">
        <v>85</v>
      </c>
      <c r="B14" s="0" t="inlineStr">
        <is>
          <t>2026-10-02 15:01:07.439</t>
        </is>
      </c>
      <c r="C14" s="0" t="inlineStr">
        <is>
          <t>Idle</t>
        </is>
      </c>
      <c r="D14" s="0">
        <v>90</v>
      </c>
    </row>
    <row r="15" ht="17" customHeight="1">
      <c r="A15" s="6">
        <v>88</v>
      </c>
      <c r="B15" s="6" t="inlineStr">
        <is>
          <t>2026-10-02 15:01:09.556</t>
        </is>
      </c>
      <c r="C15" s="6" t="inlineStr">
        <is>
          <t>Engaged</t>
        </is>
      </c>
      <c r="D15" s="6">
        <v>93</v>
      </c>
    </row>
    <row r="16" ht="17" customHeight="1">
      <c r="A16" s="0">
        <v>93</v>
      </c>
      <c r="B16" s="0" t="inlineStr">
        <is>
          <t>2026-10-02 15:01:17.131</t>
        </is>
      </c>
      <c r="C16" s="0" t="inlineStr">
        <is>
          <t>Overloaded</t>
        </is>
      </c>
      <c r="D16" s="0">
        <v>98</v>
      </c>
    </row>
    <row r="17" ht="17" customHeight="1">
      <c r="A17" s="6">
        <v>95</v>
      </c>
      <c r="B17" s="6" t="inlineStr">
        <is>
          <t>2026-10-02 15:01:23.589</t>
        </is>
      </c>
      <c r="C17" s="6" t="inlineStr">
        <is>
          <t>Idle</t>
        </is>
      </c>
      <c r="D17" s="6">
        <v>100</v>
      </c>
    </row>
    <row r="18" ht="17" customHeight="1">
      <c r="A18" s="0">
        <v>97</v>
      </c>
      <c r="B18" s="0" t="inlineStr">
        <is>
          <t>2026-10-02 15:01:24.175</t>
        </is>
      </c>
      <c r="C18" s="0" t="inlineStr">
        <is>
          <t>Engaged</t>
        </is>
      </c>
      <c r="D18" s="0">
        <v>102</v>
      </c>
    </row>
    <row r="19" ht="17" customHeight="1">
      <c r="A19" s="6">
        <v>100</v>
      </c>
      <c r="B19" s="6" t="inlineStr">
        <is>
          <t>2026-10-02 15:01:30.829</t>
        </is>
      </c>
      <c r="C19" s="6" t="inlineStr">
        <is>
          <t>Idle</t>
        </is>
      </c>
      <c r="D19" s="6">
        <v>105</v>
      </c>
    </row>
    <row r="20" ht="17" customHeight="1">
      <c r="A20" s="0">
        <v>102</v>
      </c>
      <c r="B20" s="0" t="inlineStr">
        <is>
          <t>2026-10-02 15:01:33.099</t>
        </is>
      </c>
      <c r="C20" s="0" t="inlineStr">
        <is>
          <t>Engaged</t>
        </is>
      </c>
      <c r="D20" s="0">
        <v>107</v>
      </c>
    </row>
    <row r="21" ht="17" customHeight="1">
      <c r="A21" s="6">
        <v>107</v>
      </c>
      <c r="B21" s="6" t="inlineStr">
        <is>
          <t>2026-10-02 15:01:36.440</t>
        </is>
      </c>
      <c r="C21" s="6" t="inlineStr">
        <is>
          <t>Overloaded</t>
        </is>
      </c>
      <c r="D21" s="6">
        <v>112</v>
      </c>
    </row>
    <row r="22" ht="17" customHeight="1">
      <c r="A22" s="0">
        <v>116</v>
      </c>
      <c r="B22" s="0" t="inlineStr">
        <is>
          <t>2026-10-02 15:01:54.202</t>
        </is>
      </c>
      <c r="C22" s="0" t="inlineStr">
        <is>
          <t>Engaged</t>
        </is>
      </c>
      <c r="D22" s="0">
        <v>121</v>
      </c>
    </row>
    <row r="23" ht="17" customHeight="1">
      <c r="A23" s="6">
        <v>125</v>
      </c>
      <c r="B23" s="6" t="inlineStr">
        <is>
          <t>2026-10-02 15:02:16.380</t>
        </is>
      </c>
      <c r="C23" s="6" t="inlineStr">
        <is>
          <t>Idle</t>
        </is>
      </c>
      <c r="D23" s="6">
        <v>130</v>
      </c>
    </row>
    <row r="24" ht="17" customHeight="1">
      <c r="A24" s="0">
        <v>128</v>
      </c>
      <c r="B24" s="0" t="inlineStr">
        <is>
          <t>2026-10-02 15:02:20.696</t>
        </is>
      </c>
      <c r="C24" s="0" t="inlineStr">
        <is>
          <t>Engaged</t>
        </is>
      </c>
      <c r="D24" s="0">
        <v>133</v>
      </c>
    </row>
    <row r="25" ht="17" customHeight="1">
      <c r="A25" s="6">
        <v>131</v>
      </c>
      <c r="B25" s="6" t="inlineStr">
        <is>
          <t>2026-10-02 15:02:27.714</t>
        </is>
      </c>
      <c r="C25" s="6" t="inlineStr">
        <is>
          <t>Idle</t>
        </is>
      </c>
      <c r="D25" s="6">
        <v>136</v>
      </c>
    </row>
    <row r="26" ht="17" customHeight="1">
      <c r="A26" s="0">
        <v>133</v>
      </c>
      <c r="B26" s="0" t="inlineStr">
        <is>
          <t>2026-10-02 15:02:34.718</t>
        </is>
      </c>
      <c r="C26" s="0" t="inlineStr">
        <is>
          <t>Engaged</t>
        </is>
      </c>
      <c r="D26" s="0">
        <v>138</v>
      </c>
    </row>
    <row r="27" ht="17" customHeight="1">
      <c r="A27" s="6">
        <v>138</v>
      </c>
      <c r="B27" s="6" t="inlineStr">
        <is>
          <t>2026-10-02 15:02:43.810</t>
        </is>
      </c>
      <c r="C27" s="6" t="inlineStr">
        <is>
          <t>Overloaded</t>
        </is>
      </c>
      <c r="D27" s="6">
        <v>143</v>
      </c>
    </row>
    <row r="28" ht="17" customHeight="1">
      <c r="A28" s="0">
        <v>141</v>
      </c>
      <c r="B28" s="0" t="inlineStr">
        <is>
          <t>2026-10-02 15:02:51.314</t>
        </is>
      </c>
      <c r="C28" s="0" t="inlineStr">
        <is>
          <t>Idle</t>
        </is>
      </c>
      <c r="D28" s="0">
        <v>146</v>
      </c>
    </row>
  </sheetData>
  <autoFilter ref="A1:D28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142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14:59:36.260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14:59:36.260 | PlayerState: Idle</t>
        </is>
      </c>
    </row>
    <row r="3" ht="17" customHeight="1">
      <c r="A3" s="6">
        <v>2</v>
      </c>
      <c r="B3" s="6" t="inlineStr">
        <is>
          <t>2026-10-02 14:59:37.470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Missed</t>
        </is>
      </c>
      <c r="G3" s="6" t="inlineStr">
        <is>
          <t>Normal</t>
        </is>
      </c>
      <c r="M3" s="6">
        <v>7</v>
      </c>
      <c r="N3" s="6" t="inlineStr">
        <is>
          <t>2026-10-02 14:59:37.470 | Minigame: Alex | Type: HammerTouch | Outcome: Missed | Difficulty: Normal | ExpectedTime: 0.8960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14:59:37.930</t>
        </is>
      </c>
      <c r="C4" s="0" t="inlineStr">
        <is>
          <t>Interaction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Success</t>
        </is>
      </c>
      <c r="G4" s="0" t="inlineStr">
        <is>
          <t>Normal</t>
        </is>
      </c>
      <c r="M4" s="0">
        <v>8</v>
      </c>
      <c r="N4" s="0" t="inlineStr">
        <is>
          <t>2026-10-02 14:59:37.930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5" ht="17" customHeight="1">
      <c r="A5" s="6">
        <v>4</v>
      </c>
      <c r="B5" s="6" t="inlineStr">
        <is>
          <t>2026-10-02 14:59:37.931</t>
        </is>
      </c>
      <c r="C5" s="6" t="inlineStr">
        <is>
          <t>PlayerState</t>
        </is>
      </c>
      <c r="H5" s="6" t="inlineStr">
        <is>
          <t>Engaged</t>
        </is>
      </c>
      <c r="M5" s="6">
        <v>9</v>
      </c>
      <c r="N5" s="6" t="inlineStr">
        <is>
          <t>2026-10-02 14:59:37.931 | PlayerState: Engaged</t>
        </is>
      </c>
    </row>
    <row r="6" ht="17" customHeight="1">
      <c r="A6" s="0">
        <v>5</v>
      </c>
      <c r="B6" s="0" t="inlineStr">
        <is>
          <t>2026-10-02 14:59:37.944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Failed</t>
        </is>
      </c>
      <c r="G6" s="0" t="inlineStr">
        <is>
          <t>Normal</t>
        </is>
      </c>
      <c r="M6" s="0">
        <v>10</v>
      </c>
      <c r="N6" s="0" t="inlineStr">
        <is>
          <t>2026-10-02 14:59:37.944 | Minigame: Alex | Type: HammerTouch | Outcome: Failed | Difficulty: Normal | ExpectedTime: 1.6640 | ActualTime: N/A | TimingOffset: N/A | TimingError: N/A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14:59:39.002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Missed</t>
        </is>
      </c>
      <c r="G7" s="6" t="inlineStr">
        <is>
          <t>Normal</t>
        </is>
      </c>
      <c r="M7" s="6">
        <v>11</v>
      </c>
      <c r="N7" s="6" t="inlineStr">
        <is>
          <t>2026-10-02 14:59:39.002 | Minigame: Alex | Type: HammerTouch | Outcome: Missed | Difficulty: Normal | ExpectedTime: 2.4320 | ActualTime: N/A | TimingOffset: N/A | TimingError: N/A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14:59:39.448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HammerHit</t>
        </is>
      </c>
      <c r="F8" s="0" t="inlineStr">
        <is>
          <t>Success</t>
        </is>
      </c>
      <c r="G8" s="0" t="inlineStr">
        <is>
          <t>Normal</t>
        </is>
      </c>
      <c r="K8" s="4">
        <v>0.0015</v>
      </c>
      <c r="M8" s="0">
        <v>12</v>
      </c>
      <c r="N8" s="0" t="inlineStr">
        <is>
          <t>2026-10-02 14:59:39.448 | Minigame: Alex | Type: HammerHit | Outcome: Success | Difficulty: Normal | ExpectedTime: 3.2000 | ActualTime: 3.2015 | TimingOffset: 0.0015 | TimingError: 0.0015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14:59:39.768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Missed</t>
        </is>
      </c>
      <c r="G9" s="6" t="inlineStr">
        <is>
          <t>Normal</t>
        </is>
      </c>
      <c r="M9" s="6">
        <v>13</v>
      </c>
      <c r="N9" s="6" t="inlineStr">
        <is>
          <t>2026-10-02 14:59:39.768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14:59:39.768</t>
        </is>
      </c>
      <c r="C10" s="0" t="inlineStr">
        <is>
          <t>PlayerState</t>
        </is>
      </c>
      <c r="H10" s="0" t="inlineStr">
        <is>
          <t>Overloaded</t>
        </is>
      </c>
      <c r="M10" s="0">
        <v>14</v>
      </c>
      <c r="N10" s="0" t="inlineStr">
        <is>
          <t>2026-10-02 14:59:39.768 | PlayerState: Overloaded</t>
        </is>
      </c>
    </row>
    <row r="11" ht="17" customHeight="1">
      <c r="A11" s="6">
        <v>10</v>
      </c>
      <c r="B11" s="6" t="inlineStr">
        <is>
          <t>2026-10-02 14:59:39.770</t>
        </is>
      </c>
      <c r="C11" s="6" t="inlineStr">
        <is>
          <t>DifficultyChanged</t>
        </is>
      </c>
      <c r="D11" s="6" t="inlineStr">
        <is>
          <t>Alex</t>
        </is>
      </c>
      <c r="I11" s="6" t="inlineStr">
        <is>
          <t>Normal -&gt; Easy</t>
        </is>
      </c>
      <c r="J11" s="6" t="inlineStr">
        <is>
          <t>PlayerState: Overloaded</t>
        </is>
      </c>
      <c r="M11" s="6">
        <v>15</v>
      </c>
      <c r="N11" s="6" t="inlineStr">
        <is>
          <t>2026-10-02 14:59:39.770 | DifficultyChanged: Normal -&gt; Easy | Reason: PlayerState: Overloaded | Minigame: Alex | RecentSuccessRate: 0.50</t>
        </is>
      </c>
    </row>
    <row r="12" ht="17" customHeight="1">
      <c r="A12" s="0">
        <v>11</v>
      </c>
      <c r="B12" s="0" t="inlineStr">
        <is>
          <t>2026-10-02 14:59:39.770</t>
        </is>
      </c>
      <c r="C12" s="0" t="inlineStr">
        <is>
          <t>PlayerState</t>
        </is>
      </c>
      <c r="H12" s="0" t="inlineStr">
        <is>
          <t>Engaged</t>
        </is>
      </c>
      <c r="M12" s="0">
        <v>16</v>
      </c>
      <c r="N12" s="0" t="inlineStr">
        <is>
          <t>2026-10-02 14:59:39.770 | PlayerState: Engaged</t>
        </is>
      </c>
    </row>
    <row r="13" ht="17" customHeight="1">
      <c r="A13" s="6">
        <v>12</v>
      </c>
      <c r="B13" s="6" t="inlineStr">
        <is>
          <t>2026-10-02 14:59:40.186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Easy</t>
        </is>
      </c>
      <c r="K13" s="4">
        <v>0.0286</v>
      </c>
      <c r="M13" s="6">
        <v>17</v>
      </c>
      <c r="N13" s="6" t="inlineStr">
        <is>
          <t>2026-10-02 14:59:40.186 | Minigame: Alex | Type: HammerHit | Outcome: Success | Difficulty: Easy | ExpectedTime: 3.9680 | ActualTime: 3.9394 | TimingOffset: -0.0286 | TimingError: 0.0286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14:59:40.241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Success</t>
        </is>
      </c>
      <c r="G14" s="0" t="inlineStr">
        <is>
          <t>Easy</t>
        </is>
      </c>
      <c r="M14" s="0">
        <v>18</v>
      </c>
      <c r="N14" s="0" t="inlineStr">
        <is>
          <t>2026-10-02 14:59:40.241 | Minigame: Alex | Type: HammerTouch | Outcome: Success | Difficulty: Easy | ExpectedTime: 3.9680 | ActualTime: N/A | TimingOffset: N/A | TimingError: N/A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14:59:41.732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Easy</t>
        </is>
      </c>
      <c r="K15" s="4">
        <v>0.0192</v>
      </c>
      <c r="M15" s="6">
        <v>19</v>
      </c>
      <c r="N15" s="6" t="inlineStr">
        <is>
          <t>2026-10-02 14:59:41.732 | Minigame: Alex | Type: HammerHit | Outcome: Success | Difficulty: Easy | ExpectedTime: 5.5040 | ActualTime: 5.4848 | TimingOffset: -0.0192 | TimingError: 0.0192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14:59:41.732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Failed</t>
        </is>
      </c>
      <c r="G16" s="0" t="inlineStr">
        <is>
          <t>Easy</t>
        </is>
      </c>
      <c r="K16" s="4">
        <v>0.0192</v>
      </c>
      <c r="M16" s="0">
        <v>20</v>
      </c>
      <c r="N16" s="0" t="inlineStr">
        <is>
          <t>2026-10-02 14:59:41.732 | Minigame: Alex | Type: HammerHit | Outcome: Failed | Difficulty: Easy | ExpectedTime: 5.5040 | ActualTime: 5.4848 | TimingOffset: -0.0192 | TimingError: 0.0192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14:59:43.263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Failed</t>
        </is>
      </c>
      <c r="G17" s="6" t="inlineStr">
        <is>
          <t>Easy</t>
        </is>
      </c>
      <c r="K17" s="4">
        <v>0.0237</v>
      </c>
      <c r="M17" s="6">
        <v>21</v>
      </c>
      <c r="N17" s="6" t="inlineStr">
        <is>
          <t>2026-10-02 14:59:43.263 | Minigame: Alex | Type: HammerHit | Outcome: Failed | Difficulty: Easy | ExpectedTime: 7.0400 | ActualTime: 7.0163 | TimingOffset: -0.0237 | TimingError: 0.0237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14:59:43.292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Easy</t>
        </is>
      </c>
      <c r="M18" s="0">
        <v>22</v>
      </c>
      <c r="N18" s="0" t="inlineStr">
        <is>
          <t>2026-10-02 14:59:43.292 | Minigame: Alex | Type: HammerHit | Outcome: Success | Difficulty: Easy | ExpectedTime: 7.0400 | ActualTime: N/A | TimingOffset: N/A | TimingError: N/A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14:59:44.808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Easy</t>
        </is>
      </c>
      <c r="K19" s="4">
        <v>0.0145</v>
      </c>
      <c r="M19" s="6">
        <v>23</v>
      </c>
      <c r="N19" s="6" t="inlineStr">
        <is>
          <t>2026-10-02 14:59:44.808 | Minigame: Alex | Type: HammerHit | Outcome: Success | Difficulty: Easy | ExpectedTime: 8.5760 | ActualTime: 8.5615 | TimingOffset: -0.0145 | TimingError: 0.0145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14:59:44.821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Failed</t>
        </is>
      </c>
      <c r="G20" s="0" t="inlineStr">
        <is>
          <t>Easy</t>
        </is>
      </c>
      <c r="K20" s="4">
        <v>0.0145</v>
      </c>
      <c r="M20" s="0">
        <v>24</v>
      </c>
      <c r="N20" s="0" t="inlineStr">
        <is>
          <t>2026-10-02 14:59:44.821 | Minigame: Alex | Type: HammerHit | Outcome: Failed | Difficulty: Easy | ExpectedTime: 8.5760 | ActualTime: 8.5615 | TimingOffset: -0.0145 | TimingError: 0.0145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14:59:46.326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Easy</t>
        </is>
      </c>
      <c r="K21" s="4">
        <v>0.0329</v>
      </c>
      <c r="M21" s="6">
        <v>25</v>
      </c>
      <c r="N21" s="6" t="inlineStr">
        <is>
          <t>2026-10-02 14:59:46.326 | Minigame: Alex | Type: HammerHit | Outcome: Success | Difficulty: Easy | ExpectedTime: 10.1120 | ActualTime: 10.0791 | TimingOffset: -0.0329 | TimingError: 0.0329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14:59:46.409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Failed</t>
        </is>
      </c>
      <c r="G22" s="0" t="inlineStr">
        <is>
          <t>Easy</t>
        </is>
      </c>
      <c r="M22" s="0">
        <v>26</v>
      </c>
      <c r="N22" s="0" t="inlineStr">
        <is>
          <t>2026-10-02 14:59:46.409 | Minigame: Alex | Type: HammerHit | Outcome: Failed | Difficulty: Easy | ExpectedTime: 10.1120 | ActualTime: N/A | TimingOffset: N/A | TimingError: N/A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14:59:47.829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Failed</t>
        </is>
      </c>
      <c r="G23" s="6" t="inlineStr">
        <is>
          <t>Easy</t>
        </is>
      </c>
      <c r="K23" s="4">
        <v>0.0647</v>
      </c>
      <c r="M23" s="6">
        <v>27</v>
      </c>
      <c r="N23" s="6" t="inlineStr">
        <is>
          <t>2026-10-02 14:59:47.829 | Minigame: Alex | Type: HammerHit | Outcome: Failed | Difficulty: Easy | ExpectedTime: 11.6480 | ActualTime: 11.5833 | TimingOffset: -0.0647 | TimingError: 0.0647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14:59:47.831</t>
        </is>
      </c>
      <c r="C24" s="0" t="inlineStr">
        <is>
          <t>PlayerState</t>
        </is>
      </c>
      <c r="H24" s="0" t="inlineStr">
        <is>
          <t>Overloaded</t>
        </is>
      </c>
      <c r="M24" s="0">
        <v>28</v>
      </c>
      <c r="N24" s="0" t="inlineStr">
        <is>
          <t>2026-10-02 14:59:47.831 | PlayerState: Overloaded</t>
        </is>
      </c>
    </row>
    <row r="25" ht="17" customHeight="1">
      <c r="A25" s="6">
        <v>24</v>
      </c>
      <c r="B25" s="6" t="inlineStr">
        <is>
          <t>2026-10-02 14:59:47.927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Easy</t>
        </is>
      </c>
      <c r="K25" s="4">
        <v>0.0189</v>
      </c>
      <c r="M25" s="6">
        <v>29</v>
      </c>
      <c r="N25" s="6" t="inlineStr">
        <is>
          <t>2026-10-02 14:59:47.927 | Minigame: Alex | Type: HammerHit | Outcome: Success | Difficulty: Easy | ExpectedTime: 11.6480 | ActualTime: 11.6669 | TimingOffset: 0.0189 | TimingError: 0.0189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14:59:49.348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Failed</t>
        </is>
      </c>
      <c r="G26" s="0" t="inlineStr">
        <is>
          <t>Easy</t>
        </is>
      </c>
      <c r="K26" s="4">
        <v>0.0828</v>
      </c>
      <c r="M26" s="0">
        <v>30</v>
      </c>
      <c r="N26" s="0" t="inlineStr">
        <is>
          <t>2026-10-02 14:59:49.348 | Minigame: Alex | Type: HammerHit | Outcome: Failed | Difficulty: Easy | ExpectedTime: 13.1840 | ActualTime: 13.1012 | TimingOffset: -0.0828 | TimingError: 0.0828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14:59:49.362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Easy</t>
        </is>
      </c>
      <c r="M27" s="6">
        <v>31</v>
      </c>
      <c r="N27" s="6" t="inlineStr">
        <is>
          <t>2026-10-02 14:59:49.362 | Minigame: Alex | Type: HammerHit | Outcome: Success | Difficulty: Easy | ExpectedTime: 13.1840 | ActualTime: N/A | TimingOffset: N/A | TimingError: N/A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14:59:50.921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Failed</t>
        </is>
      </c>
      <c r="G28" s="0" t="inlineStr">
        <is>
          <t>Easy</t>
        </is>
      </c>
      <c r="K28" s="4">
        <v>0.0457</v>
      </c>
      <c r="M28" s="0">
        <v>32</v>
      </c>
      <c r="N28" s="0" t="inlineStr">
        <is>
          <t>2026-10-02 14:59:50.921 | Minigame: Alex | Type: HammerHit | Outcome: Failed | Difficulty: Easy | ExpectedTime: 14.7200 | ActualTime: 14.6743 | TimingOffset: -0.0457 | TimingError: 0.0457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14:59:50.935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Easy</t>
        </is>
      </c>
      <c r="K29" s="4">
        <v>0.0316</v>
      </c>
      <c r="M29" s="6">
        <v>33</v>
      </c>
      <c r="N29" s="6" t="inlineStr">
        <is>
          <t>2026-10-02 14:59:50.935 | Minigame: Alex | Type: HammerHit | Outcome: Success | Difficulty: Easy | ExpectedTime: 14.7200 | ActualTime: 14.6884 | TimingOffset: -0.0316 | TimingError: 0.0316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14:59:52.466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Failed</t>
        </is>
      </c>
      <c r="G30" s="0" t="inlineStr">
        <is>
          <t>Easy</t>
        </is>
      </c>
      <c r="K30" s="4">
        <v>0.0362</v>
      </c>
      <c r="M30" s="0">
        <v>34</v>
      </c>
      <c r="N30" s="0" t="inlineStr">
        <is>
          <t>2026-10-02 14:59:52.466 | Minigame: Alex | Type: HammerHit | Outcome: Failed | Difficulty: Easy | ExpectedTime: 16.2560 | ActualTime: 16.2198 | TimingOffset: -0.0362 | TimingError: 0.0362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14:59:52.508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Easy</t>
        </is>
      </c>
      <c r="M31" s="6">
        <v>35</v>
      </c>
      <c r="N31" s="6" t="inlineStr">
        <is>
          <t>2026-10-02 14:59:52.508 | Minigame: Alex | Type: HammerHit | Outcome: Success | Difficulty: Easy | ExpectedTime: 16.2560 | ActualTime: N/A | TimingOffset: N/A | TimingError: N/A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14:59:54.011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Easy</t>
        </is>
      </c>
      <c r="K32" s="4">
        <v>0.0269</v>
      </c>
      <c r="M32" s="0">
        <v>36</v>
      </c>
      <c r="N32" s="0" t="inlineStr">
        <is>
          <t>2026-10-02 14:59:54.011 | Minigame: Alex | Type: HammerHit | Outcome: Success | Difficulty: Easy | ExpectedTime: 17.7920 | ActualTime: 17.7651 | TimingOffset: -0.0269 | TimingError: 0.0269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14:59:54.013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Failed</t>
        </is>
      </c>
      <c r="G33" s="6" t="inlineStr">
        <is>
          <t>Easy</t>
        </is>
      </c>
      <c r="K33" s="4">
        <v>0.0269</v>
      </c>
      <c r="M33" s="6">
        <v>37</v>
      </c>
      <c r="N33" s="6" t="inlineStr">
        <is>
          <t>2026-10-02 14:59:54.013 | Minigame: Alex | Type: HammerHit | Outcome: Failed | Difficulty: Easy | ExpectedTime: 17.7920 | ActualTime: 17.7651 | TimingOffset: -0.0269 | TimingError: 0.0269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14:59:55.571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Failed</t>
        </is>
      </c>
      <c r="G34" s="0" t="inlineStr">
        <is>
          <t>Easy</t>
        </is>
      </c>
      <c r="K34" s="4">
        <v>0.0174</v>
      </c>
      <c r="M34" s="0">
        <v>38</v>
      </c>
      <c r="N34" s="0" t="inlineStr">
        <is>
          <t>2026-10-02 14:59:55.571 | Minigame: Alex | Type: HammerHit | Outcome: Failed | Difficulty: Easy | ExpectedTime: 19.3280 | ActualTime: 19.3106 | TimingOffset: -0.0174 | TimingError: 0.0174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14:59:55.585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Easy</t>
        </is>
      </c>
      <c r="M35" s="6">
        <v>39</v>
      </c>
      <c r="N35" s="6" t="inlineStr">
        <is>
          <t>2026-10-02 14:59:55.585 | Minigame: Alex | Type: HammerHit | Outcome: Success | Difficulty: Easy | ExpectedTime: 19.3280 | ActualTime: N/A | TimingOffset: N/A | TimingError: N/A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14:59:57.089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Easy</t>
        </is>
      </c>
      <c r="K36" s="4">
        <v>0.0216</v>
      </c>
      <c r="M36" s="0">
        <v>40</v>
      </c>
      <c r="N36" s="0" t="inlineStr">
        <is>
          <t>2026-10-02 14:59:57.089 | Minigame: Alex | Type: HammerHit | Outcome: Success | Difficulty: Easy | ExpectedTime: 20.8640 | ActualTime: 20.8424 | TimingOffset: -0.0216 | TimingError: 0.0216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14:59:57.103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Failed</t>
        </is>
      </c>
      <c r="G37" s="6" t="inlineStr">
        <is>
          <t>Easy</t>
        </is>
      </c>
      <c r="K37" s="4">
        <v>0.0216</v>
      </c>
      <c r="M37" s="6">
        <v>41</v>
      </c>
      <c r="N37" s="6" t="inlineStr">
        <is>
          <t>2026-10-02 14:59:57.103 | Minigame: Alex | Type: HammerHit | Outcome: Failed | Difficulty: Easy | ExpectedTime: 20.8640 | ActualTime: 20.8424 | TimingOffset: -0.0216 | TimingError: 0.0216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14:59:58.606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Failed</t>
        </is>
      </c>
      <c r="G38" s="0" t="inlineStr">
        <is>
          <t>Easy</t>
        </is>
      </c>
      <c r="K38" s="4">
        <v>0.0402</v>
      </c>
      <c r="M38" s="0">
        <v>42</v>
      </c>
      <c r="N38" s="0" t="inlineStr">
        <is>
          <t>2026-10-02 14:59:58.606 | Minigame: Alex | Type: HammerHit | Outcome: Failed | Difficulty: Easy | ExpectedTime: 22.4000 | ActualTime: 22.3598 | TimingOffset: -0.0402 | TimingError: 0.0402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15:00:00.167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Easy</t>
        </is>
      </c>
      <c r="K39" s="4">
        <v>0.0165</v>
      </c>
      <c r="M39" s="6">
        <v>43</v>
      </c>
      <c r="N39" s="6" t="inlineStr">
        <is>
          <t>2026-10-02 15:00:00.167 | Minigame: Alex | Type: HammerHit | Outcome: Success | Difficulty: Easy | ExpectedTime: 23.9360 | ActualTime: 23.9195 | TimingOffset: -0.0165 | TimingError: 0.0165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15:00:00.180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Easy</t>
        </is>
      </c>
      <c r="K40" s="4">
        <v>0.0165</v>
      </c>
      <c r="M40" s="0">
        <v>44</v>
      </c>
      <c r="N40" s="0" t="inlineStr">
        <is>
          <t>2026-10-02 15:00:00.180 | Minigame: Alex | Type: HammerHit | Outcome: Success | Difficulty: Easy | ExpectedTime: 23.9360 | ActualTime: 23.9195 | TimingOffset: -0.0165 | TimingError: 0.0165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15:00:01.739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Success</t>
        </is>
      </c>
      <c r="G41" s="6" t="inlineStr">
        <is>
          <t>Easy</t>
        </is>
      </c>
      <c r="M41" s="6">
        <v>45</v>
      </c>
      <c r="N41" s="6" t="inlineStr">
        <is>
          <t>2026-10-02 15:00:01.739 | Minigame: Alex | Type: HammerTouch | Outcome: Success | Difficulty: Easy | ExpectedTime: 25.4720 | ActualTime: N/A | TimingOffset: N/A | TimingError: N/A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15:00:03.229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Easy</t>
        </is>
      </c>
      <c r="K42" s="4">
        <v>0.025</v>
      </c>
      <c r="M42" s="0">
        <v>46</v>
      </c>
      <c r="N42" s="0" t="inlineStr">
        <is>
          <t>2026-10-02 15:00:03.229 | Minigame: Alex | Type: HammerHit | Outcome: Success | Difficulty: Easy | ExpectedTime: 27.0080 | ActualTime: 26.9830 | TimingOffset: -0.0250 | TimingError: 0.0250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15:00:03.231</t>
        </is>
      </c>
      <c r="C43" s="6" t="inlineStr">
        <is>
          <t>PlayerState</t>
        </is>
      </c>
      <c r="H43" s="6" t="inlineStr">
        <is>
          <t>Engaged</t>
        </is>
      </c>
      <c r="M43" s="6">
        <v>47</v>
      </c>
      <c r="N43" s="6" t="inlineStr">
        <is>
          <t>2026-10-02 15:00:03.231 | PlayerState: Engaged</t>
        </is>
      </c>
    </row>
    <row r="44" ht="17" customHeight="1">
      <c r="A44" s="0">
        <v>43</v>
      </c>
      <c r="B44" s="0" t="inlineStr">
        <is>
          <t>2026-10-02 15:00:03.244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Easy</t>
        </is>
      </c>
      <c r="K44" s="4">
        <v>0.0113</v>
      </c>
      <c r="M44" s="0">
        <v>48</v>
      </c>
      <c r="N44" s="0" t="inlineStr">
        <is>
          <t>2026-10-02 15:00:03.244 | Minigame: Alex | Type: HammerHit | Outcome: Success | Difficulty: Easy | ExpectedTime: 27.0080 | ActualTime: 26.9967 | TimingOffset: -0.0113 | TimingError: 0.0113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15:00:04.831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HammerTouch</t>
        </is>
      </c>
      <c r="F45" s="6" t="inlineStr">
        <is>
          <t>Success</t>
        </is>
      </c>
      <c r="G45" s="6" t="inlineStr">
        <is>
          <t>Easy</t>
        </is>
      </c>
      <c r="M45" s="6">
        <v>49</v>
      </c>
      <c r="N45" s="6" t="inlineStr">
        <is>
          <t>2026-10-02 15:00:04.831 | Minigame: Alex | Type: HammerTouch | Outcome: Success | Difficulty: Easy | ExpectedTime: 28.5440 | ActualTime: N/A | TimingOffset: N/A | TimingError: N/A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15:00:06.306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Easy</t>
        </is>
      </c>
      <c r="K46" s="4">
        <v>0.0205</v>
      </c>
      <c r="M46" s="0">
        <v>50</v>
      </c>
      <c r="N46" s="0" t="inlineStr">
        <is>
          <t>2026-10-02 15:00:06.306 | Minigame: Alex | Type: HammerHit | Outcome: Success | Difficulty: Easy | ExpectedTime: 30.0800 | ActualTime: 30.0595 | TimingOffset: -0.0205 | TimingError: 0.0205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15:00:06.307</t>
        </is>
      </c>
      <c r="C47" s="6" t="inlineStr">
        <is>
          <t>DifficultyChanged</t>
        </is>
      </c>
      <c r="D47" s="6" t="inlineStr">
        <is>
          <t>Alex</t>
        </is>
      </c>
      <c r="I47" s="6" t="inlineStr">
        <is>
          <t>Easy -&gt; Normal</t>
        </is>
      </c>
      <c r="J47" s="6" t="inlineStr">
        <is>
          <t>High recent performance</t>
        </is>
      </c>
      <c r="M47" s="6">
        <v>51</v>
      </c>
      <c r="N47" s="6" t="inlineStr">
        <is>
          <t>2026-10-02 15:00:06.307 | DifficultyChanged: Easy -&gt; Normal | Reason: High recent performance | Minigame: Alex | SuccessRate: 0.88</t>
        </is>
      </c>
    </row>
    <row r="48" ht="17" customHeight="1">
      <c r="A48" s="0">
        <v>47</v>
      </c>
      <c r="B48" s="0" t="inlineStr">
        <is>
          <t>2026-10-02 15:00:06.668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HammerTouch</t>
        </is>
      </c>
      <c r="F48" s="0" t="inlineStr">
        <is>
          <t>Missed</t>
        </is>
      </c>
      <c r="G48" s="0" t="inlineStr">
        <is>
          <t>Normal</t>
        </is>
      </c>
      <c r="M48" s="0">
        <v>52</v>
      </c>
      <c r="N48" s="0" t="inlineStr">
        <is>
          <t>2026-10-02 15:00:06.668 | Minigame: Alex | Type: HammerTouch | Outcome: Missed | Difficulty: Normal | ExpectedTime: 30.0800 | ActualTime: N/A | TimingOffset: N/A | TimingError: N/A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15:00:07.142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HammerTouch</t>
        </is>
      </c>
      <c r="F49" s="6" t="inlineStr">
        <is>
          <t>Success</t>
        </is>
      </c>
      <c r="G49" s="6" t="inlineStr">
        <is>
          <t>Normal</t>
        </is>
      </c>
      <c r="M49" s="6">
        <v>53</v>
      </c>
      <c r="N49" s="6" t="inlineStr">
        <is>
          <t>2026-10-02 15:00:07.142 | Minigame: Alex | Type: HammerTouch | Outcome: Success | Difficulty: Normal | ExpectedTime: 30.8480 | ActualTime: N/A | TimingOffset: N/A | TimingError: N/A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15:00:07.169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HammerTouch</t>
        </is>
      </c>
      <c r="F50" s="0" t="inlineStr">
        <is>
          <t>Success</t>
        </is>
      </c>
      <c r="G50" s="0" t="inlineStr">
        <is>
          <t>Normal</t>
        </is>
      </c>
      <c r="M50" s="0">
        <v>54</v>
      </c>
      <c r="N50" s="0" t="inlineStr">
        <is>
          <t>2026-10-02 15:00:07.169 | Minigame: Alex | Type: HammerTouch | Outcome: Success | Difficulty: Normal | ExpectedTime: 30.8480 | ActualTime: N/A | TimingOffset: N/A | TimingError: N/A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15:00:09.912</t>
        </is>
      </c>
      <c r="C51" s="6" t="inlineStr">
        <is>
          <t>Interaction</t>
        </is>
      </c>
      <c r="D51" s="6" t="inlineStr">
        <is>
          <t>Joaquin</t>
        </is>
      </c>
      <c r="E51" s="6" t="inlineStr">
        <is>
          <t>GuitarHit</t>
        </is>
      </c>
      <c r="F51" s="6" t="inlineStr">
        <is>
          <t>Success</t>
        </is>
      </c>
      <c r="G51" s="6" t="inlineStr">
        <is>
          <t>Normal</t>
        </is>
      </c>
      <c r="K51" s="4">
        <v>0.115</v>
      </c>
      <c r="M51" s="6">
        <v>55</v>
      </c>
      <c r="N51" s="6" t="inlineStr">
        <is>
          <t>2026-10-02 15:00:09.912 | Minigame: Joaquin | Type: GuitarHit | Outcome: Success | Difficulty: Normal | ExpectedTime: 33.5360 | ActualTime: 33.6510 | TimingOffset: 0.1150 | TimingError: 0.1150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15:00:13.141</t>
        </is>
      </c>
      <c r="C52" s="0" t="inlineStr">
        <is>
          <t>Interaction</t>
        </is>
      </c>
      <c r="D52" s="0" t="inlineStr">
        <is>
          <t>Joaquin</t>
        </is>
      </c>
      <c r="E52" s="0" t="inlineStr">
        <is>
          <t>GuitarHit</t>
        </is>
      </c>
      <c r="F52" s="0" t="inlineStr">
        <is>
          <t>Success</t>
        </is>
      </c>
      <c r="G52" s="0" t="inlineStr">
        <is>
          <t>Normal</t>
        </is>
      </c>
      <c r="K52" s="4">
        <v>0.1113</v>
      </c>
      <c r="M52" s="0">
        <v>56</v>
      </c>
      <c r="N52" s="0" t="inlineStr">
        <is>
          <t>2026-10-02 15:00:13.141 | Minigame: Joaquin | Type: GuitarHit | Outcome: Success | Difficulty: Normal | ExpectedTime: 36.9920 | ActualTime: 36.8807 | TimingOffset: -0.1113 | TimingError: 0.1113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15:00:15.439</t>
        </is>
      </c>
      <c r="C53" s="6" t="inlineStr">
        <is>
          <t>Interaction</t>
        </is>
      </c>
      <c r="D53" s="6" t="inlineStr">
        <is>
          <t>Joaquin</t>
        </is>
      </c>
      <c r="E53" s="6" t="inlineStr">
        <is>
          <t>GuitarHit</t>
        </is>
      </c>
      <c r="F53" s="6" t="inlineStr">
        <is>
          <t>Success</t>
        </is>
      </c>
      <c r="G53" s="6" t="inlineStr">
        <is>
          <t>Normal</t>
        </is>
      </c>
      <c r="K53" s="4">
        <v>0.1175</v>
      </c>
      <c r="M53" s="6">
        <v>57</v>
      </c>
      <c r="N53" s="6" t="inlineStr">
        <is>
          <t>2026-10-02 15:00:15.439 | Minigame: Joaquin | Type: GuitarHit | Outcome: Success | Difficulty: Normal | ExpectedTime: 39.2960 | ActualTime: 39.1785 | TimingOffset: -0.1175 | TimingError: 0.1175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15:00:17.750</t>
        </is>
      </c>
      <c r="C54" s="0" t="inlineStr">
        <is>
          <t>Interaction</t>
        </is>
      </c>
      <c r="D54" s="0" t="inlineStr">
        <is>
          <t>Joaquin</t>
        </is>
      </c>
      <c r="E54" s="0" t="inlineStr">
        <is>
          <t>GuitarHit</t>
        </is>
      </c>
      <c r="F54" s="0" t="inlineStr">
        <is>
          <t>Success</t>
        </is>
      </c>
      <c r="G54" s="0" t="inlineStr">
        <is>
          <t>Normal</t>
        </is>
      </c>
      <c r="K54" s="4">
        <v>0.1114</v>
      </c>
      <c r="M54" s="0">
        <v>58</v>
      </c>
      <c r="N54" s="0" t="inlineStr">
        <is>
          <t>2026-10-02 15:00:17.750 | Minigame: Joaquin | Type: GuitarHit | Outcome: Success | Difficulty: Normal | ExpectedTime: 41.6000 | ActualTime: 41.4886 | TimingOffset: -0.1114 | TimingError: 0.1114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15:00:19.434</t>
        </is>
      </c>
      <c r="C55" s="6" t="inlineStr">
        <is>
          <t>Interaction</t>
        </is>
      </c>
      <c r="D55" s="6" t="inlineStr">
        <is>
          <t>Joaquin</t>
        </is>
      </c>
      <c r="E55" s="6" t="inlineStr">
        <is>
          <t>PlayerHit</t>
        </is>
      </c>
      <c r="F55" s="6" t="inlineStr">
        <is>
          <t>Failed</t>
        </is>
      </c>
      <c r="G55" s="6" t="inlineStr">
        <is>
          <t>Normal</t>
        </is>
      </c>
      <c r="M55" s="6">
        <v>59</v>
      </c>
      <c r="N55" s="6" t="inlineStr">
        <is>
          <t>2026-10-02 15:00:19.434 | Minigame: Joaquin | Type: PlayerHit | Outcome: Failed | Difficulty: Normal | ExpectedTime: 43.1739 | ActualTime: N/A | TimingOffset: N/A | TimingError: N/A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15:00:20.006</t>
        </is>
      </c>
      <c r="C56" s="0" t="inlineStr">
        <is>
          <t>Interaction</t>
        </is>
      </c>
      <c r="D56" s="0" t="inlineStr">
        <is>
          <t>Joaquin</t>
        </is>
      </c>
      <c r="E56" s="0" t="inlineStr">
        <is>
          <t>GuitarHit</t>
        </is>
      </c>
      <c r="F56" s="0" t="inlineStr">
        <is>
          <t>Success</t>
        </is>
      </c>
      <c r="G56" s="0" t="inlineStr">
        <is>
          <t>Normal</t>
        </is>
      </c>
      <c r="K56" s="4">
        <v>0.1588</v>
      </c>
      <c r="M56" s="0">
        <v>60</v>
      </c>
      <c r="N56" s="0" t="inlineStr">
        <is>
          <t>2026-10-02 15:00:20.006 | Minigame: Joaquin | Type: GuitarHit | Outcome: Success | Difficulty: Normal | ExpectedTime: 43.9040 | ActualTime: 43.7452 | TimingOffset: -0.1588 | TimingError: 0.1588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15:00:23.109</t>
        </is>
      </c>
      <c r="C57" s="6" t="inlineStr">
        <is>
          <t>Interaction</t>
        </is>
      </c>
      <c r="D57" s="6" t="inlineStr">
        <is>
          <t>Joaquin</t>
        </is>
      </c>
      <c r="E57" s="6" t="inlineStr">
        <is>
          <t>PlayerHit</t>
        </is>
      </c>
      <c r="F57" s="6" t="inlineStr">
        <is>
          <t>Failed</t>
        </is>
      </c>
      <c r="G57" s="6" t="inlineStr">
        <is>
          <t>Normal</t>
        </is>
      </c>
      <c r="M57" s="6">
        <v>61</v>
      </c>
      <c r="N57" s="6" t="inlineStr">
        <is>
          <t>2026-10-02 15:00:23.109 | Minigame: Joaquin | Type: PlayerHit | Outcome: Failed | Difficulty: Normal | ExpectedTime: 46.8492 | ActualTime: N/A | TimingOffset: N/A | TimingError: N/A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15:00:25.004</t>
        </is>
      </c>
      <c r="C58" s="0" t="inlineStr">
        <is>
          <t>PlayerState</t>
        </is>
      </c>
      <c r="H58" s="0" t="inlineStr">
        <is>
          <t>Idle</t>
        </is>
      </c>
      <c r="M58" s="0">
        <v>62</v>
      </c>
      <c r="N58" s="0" t="inlineStr">
        <is>
          <t>2026-10-02 15:00:25.004 | PlayerState: Idle</t>
        </is>
      </c>
    </row>
    <row r="59" ht="17" customHeight="1">
      <c r="A59" s="6">
        <v>58</v>
      </c>
      <c r="B59" s="6" t="inlineStr">
        <is>
          <t>2026-10-02 15:00:25.017</t>
        </is>
      </c>
      <c r="C59" s="6" t="inlineStr">
        <is>
          <t>Interaction</t>
        </is>
      </c>
      <c r="D59" s="6" t="inlineStr">
        <is>
          <t>Joaquin</t>
        </is>
      </c>
      <c r="E59" s="6" t="inlineStr">
        <is>
          <t>PlayerHit</t>
        </is>
      </c>
      <c r="F59" s="6" t="inlineStr">
        <is>
          <t>Failed</t>
        </is>
      </c>
      <c r="G59" s="6" t="inlineStr">
        <is>
          <t>Normal</t>
        </is>
      </c>
      <c r="M59" s="6">
        <v>63</v>
      </c>
      <c r="N59" s="6" t="inlineStr">
        <is>
          <t>2026-10-02 15:00:25.017 | Minigame: Joaquin | Type: PlayerHit | Outcome: Failed | Difficulty: Normal | ExpectedTime: 48.7569 | ActualTime: N/A | TimingOffset: N/A | TimingError: N/A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15:00:25.767</t>
        </is>
      </c>
      <c r="C60" s="0" t="inlineStr">
        <is>
          <t>Interaction</t>
        </is>
      </c>
      <c r="D60" s="0" t="inlineStr">
        <is>
          <t>Joaquin</t>
        </is>
      </c>
      <c r="E60" s="0" t="inlineStr">
        <is>
          <t>PlayerHit</t>
        </is>
      </c>
      <c r="F60" s="0" t="inlineStr">
        <is>
          <t>Failed</t>
        </is>
      </c>
      <c r="G60" s="0" t="inlineStr">
        <is>
          <t>Normal</t>
        </is>
      </c>
      <c r="M60" s="0">
        <v>64</v>
      </c>
      <c r="N60" s="0" t="inlineStr">
        <is>
          <t>2026-10-02 15:00:25.767 | Minigame: Joaquin | Type: PlayerHit | Outcome: Failed | Difficulty: Normal | ExpectedTime: 49.5078 | ActualTime: N/A | TimingOffset: N/A | TimingError: N/A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15:00:27.396</t>
        </is>
      </c>
      <c r="C61" s="6" t="inlineStr">
        <is>
          <t>Interaction</t>
        </is>
      </c>
      <c r="D61" s="6" t="inlineStr">
        <is>
          <t>Joaquin</t>
        </is>
      </c>
      <c r="E61" s="6" t="inlineStr">
        <is>
          <t>PlayerHit</t>
        </is>
      </c>
      <c r="F61" s="6" t="inlineStr">
        <is>
          <t>Failed</t>
        </is>
      </c>
      <c r="G61" s="6" t="inlineStr">
        <is>
          <t>Normal</t>
        </is>
      </c>
      <c r="M61" s="6">
        <v>65</v>
      </c>
      <c r="N61" s="6" t="inlineStr">
        <is>
          <t>2026-10-02 15:00:27.396 | Minigame: Joaquin | Type: PlayerHit | Outcome: Failed | Difficulty: Normal | ExpectedTime: 51.1363 | ActualTime: N/A | TimingOffset: N/A | TimingError: N/A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15:00:27.647</t>
        </is>
      </c>
      <c r="C62" s="0" t="inlineStr">
        <is>
          <t>Interaction</t>
        </is>
      </c>
      <c r="D62" s="0" t="inlineStr">
        <is>
          <t>Joaquin</t>
        </is>
      </c>
      <c r="E62" s="0" t="inlineStr">
        <is>
          <t>PlayerHit</t>
        </is>
      </c>
      <c r="F62" s="0" t="inlineStr">
        <is>
          <t>Failed</t>
        </is>
      </c>
      <c r="G62" s="0" t="inlineStr">
        <is>
          <t>Normal</t>
        </is>
      </c>
      <c r="M62" s="0">
        <v>66</v>
      </c>
      <c r="N62" s="0" t="inlineStr">
        <is>
          <t>2026-10-02 15:00:27.647 | Minigame: Joaquin | Type: PlayerHit | Outcome: Failed | Difficulty: Normal | ExpectedTime: 51.3868 | ActualTime: N/A | TimingOffset: N/A | TimingError: N/A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15:00:40.317</t>
        </is>
      </c>
      <c r="C63" s="6" t="inlineStr">
        <is>
          <t>Interaction</t>
        </is>
      </c>
      <c r="D63" s="6" t="inlineStr">
        <is>
          <t>Joaquin</t>
        </is>
      </c>
      <c r="E63" s="6" t="inlineStr">
        <is>
          <t>GuitarHit</t>
        </is>
      </c>
      <c r="F63" s="6" t="inlineStr">
        <is>
          <t>Success</t>
        </is>
      </c>
      <c r="G63" s="6" t="inlineStr">
        <is>
          <t>Normal</t>
        </is>
      </c>
      <c r="K63" s="4">
        <v>0.1477</v>
      </c>
      <c r="M63" s="6">
        <v>67</v>
      </c>
      <c r="N63" s="6" t="inlineStr">
        <is>
          <t>2026-10-02 15:00:40.317 | Minigame: Joaquin | Type: GuitarHit | Outcome: Success | Difficulty: Normal | ExpectedTime: 53.1200 | ActualTime: 53.2677 | TimingOffset: 0.1477 | TimingError: 0.1477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15:00:40.318</t>
        </is>
      </c>
      <c r="C64" s="0" t="inlineStr">
        <is>
          <t>PlayerState</t>
        </is>
      </c>
      <c r="H64" s="0" t="inlineStr">
        <is>
          <t>Engaged</t>
        </is>
      </c>
      <c r="M64" s="0">
        <v>68</v>
      </c>
      <c r="N64" s="0" t="inlineStr">
        <is>
          <t>2026-10-02 15:00:40.318 | PlayerState: Engaged</t>
        </is>
      </c>
    </row>
    <row r="65" ht="17" customHeight="1">
      <c r="A65" s="6">
        <v>64</v>
      </c>
      <c r="B65" s="6" t="inlineStr">
        <is>
          <t>2026-10-02 15:00:40.331</t>
        </is>
      </c>
      <c r="C65" s="6" t="inlineStr">
        <is>
          <t>Interaction</t>
        </is>
      </c>
      <c r="D65" s="6" t="inlineStr">
        <is>
          <t>Joaquin</t>
        </is>
      </c>
      <c r="E65" s="6" t="inlineStr">
        <is>
          <t>PlayerHit</t>
        </is>
      </c>
      <c r="F65" s="6" t="inlineStr">
        <is>
          <t>Failed</t>
        </is>
      </c>
      <c r="G65" s="6" t="inlineStr">
        <is>
          <t>Normal</t>
        </is>
      </c>
      <c r="M65" s="6">
        <v>69</v>
      </c>
      <c r="N65" s="6" t="inlineStr">
        <is>
          <t>2026-10-02 15:00:40.331 | Minigame: Joaquin | Type: PlayerHit | Outcome: Failed | Difficulty: Normal | ExpectedTime: 53.2814 | ActualTime: N/A | TimingOffset: N/A | TimingError: N/A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15:00:41.082</t>
        </is>
      </c>
      <c r="C66" s="0" t="inlineStr">
        <is>
          <t>Interaction</t>
        </is>
      </c>
      <c r="D66" s="0" t="inlineStr">
        <is>
          <t>Joaquin</t>
        </is>
      </c>
      <c r="E66" s="0" t="inlineStr">
        <is>
          <t>PlayerHit</t>
        </is>
      </c>
      <c r="F66" s="0" t="inlineStr">
        <is>
          <t>Failed</t>
        </is>
      </c>
      <c r="G66" s="0" t="inlineStr">
        <is>
          <t>Normal</t>
        </is>
      </c>
      <c r="M66" s="0">
        <v>70</v>
      </c>
      <c r="N66" s="0" t="inlineStr">
        <is>
          <t>2026-10-02 15:00:41.082 | Minigame: Joaquin | Type: PlayerHit | Outcome: Failed | Difficulty: Normal | ExpectedTime: 54.0317 | ActualTime: N/A | TimingOffset: N/A | TimingError: N/A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15:00:42.293</t>
        </is>
      </c>
      <c r="C67" s="6" t="inlineStr">
        <is>
          <t>Interaction</t>
        </is>
      </c>
      <c r="D67" s="6" t="inlineStr">
        <is>
          <t>Joaquin</t>
        </is>
      </c>
      <c r="E67" s="6" t="inlineStr">
        <is>
          <t>GuitarHit</t>
        </is>
      </c>
      <c r="F67" s="6" t="inlineStr">
        <is>
          <t>Success</t>
        </is>
      </c>
      <c r="G67" s="6" t="inlineStr">
        <is>
          <t>Normal</t>
        </is>
      </c>
      <c r="K67" s="4">
        <v>0.1808</v>
      </c>
      <c r="M67" s="6">
        <v>71</v>
      </c>
      <c r="N67" s="6" t="inlineStr">
        <is>
          <t>2026-10-02 15:00:42.293 | Minigame: Joaquin | Type: GuitarHit | Outcome: Success | Difficulty: Normal | ExpectedTime: 55.4240 | ActualTime: 55.2432 | TimingOffset: -0.1808 | TimingError: 0.1808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15:00:44.619</t>
        </is>
      </c>
      <c r="C68" s="0" t="inlineStr">
        <is>
          <t>Interaction</t>
        </is>
      </c>
      <c r="D68" s="0" t="inlineStr">
        <is>
          <t>Joaquin</t>
        </is>
      </c>
      <c r="E68" s="0" t="inlineStr">
        <is>
          <t>GuitarHit</t>
        </is>
      </c>
      <c r="F68" s="0" t="inlineStr">
        <is>
          <t>Success</t>
        </is>
      </c>
      <c r="G68" s="0" t="inlineStr">
        <is>
          <t>Normal</t>
        </is>
      </c>
      <c r="K68" s="4">
        <v>0.1596</v>
      </c>
      <c r="M68" s="0">
        <v>72</v>
      </c>
      <c r="N68" s="0" t="inlineStr">
        <is>
          <t>2026-10-02 15:00:44.619 | Minigame: Joaquin | Type: GuitarHit | Outcome: Success | Difficulty: Normal | ExpectedTime: 57.7280 | ActualTime: 57.5684 | TimingOffset: -0.1596 | TimingError: 0.1596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15:00:47.054</t>
        </is>
      </c>
      <c r="C69" s="6" t="inlineStr">
        <is>
          <t>Interaction</t>
        </is>
      </c>
      <c r="D69" s="6" t="inlineStr">
        <is>
          <t>Joaquin</t>
        </is>
      </c>
      <c r="E69" s="6" t="inlineStr">
        <is>
          <t>GuitarHit</t>
        </is>
      </c>
      <c r="F69" s="6" t="inlineStr">
        <is>
          <t>Success</t>
        </is>
      </c>
      <c r="G69" s="6" t="inlineStr">
        <is>
          <t>Normal</t>
        </is>
      </c>
      <c r="K69" s="4">
        <v>0.0274</v>
      </c>
      <c r="M69" s="6">
        <v>73</v>
      </c>
      <c r="N69" s="6" t="inlineStr">
        <is>
          <t>2026-10-02 15:00:47.054 | Minigame: Joaquin | Type: GuitarHit | Outcome: Success | Difficulty: Normal | ExpectedTime: 60.0320 | ActualTime: 60.0046 | TimingOffset: -0.0274 | TimingError: 0.0274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15:00:49.199</t>
        </is>
      </c>
      <c r="C70" s="0" t="inlineStr">
        <is>
          <t>Interaction</t>
        </is>
      </c>
      <c r="D70" s="0" t="inlineStr">
        <is>
          <t>Joaquin</t>
        </is>
      </c>
      <c r="E70" s="0" t="inlineStr">
        <is>
          <t>GuitarHit</t>
        </is>
      </c>
      <c r="F70" s="0" t="inlineStr">
        <is>
          <t>Success</t>
        </is>
      </c>
      <c r="G70" s="0" t="inlineStr">
        <is>
          <t>Normal</t>
        </is>
      </c>
      <c r="K70" s="4">
        <v>0.187</v>
      </c>
      <c r="M70" s="0">
        <v>74</v>
      </c>
      <c r="N70" s="0" t="inlineStr">
        <is>
          <t>2026-10-02 15:00:49.199 | Minigame: Joaquin | Type: GuitarHit | Outcome: Success | Difficulty: Normal | ExpectedTime: 62.3360 | ActualTime: 62.1490 | TimingOffset: -0.1870 | TimingError: 0.1870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15:00:49.240</t>
        </is>
      </c>
      <c r="C71" s="6" t="inlineStr">
        <is>
          <t>Interaction</t>
        </is>
      </c>
      <c r="D71" s="6" t="inlineStr">
        <is>
          <t>Joaquin</t>
        </is>
      </c>
      <c r="E71" s="6" t="inlineStr">
        <is>
          <t>PlayerHit</t>
        </is>
      </c>
      <c r="F71" s="6" t="inlineStr">
        <is>
          <t>Failed</t>
        </is>
      </c>
      <c r="G71" s="6" t="inlineStr">
        <is>
          <t>Normal</t>
        </is>
      </c>
      <c r="M71" s="6">
        <v>75</v>
      </c>
      <c r="N71" s="6" t="inlineStr">
        <is>
          <t>2026-10-02 15:00:49.240 | Minigame: Joaquin | Type: PlayerHit | Outcome: Failed | Difficulty: Normal | ExpectedTime: 62.1905 | ActualTime: N/A | TimingOffset: N/A | TimingError: N/A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15:00:54.199</t>
        </is>
      </c>
      <c r="C72" s="0" t="inlineStr">
        <is>
          <t>PlayerState</t>
        </is>
      </c>
      <c r="H72" s="0" t="inlineStr">
        <is>
          <t>Idle</t>
        </is>
      </c>
      <c r="M72" s="0">
        <v>76</v>
      </c>
      <c r="N72" s="0" t="inlineStr">
        <is>
          <t>2026-10-02 15:00:54.199 | PlayerState: Idle</t>
        </is>
      </c>
    </row>
    <row r="73" ht="17" customHeight="1">
      <c r="A73" s="6">
        <v>72</v>
      </c>
      <c r="B73" s="6" t="inlineStr">
        <is>
          <t>2026-10-02 15:00:54.213</t>
        </is>
      </c>
      <c r="C73" s="6" t="inlineStr">
        <is>
          <t>Interaction</t>
        </is>
      </c>
      <c r="D73" s="6" t="inlineStr">
        <is>
          <t>Shipi</t>
        </is>
      </c>
      <c r="E73" s="6" t="inlineStr">
        <is>
          <t>FoodCut</t>
        </is>
      </c>
      <c r="F73" s="6" t="inlineStr">
        <is>
          <t>Failed</t>
        </is>
      </c>
      <c r="G73" s="6" t="inlineStr">
        <is>
          <t>Normal</t>
        </is>
      </c>
      <c r="K73" s="4">
        <v>0.5265</v>
      </c>
      <c r="L73" s="4">
        <v>1.3713</v>
      </c>
      <c r="M73" s="6">
        <v>77</v>
      </c>
      <c r="N73" s="6" t="inlineStr">
        <is>
          <t>2026-10-02 15:00:54.213 | Minigame: Shipi | Type: FoodCut | Outcome: Failed | Difficulty: Normal | ExpectedTime: 66.6368 | ActualTime: 67.1633 | TimingOffset: 0.5265 | TimingError: 0.5265 | ReactionTime: 1.3713 | SpatialAccuracy: N/A | DirectionAccuracy: 0.0000 | CorrectHand: N/A</t>
        </is>
      </c>
    </row>
    <row r="74" ht="17" customHeight="1">
      <c r="A74" s="0">
        <v>73</v>
      </c>
      <c r="B74" s="0" t="inlineStr">
        <is>
          <t>2026-10-02 15:00:54.213</t>
        </is>
      </c>
      <c r="C74" s="0" t="inlineStr">
        <is>
          <t>PlayerState</t>
        </is>
      </c>
      <c r="H74" s="0" t="inlineStr">
        <is>
          <t>Engaged</t>
        </is>
      </c>
      <c r="M74" s="0">
        <v>78</v>
      </c>
      <c r="N74" s="0" t="inlineStr">
        <is>
          <t>2026-10-02 15:00:54.213 | PlayerState: Engaged</t>
        </is>
      </c>
    </row>
    <row r="75" ht="17" customHeight="1">
      <c r="A75" s="6">
        <v>74</v>
      </c>
      <c r="B75" s="6" t="inlineStr">
        <is>
          <t>2026-10-02 15:00:54.394</t>
        </is>
      </c>
      <c r="C75" s="6" t="inlineStr">
        <is>
          <t>Interaction</t>
        </is>
      </c>
      <c r="D75" s="6" t="inlineStr">
        <is>
          <t>Shipi</t>
        </is>
      </c>
      <c r="E75" s="6" t="inlineStr">
        <is>
          <t>FoodCut</t>
        </is>
      </c>
      <c r="F75" s="6" t="inlineStr">
        <is>
          <t>Failed</t>
        </is>
      </c>
      <c r="G75" s="6" t="inlineStr">
        <is>
          <t>Normal</t>
        </is>
      </c>
      <c r="M75" s="6">
        <v>79</v>
      </c>
      <c r="N75" s="6" t="inlineStr">
        <is>
          <t>2026-10-02 15:00:54.394 | Minigame: Shipi | Type: FoodCut | Outcome: Failed | Difficulty: Normal | ExpectedTime: 68.1728 | ActualTime: N/A | TimingOffset: N/A | TimingError: N/A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15:00:56.036</t>
        </is>
      </c>
      <c r="C76" s="0" t="inlineStr">
        <is>
          <t>Interaction</t>
        </is>
      </c>
      <c r="D76" s="0" t="inlineStr">
        <is>
          <t>Shipi</t>
        </is>
      </c>
      <c r="E76" s="0" t="inlineStr">
        <is>
          <t>FoodCut</t>
        </is>
      </c>
      <c r="F76" s="0" t="inlineStr">
        <is>
          <t>Success</t>
        </is>
      </c>
      <c r="G76" s="0" t="inlineStr">
        <is>
          <t>Normal</t>
        </is>
      </c>
      <c r="K76" s="4">
        <v>0.7216</v>
      </c>
      <c r="L76" s="4">
        <v>0.1232</v>
      </c>
      <c r="M76" s="0">
        <v>80</v>
      </c>
      <c r="N76" s="0" t="inlineStr">
        <is>
          <t>2026-10-02 15:00:56.036 | Minigame: Shipi | Type: FoodCut | Outcome: Success | Difficulty: Normal | ExpectedTime: 69.7088 | ActualTime: 68.9872 | TimingOffset: -0.7216 | TimingError: 0.7216 | ReactionTime: 0.1232 | SpatialAccuracy: N/A | DirectionAccuracy: 1.0000 | CorrectHand: N/A</t>
        </is>
      </c>
    </row>
    <row r="77" ht="17" customHeight="1">
      <c r="A77" s="6">
        <v>76</v>
      </c>
      <c r="B77" s="6" t="inlineStr">
        <is>
          <t>2026-10-02 15:00:58.348</t>
        </is>
      </c>
      <c r="C77" s="6" t="inlineStr">
        <is>
          <t>Interaction</t>
        </is>
      </c>
      <c r="D77" s="6" t="inlineStr">
        <is>
          <t>Shipi</t>
        </is>
      </c>
      <c r="E77" s="6" t="inlineStr">
        <is>
          <t>FoodCut</t>
        </is>
      </c>
      <c r="F77" s="6" t="inlineStr">
        <is>
          <t>Success</t>
        </is>
      </c>
      <c r="G77" s="6" t="inlineStr">
        <is>
          <t>Normal</t>
        </is>
      </c>
      <c r="K77" s="4">
        <v>0.0533</v>
      </c>
      <c r="L77" s="4">
        <v>0.8981</v>
      </c>
      <c r="M77" s="6">
        <v>81</v>
      </c>
      <c r="N77" s="6" t="inlineStr">
        <is>
          <t>2026-10-02 15:00:58.348 | Minigame: Shipi | Type: FoodCut | Outcome: Success | Difficulty: Normal | ExpectedTime: 71.2448 | ActualTime: 71.2981 | TimingOffset: 0.0533 | TimingError: 0.0533 | ReactionTime: 0.8981 | SpatialAccuracy: N/A | DirectionAccuracy: 1.0000 | CorrectHand: N/A</t>
        </is>
      </c>
    </row>
    <row r="78" ht="17" customHeight="1">
      <c r="A78" s="0">
        <v>77</v>
      </c>
      <c r="B78" s="0" t="inlineStr">
        <is>
          <t>2026-10-02 15:00:59.656</t>
        </is>
      </c>
      <c r="C78" s="0" t="inlineStr">
        <is>
          <t>Interaction</t>
        </is>
      </c>
      <c r="D78" s="0" t="inlineStr">
        <is>
          <t>Shipi</t>
        </is>
      </c>
      <c r="E78" s="0" t="inlineStr">
        <is>
          <t>FoodCut</t>
        </is>
      </c>
      <c r="F78" s="0" t="inlineStr">
        <is>
          <t>Success</t>
        </is>
      </c>
      <c r="G78" s="0" t="inlineStr">
        <is>
          <t>Normal</t>
        </is>
      </c>
      <c r="K78" s="4">
        <v>0.1739</v>
      </c>
      <c r="L78" s="4">
        <v>0.6709</v>
      </c>
      <c r="M78" s="0">
        <v>82</v>
      </c>
      <c r="N78" s="0" t="inlineStr">
        <is>
          <t>2026-10-02 15:00:59.656 | Minigame: Shipi | Type: FoodCut | Outcome: Success | Difficulty: Normal | ExpectedTime: 72.7808 | ActualTime: 72.6069 | TimingOffset: -0.1739 | TimingError: 0.1739 | ReactionTime: 0.6709 | SpatialAccuracy: N/A | DirectionAccuracy: 1.0000 | CorrectHand: N/A</t>
        </is>
      </c>
    </row>
    <row r="79" ht="17" customHeight="1">
      <c r="A79" s="6">
        <v>78</v>
      </c>
      <c r="B79" s="6" t="inlineStr">
        <is>
          <t>2026-10-02 15:01:00.868</t>
        </is>
      </c>
      <c r="C79" s="6" t="inlineStr">
        <is>
          <t>Interaction</t>
        </is>
      </c>
      <c r="D79" s="6" t="inlineStr">
        <is>
          <t>Shipi</t>
        </is>
      </c>
      <c r="E79" s="6" t="inlineStr">
        <is>
          <t>FoodCut</t>
        </is>
      </c>
      <c r="F79" s="6" t="inlineStr">
        <is>
          <t>Failed</t>
        </is>
      </c>
      <c r="G79" s="6" t="inlineStr">
        <is>
          <t>Normal</t>
        </is>
      </c>
      <c r="K79" s="4">
        <v>0.4984</v>
      </c>
      <c r="L79" s="4">
        <v>0.3464</v>
      </c>
      <c r="M79" s="6">
        <v>83</v>
      </c>
      <c r="N79" s="6" t="inlineStr">
        <is>
          <t>2026-10-02 15:01:00.868 | Minigame: Shipi | Type: FoodCut | Outcome: Failed | Difficulty: Normal | ExpectedTime: 74.3168 | ActualTime: 73.8184 | TimingOffset: -0.4984 | TimingError: 0.4984 | ReactionTime: 0.3464 | SpatialAccuracy: N/A | DirectionAccuracy: 0.0000 | CorrectHand: N/A</t>
        </is>
      </c>
    </row>
    <row r="80" ht="17" customHeight="1">
      <c r="A80" s="0">
        <v>79</v>
      </c>
      <c r="B80" s="0" t="inlineStr">
        <is>
          <t>2026-10-02 15:01:02.442</t>
        </is>
      </c>
      <c r="C80" s="0" t="inlineStr">
        <is>
          <t>Interaction</t>
        </is>
      </c>
      <c r="D80" s="0" t="inlineStr">
        <is>
          <t>Shipi</t>
        </is>
      </c>
      <c r="E80" s="0" t="inlineStr">
        <is>
          <t>FoodCut</t>
        </is>
      </c>
      <c r="F80" s="0" t="inlineStr">
        <is>
          <t>Failed</t>
        </is>
      </c>
      <c r="G80" s="0" t="inlineStr">
        <is>
          <t>Normal</t>
        </is>
      </c>
      <c r="K80" s="4">
        <v>0.4614</v>
      </c>
      <c r="L80" s="4">
        <v>0.3834</v>
      </c>
      <c r="M80" s="0">
        <v>84</v>
      </c>
      <c r="N80" s="0" t="inlineStr">
        <is>
          <t>2026-10-02 15:01:02.442 | Minigame: Shipi | Type: FoodCut | Outcome: Failed | Difficulty: Normal | ExpectedTime: 75.8528 | ActualTime: 75.3914 | TimingOffset: -0.4614 | TimingError: 0.4614 | ReactionTime: 0.3834 | SpatialAccuracy: N/A | DirectionAccuracy: 0.0000 | CorrectHand: N/A</t>
        </is>
      </c>
    </row>
    <row r="81" ht="17" customHeight="1">
      <c r="A81" s="6">
        <v>80</v>
      </c>
      <c r="B81" s="6" t="inlineStr">
        <is>
          <t>2026-10-02 15:01:05.142</t>
        </is>
      </c>
      <c r="C81" s="6" t="inlineStr">
        <is>
          <t>Interaction</t>
        </is>
      </c>
      <c r="D81" s="6" t="inlineStr">
        <is>
          <t>Shipi</t>
        </is>
      </c>
      <c r="E81" s="6" t="inlineStr">
        <is>
          <t>FoodCut</t>
        </is>
      </c>
      <c r="F81" s="6" t="inlineStr">
        <is>
          <t>Missed</t>
        </is>
      </c>
      <c r="G81" s="6" t="inlineStr">
        <is>
          <t>Normal</t>
        </is>
      </c>
      <c r="M81" s="6">
        <v>85</v>
      </c>
      <c r="N81" s="6" t="inlineStr">
        <is>
          <t>2026-10-02 15:01:05.142 | Minigame: Shipi | Type: FoodCut | Outcome: Missed | Difficulty: Normal | ExpectedTime: 77.3888 | ActualTime: N/A | TimingOffset: N/A | TimingError: N/A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15:01:05.143</t>
        </is>
      </c>
      <c r="C82" s="0" t="inlineStr">
        <is>
          <t>PlayerState</t>
        </is>
      </c>
      <c r="H82" s="0" t="inlineStr">
        <is>
          <t>Overloaded</t>
        </is>
      </c>
      <c r="M82" s="0">
        <v>86</v>
      </c>
      <c r="N82" s="0" t="inlineStr">
        <is>
          <t>2026-10-02 15:01:05.143 | PlayerState: Overloaded</t>
        </is>
      </c>
    </row>
    <row r="83" ht="17" customHeight="1">
      <c r="A83" s="6">
        <v>82</v>
      </c>
      <c r="B83" s="6" t="inlineStr">
        <is>
          <t>2026-10-02 15:01:05.144</t>
        </is>
      </c>
      <c r="C83" s="6" t="inlineStr">
        <is>
          <t>DifficultyChanged</t>
        </is>
      </c>
      <c r="D83" s="6" t="inlineStr">
        <is>
          <t>Shipi</t>
        </is>
      </c>
      <c r="I83" s="6" t="inlineStr">
        <is>
          <t>Normal -&gt; Easy</t>
        </is>
      </c>
      <c r="J83" s="6" t="inlineStr">
        <is>
          <t>PlayerState: Overloaded</t>
        </is>
      </c>
      <c r="M83" s="6">
        <v>87</v>
      </c>
      <c r="N83" s="6" t="inlineStr">
        <is>
          <t>2026-10-02 15:01:05.144 | DifficultyChanged: Normal -&gt; Easy | Reason: PlayerState: Overloaded | Minigame: Shipi | RecentSuccessRate: 0.43</t>
        </is>
      </c>
    </row>
    <row r="84" ht="17" customHeight="1">
      <c r="A84" s="0">
        <v>83</v>
      </c>
      <c r="B84" s="0" t="inlineStr">
        <is>
          <t>2026-10-02 15:01:05.156</t>
        </is>
      </c>
      <c r="C84" s="0" t="inlineStr">
        <is>
          <t>PlayerState</t>
        </is>
      </c>
      <c r="H84" s="0" t="inlineStr">
        <is>
          <t>Engaged</t>
        </is>
      </c>
      <c r="M84" s="0">
        <v>88</v>
      </c>
      <c r="N84" s="0" t="inlineStr">
        <is>
          <t>2026-10-02 15:01:05.156 | PlayerState: Engaged</t>
        </is>
      </c>
    </row>
    <row r="85" ht="17" customHeight="1">
      <c r="A85" s="6">
        <v>84</v>
      </c>
      <c r="B85" s="6" t="inlineStr">
        <is>
          <t>2026-10-02 15:01:06.019</t>
        </is>
      </c>
      <c r="C85" s="6" t="inlineStr">
        <is>
          <t>Interaction</t>
        </is>
      </c>
      <c r="D85" s="6" t="inlineStr">
        <is>
          <t>Shipi</t>
        </is>
      </c>
      <c r="E85" s="6" t="inlineStr">
        <is>
          <t>FoodCut</t>
        </is>
      </c>
      <c r="F85" s="6" t="inlineStr">
        <is>
          <t>Failed</t>
        </is>
      </c>
      <c r="G85" s="6" t="inlineStr">
        <is>
          <t>Normal</t>
        </is>
      </c>
      <c r="K85" s="4">
        <v>0.0448</v>
      </c>
      <c r="L85" s="4">
        <v>0.8896</v>
      </c>
      <c r="M85" s="6">
        <v>89</v>
      </c>
      <c r="N85" s="6" t="inlineStr">
        <is>
          <t>2026-10-02 15:01:06.019 | Minigame: Shipi | Type: FoodCut | Outcome: Failed | Difficulty: Normal | ExpectedTime: 78.9248 | ActualTime: 78.9696 | TimingOffset: 0.0448 | TimingError: 0.0448 | ReactionTime: 0.8896 | SpatialAccuracy: N/A | DirectionAccuracy: 0.0000 | CorrectHand: N/A</t>
        </is>
      </c>
    </row>
    <row r="86" ht="17" customHeight="1">
      <c r="A86" s="0">
        <v>85</v>
      </c>
      <c r="B86" s="0" t="inlineStr">
        <is>
          <t>2026-10-02 15:01:07.439</t>
        </is>
      </c>
      <c r="C86" s="0" t="inlineStr">
        <is>
          <t>PlayerState</t>
        </is>
      </c>
      <c r="H86" s="0" t="inlineStr">
        <is>
          <t>Idle</t>
        </is>
      </c>
      <c r="M86" s="0">
        <v>90</v>
      </c>
      <c r="N86" s="0" t="inlineStr">
        <is>
          <t>2026-10-02 15:01:07.439 | PlayerState: Idle</t>
        </is>
      </c>
    </row>
    <row r="87" ht="17" customHeight="1">
      <c r="A87" s="6">
        <v>86</v>
      </c>
      <c r="B87" s="6" t="inlineStr">
        <is>
          <t>2026-10-02 15:01:07.732</t>
        </is>
      </c>
      <c r="C87" s="6" t="inlineStr">
        <is>
          <t>Interaction</t>
        </is>
      </c>
      <c r="D87" s="6" t="inlineStr">
        <is>
          <t>Shipi</t>
        </is>
      </c>
      <c r="E87" s="6" t="inlineStr">
        <is>
          <t>FoodCut</t>
        </is>
      </c>
      <c r="F87" s="6" t="inlineStr">
        <is>
          <t>Failed</t>
        </is>
      </c>
      <c r="G87" s="6" t="inlineStr">
        <is>
          <t>Normal</t>
        </is>
      </c>
      <c r="M87" s="6">
        <v>91</v>
      </c>
      <c r="N87" s="6" t="inlineStr">
        <is>
          <t>2026-10-02 15:01:07.732 | Minigame: Shipi | Type: FoodCut | Outcome: Failed | Difficulty: Normal | ExpectedTime: 81.0560 | ActualTime: N/A | TimingOffset: N/A | TimingError: N/A | ReactionTime: N/A | SpatialAccuracy: N/A | DirectionAccuracy: N/A | CorrectHand: N/A</t>
        </is>
      </c>
    </row>
    <row r="88" ht="17" customHeight="1">
      <c r="A88" s="0">
        <v>87</v>
      </c>
      <c r="B88" s="0" t="inlineStr">
        <is>
          <t>2026-10-02 15:01:09.556</t>
        </is>
      </c>
      <c r="C88" s="0" t="inlineStr">
        <is>
          <t>Interaction</t>
        </is>
      </c>
      <c r="D88" s="0" t="inlineStr">
        <is>
          <t>Shipi</t>
        </is>
      </c>
      <c r="E88" s="0" t="inlineStr">
        <is>
          <t>FoodCut</t>
        </is>
      </c>
      <c r="F88" s="0" t="inlineStr">
        <is>
          <t>Failed</t>
        </is>
      </c>
      <c r="G88" s="0" t="inlineStr">
        <is>
          <t>Easy</t>
        </is>
      </c>
      <c r="K88" s="4">
        <v>0.4702</v>
      </c>
      <c r="L88" s="4">
        <v>0.5858</v>
      </c>
      <c r="M88" s="0">
        <v>92</v>
      </c>
      <c r="N88" s="0" t="inlineStr">
        <is>
          <t>2026-10-02 15:01:09.556 | Minigame: Shipi | Type: FoodCut | Outcome: Failed | Difficulty: Easy | ExpectedTime: 82.9760 | ActualTime: 82.5058 | TimingOffset: -0.4702 | TimingError: 0.4702 | ReactionTime: 0.5858 | SpatialAccuracy: N/A | DirectionAccuracy: 0.0000 | CorrectHand: N/A</t>
        </is>
      </c>
    </row>
    <row r="89" ht="17" customHeight="1">
      <c r="A89" s="6">
        <v>88</v>
      </c>
      <c r="B89" s="6" t="inlineStr">
        <is>
          <t>2026-10-02 15:01:09.556</t>
        </is>
      </c>
      <c r="C89" s="6" t="inlineStr">
        <is>
          <t>PlayerState</t>
        </is>
      </c>
      <c r="H89" s="6" t="inlineStr">
        <is>
          <t>Engaged</t>
        </is>
      </c>
      <c r="M89" s="6">
        <v>93</v>
      </c>
      <c r="N89" s="6" t="inlineStr">
        <is>
          <t>2026-10-02 15:01:09.556 | PlayerState: Engaged</t>
        </is>
      </c>
    </row>
    <row r="90" ht="17" customHeight="1">
      <c r="A90" s="0">
        <v>89</v>
      </c>
      <c r="B90" s="0" t="inlineStr">
        <is>
          <t>2026-10-02 15:01:11.393</t>
        </is>
      </c>
      <c r="C90" s="0" t="inlineStr">
        <is>
          <t>Interaction</t>
        </is>
      </c>
      <c r="D90" s="0" t="inlineStr">
        <is>
          <t>Shipi</t>
        </is>
      </c>
      <c r="E90" s="0" t="inlineStr">
        <is>
          <t>FoodCut</t>
        </is>
      </c>
      <c r="F90" s="0" t="inlineStr">
        <is>
          <t>Failed</t>
        </is>
      </c>
      <c r="G90" s="0" t="inlineStr">
        <is>
          <t>Easy</t>
        </is>
      </c>
      <c r="K90" s="4">
        <v>0.5528</v>
      </c>
      <c r="L90" s="4">
        <v>0.5032</v>
      </c>
      <c r="M90" s="0">
        <v>94</v>
      </c>
      <c r="N90" s="0" t="inlineStr">
        <is>
          <t>2026-10-02 15:01:11.393 | Minigame: Shipi | Type: FoodCut | Outcome: Failed | Difficulty: Easy | ExpectedTime: 84.8960 | ActualTime: 84.3432 | TimingOffset: -0.5528 | TimingError: 0.5528 | ReactionTime: 0.5032 | SpatialAccuracy: N/A | DirectionAccuracy: 0.0000 | CorrectHand: N/A</t>
        </is>
      </c>
    </row>
    <row r="91" ht="17" customHeight="1">
      <c r="A91" s="6">
        <v>90</v>
      </c>
      <c r="B91" s="6" t="inlineStr">
        <is>
          <t>2026-10-02 15:01:13.940</t>
        </is>
      </c>
      <c r="C91" s="6" t="inlineStr">
        <is>
          <t>Interaction</t>
        </is>
      </c>
      <c r="D91" s="6" t="inlineStr">
        <is>
          <t>Shipi</t>
        </is>
      </c>
      <c r="E91" s="6" t="inlineStr">
        <is>
          <t>FoodCut</t>
        </is>
      </c>
      <c r="F91" s="6" t="inlineStr">
        <is>
          <t>Success</t>
        </is>
      </c>
      <c r="G91" s="6" t="inlineStr">
        <is>
          <t>Easy</t>
        </is>
      </c>
      <c r="K91" s="4">
        <v>0.0749</v>
      </c>
      <c r="L91" s="4">
        <v>1.1309</v>
      </c>
      <c r="M91" s="6">
        <v>95</v>
      </c>
      <c r="N91" s="6" t="inlineStr">
        <is>
          <t>2026-10-02 15:01:13.940 | Minigame: Shipi | Type: FoodCut | Outcome: Success | Difficulty: Easy | ExpectedTime: 86.8160 | ActualTime: 86.8909 | TimingOffset: 0.0749 | TimingError: 0.0749 | ReactionTime: 1.1309 | SpatialAccuracy: N/A | DirectionAccuracy: 1.0000 | CorrectHand: N/A</t>
        </is>
      </c>
    </row>
    <row r="92" ht="17" customHeight="1">
      <c r="A92" s="0">
        <v>91</v>
      </c>
      <c r="B92" s="0" t="inlineStr">
        <is>
          <t>2026-10-02 15:01:15.500</t>
        </is>
      </c>
      <c r="C92" s="0" t="inlineStr">
        <is>
          <t>Interaction</t>
        </is>
      </c>
      <c r="D92" s="0" t="inlineStr">
        <is>
          <t>Shipi</t>
        </is>
      </c>
      <c r="E92" s="0" t="inlineStr">
        <is>
          <t>FoodCut</t>
        </is>
      </c>
      <c r="F92" s="0" t="inlineStr">
        <is>
          <t>Failed</t>
        </is>
      </c>
      <c r="G92" s="0" t="inlineStr">
        <is>
          <t>Easy</t>
        </is>
      </c>
      <c r="K92" s="4">
        <v>0.2855</v>
      </c>
      <c r="L92" s="4">
        <v>0.7705</v>
      </c>
      <c r="M92" s="0">
        <v>96</v>
      </c>
      <c r="N92" s="0" t="inlineStr">
        <is>
          <t>2026-10-02 15:01:15.500 | Minigame: Shipi | Type: FoodCut | Outcome: Failed | Difficulty: Easy | ExpectedTime: 88.7360 | ActualTime: 88.4505 | TimingOffset: -0.2855 | TimingError: 0.2855 | ReactionTime: 0.7705 | SpatialAccuracy: N/A | DirectionAccuracy: 0.0000 | CorrectHand: N/A</t>
        </is>
      </c>
    </row>
    <row r="93" ht="17" customHeight="1">
      <c r="A93" s="6">
        <v>92</v>
      </c>
      <c r="B93" s="6" t="inlineStr">
        <is>
          <t>2026-10-02 15:01:17.130</t>
        </is>
      </c>
      <c r="C93" s="6" t="inlineStr">
        <is>
          <t>Interaction</t>
        </is>
      </c>
      <c r="D93" s="6" t="inlineStr">
        <is>
          <t>Shipi</t>
        </is>
      </c>
      <c r="E93" s="6" t="inlineStr">
        <is>
          <t>FoodCut</t>
        </is>
      </c>
      <c r="F93" s="6" t="inlineStr">
        <is>
          <t>Success</t>
        </is>
      </c>
      <c r="G93" s="6" t="inlineStr">
        <is>
          <t>Easy</t>
        </is>
      </c>
      <c r="K93" s="4">
        <v>0.576</v>
      </c>
      <c r="L93" s="4">
        <v>0.48</v>
      </c>
      <c r="M93" s="6">
        <v>97</v>
      </c>
      <c r="N93" s="6" t="inlineStr">
        <is>
          <t>2026-10-02 15:01:17.130 | Minigame: Shipi | Type: FoodCut | Outcome: Success | Difficulty: Easy | ExpectedTime: 90.6560 | ActualTime: 90.0800 | TimingOffset: -0.5760 | TimingError: 0.5760 | ReactionTime: 0.4800 | SpatialAccuracy: N/A | DirectionAccuracy: 1.0000 | CorrectHand: N/A</t>
        </is>
      </c>
    </row>
    <row r="94" ht="17" customHeight="1">
      <c r="A94" s="0">
        <v>93</v>
      </c>
      <c r="B94" s="0" t="inlineStr">
        <is>
          <t>2026-10-02 15:01:17.131</t>
        </is>
      </c>
      <c r="C94" s="0" t="inlineStr">
        <is>
          <t>PlayerState</t>
        </is>
      </c>
      <c r="H94" s="0" t="inlineStr">
        <is>
          <t>Overloaded</t>
        </is>
      </c>
      <c r="M94" s="0">
        <v>98</v>
      </c>
      <c r="N94" s="0" t="inlineStr">
        <is>
          <t>2026-10-02 15:01:17.131 | PlayerState: Overloaded</t>
        </is>
      </c>
    </row>
    <row r="95" ht="17" customHeight="1">
      <c r="A95" s="6">
        <v>94</v>
      </c>
      <c r="B95" s="6" t="inlineStr">
        <is>
          <t>2026-10-02 15:01:18.591</t>
        </is>
      </c>
      <c r="C95" s="6" t="inlineStr">
        <is>
          <t>Interaction</t>
        </is>
      </c>
      <c r="D95" s="6" t="inlineStr">
        <is>
          <t>Shipi</t>
        </is>
      </c>
      <c r="E95" s="6" t="inlineStr">
        <is>
          <t>FoodCut</t>
        </is>
      </c>
      <c r="F95" s="6" t="inlineStr">
        <is>
          <t>Failed</t>
        </is>
      </c>
      <c r="G95" s="6" t="inlineStr">
        <is>
          <t>Easy</t>
        </is>
      </c>
      <c r="M95" s="6">
        <v>99</v>
      </c>
      <c r="N95" s="6" t="inlineStr">
        <is>
          <t>2026-10-02 15:01:18.591 | Minigame: Shipi | Type: FoodCut | Outcome: Failed | Difficulty: Easy | ExpectedTime: 92.5760 | ActualTime: N/A | TimingOffset: N/A | TimingError: N/A | ReactionTime: N/A | SpatialAccuracy: N/A | DirectionAccuracy: N/A | CorrectHand: N/A</t>
        </is>
      </c>
    </row>
    <row r="96" ht="17" customHeight="1">
      <c r="A96" s="0">
        <v>95</v>
      </c>
      <c r="B96" s="0" t="inlineStr">
        <is>
          <t>2026-10-02 15:01:23.589</t>
        </is>
      </c>
      <c r="C96" s="0" t="inlineStr">
        <is>
          <t>PlayerState</t>
        </is>
      </c>
      <c r="H96" s="0" t="inlineStr">
        <is>
          <t>Idle</t>
        </is>
      </c>
      <c r="M96" s="0">
        <v>100</v>
      </c>
      <c r="N96" s="0" t="inlineStr">
        <is>
          <t>2026-10-02 15:01:23.589 | PlayerState: Idle</t>
        </is>
      </c>
    </row>
    <row r="97" ht="17" customHeight="1">
      <c r="A97" s="6">
        <v>96</v>
      </c>
      <c r="B97" s="6" t="inlineStr">
        <is>
          <t>2026-10-02 15:01:24.175</t>
        </is>
      </c>
      <c r="C97" s="6" t="inlineStr">
        <is>
          <t>Interaction</t>
        </is>
      </c>
      <c r="D97" s="6" t="inlineStr">
        <is>
          <t>JuanAndres</t>
        </is>
      </c>
      <c r="E97" s="6" t="inlineStr">
        <is>
          <t>GroomStroke</t>
        </is>
      </c>
      <c r="F97" s="6" t="inlineStr">
        <is>
          <t>Success</t>
        </is>
      </c>
      <c r="G97" s="6" t="inlineStr">
        <is>
          <t>Easy</t>
        </is>
      </c>
      <c r="K97" s="4">
        <v>0.464</v>
      </c>
      <c r="M97" s="6">
        <v>101</v>
      </c>
      <c r="N97" s="6" t="inlineStr">
        <is>
          <t>2026-10-02 15:01:24.175 | Minigame: JuanAndres | Type: GroomStroke | Outcome: Success | Difficulty: Easy | ExpectedTime: 94.9760 | ActualTime: 95.4400 | TimingOffset: 0.4640 | TimingError: 0.4640 | ReactionTime: N/A | SpatialAccuracy: N/A | DirectionAccuracy: 1.0000 | CorrectHand: True</t>
        </is>
      </c>
    </row>
    <row r="98" ht="17" customHeight="1">
      <c r="A98" s="0">
        <v>97</v>
      </c>
      <c r="B98" s="0" t="inlineStr">
        <is>
          <t>2026-10-02 15:01:24.175</t>
        </is>
      </c>
      <c r="C98" s="0" t="inlineStr">
        <is>
          <t>PlayerState</t>
        </is>
      </c>
      <c r="H98" s="0" t="inlineStr">
        <is>
          <t>Engaged</t>
        </is>
      </c>
      <c r="M98" s="0">
        <v>102</v>
      </c>
      <c r="N98" s="0" t="inlineStr">
        <is>
          <t>2026-10-02 15:01:24.175 | PlayerState: Engaged</t>
        </is>
      </c>
    </row>
    <row r="99" ht="17" customHeight="1">
      <c r="A99" s="6">
        <v>98</v>
      </c>
      <c r="B99" s="6" t="inlineStr">
        <is>
          <t>2026-10-02 15:01:25.176</t>
        </is>
      </c>
      <c r="C99" s="6" t="inlineStr">
        <is>
          <t>Interaction</t>
        </is>
      </c>
      <c r="D99" s="6" t="inlineStr">
        <is>
          <t>JuanAndres</t>
        </is>
      </c>
      <c r="E99" s="6" t="inlineStr">
        <is>
          <t>GroomStroke</t>
        </is>
      </c>
      <c r="F99" s="6" t="inlineStr">
        <is>
          <t>Failed</t>
        </is>
      </c>
      <c r="G99" s="6" t="inlineStr">
        <is>
          <t>Easy</t>
        </is>
      </c>
      <c r="K99" s="4">
        <v>0.1982</v>
      </c>
      <c r="M99" s="6">
        <v>103</v>
      </c>
      <c r="N99" s="6" t="inlineStr">
        <is>
          <t>2026-10-02 15:01:25.176 | Minigame: JuanAndres | Type: GroomStroke | Outcome: Failed | Difficulty: Easy | ExpectedTime: 97.6640 | ActualTime: 97.8622 | TimingOffset: 0.1982 | TimingError: 0.1982 | ReactionTime: N/A | SpatialAccuracy: N/A | DirectionAccuracy: 0.0000 | CorrectHand: True</t>
        </is>
      </c>
    </row>
    <row r="100" ht="17" customHeight="1">
      <c r="A100" s="0">
        <v>99</v>
      </c>
      <c r="B100" s="0" t="inlineStr">
        <is>
          <t>2026-10-02 15:01:25.831</t>
        </is>
      </c>
      <c r="C100" s="0" t="inlineStr">
        <is>
          <t>Interaction</t>
        </is>
      </c>
      <c r="D100" s="0" t="inlineStr">
        <is>
          <t>JuanAndres</t>
        </is>
      </c>
      <c r="E100" s="0" t="inlineStr">
        <is>
          <t>GroomStroke</t>
        </is>
      </c>
      <c r="F100" s="0" t="inlineStr">
        <is>
          <t>Failed</t>
        </is>
      </c>
      <c r="G100" s="0" t="inlineStr">
        <is>
          <t>Easy</t>
        </is>
      </c>
      <c r="K100" s="4">
        <v>2.5001</v>
      </c>
      <c r="M100" s="0">
        <v>104</v>
      </c>
      <c r="N100" s="0" t="inlineStr">
        <is>
          <t>2026-10-02 15:01:25.831 | Minigame: JuanAndres | Type: GroomStroke | Outcome: Failed | Difficulty: Easy | ExpectedTime: 96.1280 | ActualTime: 98.6281 | TimingOffset: 2.5001 | TimingError: 2.5001 | ReactionTime: N/A | SpatialAccuracy: N/A | DirectionAccuracy: 0.0000 | CorrectHand: True</t>
        </is>
      </c>
    </row>
    <row r="101" ht="17" customHeight="1">
      <c r="A101" s="6">
        <v>100</v>
      </c>
      <c r="B101" s="6" t="inlineStr">
        <is>
          <t>2026-10-02 15:01:30.829</t>
        </is>
      </c>
      <c r="C101" s="6" t="inlineStr">
        <is>
          <t>PlayerState</t>
        </is>
      </c>
      <c r="H101" s="6" t="inlineStr">
        <is>
          <t>Idle</t>
        </is>
      </c>
      <c r="M101" s="6">
        <v>105</v>
      </c>
      <c r="N101" s="6" t="inlineStr">
        <is>
          <t>2026-10-02 15:01:30.829 | PlayerState: Idle</t>
        </is>
      </c>
    </row>
    <row r="102" ht="17" customHeight="1">
      <c r="A102" s="0">
        <v>101</v>
      </c>
      <c r="B102" s="0" t="inlineStr">
        <is>
          <t>2026-10-02 15:01:33.098</t>
        </is>
      </c>
      <c r="C102" s="0" t="inlineStr">
        <is>
          <t>Interaction</t>
        </is>
      </c>
      <c r="D102" s="0" t="inlineStr">
        <is>
          <t>JuanAndres</t>
        </is>
      </c>
      <c r="E102" s="0" t="inlineStr">
        <is>
          <t>GroomStroke</t>
        </is>
      </c>
      <c r="F102" s="0" t="inlineStr">
        <is>
          <t>Failed</t>
        </is>
      </c>
      <c r="G102" s="0" t="inlineStr">
        <is>
          <t>Easy</t>
        </is>
      </c>
      <c r="K102" s="4">
        <v>3.044</v>
      </c>
      <c r="M102" s="0">
        <v>106</v>
      </c>
      <c r="N102" s="0" t="inlineStr">
        <is>
          <t>2026-10-02 15:01:33.098 | Minigame: JuanAndres | Type: GroomStroke | Outcome: Failed | Difficulty: Easy | ExpectedTime: 102.6560 | ActualTime: 105.7000 | TimingOffset: 3.0440 | TimingError: 3.0440 | ReactionTime: N/A | SpatialAccuracy: N/A | DirectionAccuracy: 0.0000 | CorrectHand: True</t>
        </is>
      </c>
    </row>
    <row r="103" ht="17" customHeight="1">
      <c r="A103" s="6">
        <v>102</v>
      </c>
      <c r="B103" s="6" t="inlineStr">
        <is>
          <t>2026-10-02 15:01:33.099</t>
        </is>
      </c>
      <c r="C103" s="6" t="inlineStr">
        <is>
          <t>PlayerState</t>
        </is>
      </c>
      <c r="H103" s="6" t="inlineStr">
        <is>
          <t>Engaged</t>
        </is>
      </c>
      <c r="M103" s="6">
        <v>107</v>
      </c>
      <c r="N103" s="6" t="inlineStr">
        <is>
          <t>2026-10-02 15:01:33.099 | PlayerState: Engaged</t>
        </is>
      </c>
    </row>
    <row r="104" ht="17" customHeight="1">
      <c r="A104" s="0">
        <v>103</v>
      </c>
      <c r="B104" s="0" t="inlineStr">
        <is>
          <t>2026-10-02 15:01:34.170</t>
        </is>
      </c>
      <c r="C104" s="0" t="inlineStr">
        <is>
          <t>Interaction</t>
        </is>
      </c>
      <c r="D104" s="0" t="inlineStr">
        <is>
          <t>JuanAndres</t>
        </is>
      </c>
      <c r="E104" s="0" t="inlineStr">
        <is>
          <t>GroomStroke</t>
        </is>
      </c>
      <c r="F104" s="0" t="inlineStr">
        <is>
          <t>Missed</t>
        </is>
      </c>
      <c r="G104" s="0" t="inlineStr">
        <is>
          <t>Easy</t>
        </is>
      </c>
      <c r="M104" s="0">
        <v>108</v>
      </c>
      <c r="N104" s="0" t="inlineStr">
        <is>
          <t>2026-10-02 15:01:34.170 | Minigame: JuanAndres | Type: GroomStroke | Outcome: Missed | Difficulty: Easy | ExpectedTime: 101.1200 | ActualTime: N/A | TimingOffset: N/A | TimingError: N/A | ReactionTime: N/A | SpatialAccuracy: N/A | DirectionAccuracy: N/A | CorrectHand: N/A</t>
        </is>
      </c>
    </row>
    <row r="105" ht="17" customHeight="1">
      <c r="A105" s="6">
        <v>104</v>
      </c>
      <c r="B105" s="6" t="inlineStr">
        <is>
          <t>2026-10-02 15:01:34.560</t>
        </is>
      </c>
      <c r="C105" s="6" t="inlineStr">
        <is>
          <t>Interaction</t>
        </is>
      </c>
      <c r="D105" s="6" t="inlineStr">
        <is>
          <t>JuanAndres</t>
        </is>
      </c>
      <c r="E105" s="6" t="inlineStr">
        <is>
          <t>GroomStroke</t>
        </is>
      </c>
      <c r="F105" s="6" t="inlineStr">
        <is>
          <t>Failed</t>
        </is>
      </c>
      <c r="G105" s="6" t="inlineStr">
        <is>
          <t>Easy</t>
        </is>
      </c>
      <c r="K105" s="4">
        <v>0.4217</v>
      </c>
      <c r="M105" s="6">
        <v>109</v>
      </c>
      <c r="N105" s="6" t="inlineStr">
        <is>
          <t>2026-10-02 15:01:34.560 | Minigame: JuanAndres | Type: GroomStroke | Outcome: Failed | Difficulty: Easy | ExpectedTime: 106.8800 | ActualTime: 107.3017 | TimingOffset: 0.4217 | TimingError: 0.4217 | ReactionTime: N/A | SpatialAccuracy: N/A | DirectionAccuracy: 1.0000 | CorrectHand: False</t>
        </is>
      </c>
    </row>
    <row r="106" ht="17" customHeight="1">
      <c r="A106" s="0">
        <v>105</v>
      </c>
      <c r="B106" s="0" t="inlineStr">
        <is>
          <t>2026-10-02 15:01:35.689</t>
        </is>
      </c>
      <c r="C106" s="0" t="inlineStr">
        <is>
          <t>Interaction</t>
        </is>
      </c>
      <c r="D106" s="0" t="inlineStr">
        <is>
          <t>JuanAndres</t>
        </is>
      </c>
      <c r="E106" s="0" t="inlineStr">
        <is>
          <t>GroomStroke</t>
        </is>
      </c>
      <c r="F106" s="0" t="inlineStr">
        <is>
          <t>Failed</t>
        </is>
      </c>
      <c r="G106" s="0" t="inlineStr">
        <is>
          <t>Easy</t>
        </is>
      </c>
      <c r="K106" s="4">
        <v>0.1316</v>
      </c>
      <c r="M106" s="0">
        <v>110</v>
      </c>
      <c r="N106" s="0" t="inlineStr">
        <is>
          <t>2026-10-02 15:01:35.689 | Minigame: JuanAndres | Type: GroomStroke | Outcome: Failed | Difficulty: Easy | ExpectedTime: 108.0320 | ActualTime: 107.9004 | TimingOffset: -0.1316 | TimingError: 0.1316 | ReactionTime: N/A | SpatialAccuracy: N/A | DirectionAccuracy: 0.0000 | CorrectHand: True</t>
        </is>
      </c>
    </row>
    <row r="107" ht="17" customHeight="1">
      <c r="A107" s="6">
        <v>106</v>
      </c>
      <c r="B107" s="6" t="inlineStr">
        <is>
          <t>2026-10-02 15:01:36.440</t>
        </is>
      </c>
      <c r="C107" s="6" t="inlineStr">
        <is>
          <t>Interaction</t>
        </is>
      </c>
      <c r="D107" s="6" t="inlineStr">
        <is>
          <t>JuanAndres</t>
        </is>
      </c>
      <c r="E107" s="6" t="inlineStr">
        <is>
          <t>GroomStroke</t>
        </is>
      </c>
      <c r="F107" s="6" t="inlineStr">
        <is>
          <t>Failed</t>
        </is>
      </c>
      <c r="G107" s="6" t="inlineStr">
        <is>
          <t>Easy</t>
        </is>
      </c>
      <c r="K107" s="4">
        <v>0.4621</v>
      </c>
      <c r="M107" s="6">
        <v>111</v>
      </c>
      <c r="N107" s="6" t="inlineStr">
        <is>
          <t>2026-10-02 15:01:36.440 | Minigame: JuanAndres | Type: GroomStroke | Outcome: Failed | Difficulty: Easy | ExpectedTime: 109.1840 | ActualTime: 108.7219 | TimingOffset: -0.4621 | TimingError: 0.4621 | ReactionTime: N/A | SpatialAccuracy: N/A | DirectionAccuracy: 0.0000 | CorrectHand: False</t>
        </is>
      </c>
    </row>
    <row r="108" ht="17" customHeight="1">
      <c r="A108" s="0">
        <v>107</v>
      </c>
      <c r="B108" s="0" t="inlineStr">
        <is>
          <t>2026-10-02 15:01:36.440</t>
        </is>
      </c>
      <c r="C108" s="0" t="inlineStr">
        <is>
          <t>PlayerState</t>
        </is>
      </c>
      <c r="H108" s="0" t="inlineStr">
        <is>
          <t>Overloaded</t>
        </is>
      </c>
      <c r="M108" s="0">
        <v>112</v>
      </c>
      <c r="N108" s="0" t="inlineStr">
        <is>
          <t>2026-10-02 15:01:36.440 | PlayerState: Overloaded</t>
        </is>
      </c>
    </row>
    <row r="109" ht="17" customHeight="1">
      <c r="A109" s="6">
        <v>108</v>
      </c>
      <c r="B109" s="6" t="inlineStr">
        <is>
          <t>2026-10-02 15:01:38.988</t>
        </is>
      </c>
      <c r="C109" s="6" t="inlineStr">
        <is>
          <t>Interaction</t>
        </is>
      </c>
      <c r="D109" s="6" t="inlineStr">
        <is>
          <t>JuanAndres</t>
        </is>
      </c>
      <c r="E109" s="6" t="inlineStr">
        <is>
          <t>GroomStroke</t>
        </is>
      </c>
      <c r="F109" s="6" t="inlineStr">
        <is>
          <t>Success</t>
        </is>
      </c>
      <c r="G109" s="6" t="inlineStr">
        <is>
          <t>Easy</t>
        </is>
      </c>
      <c r="K109" s="4">
        <v>0.6808</v>
      </c>
      <c r="M109" s="6">
        <v>113</v>
      </c>
      <c r="N109" s="6" t="inlineStr">
        <is>
          <t>2026-10-02 15:01:38.988 | Minigame: JuanAndres | Type: GroomStroke | Outcome: Success | Difficulty: Easy | ExpectedTime: 111.1040 | ActualTime: 111.7848 | TimingOffset: 0.6808 | TimingError: 0.6808 | ReactionTime: N/A | SpatialAccuracy: N/A | DirectionAccuracy: 1.0000 | CorrectHand: True</t>
        </is>
      </c>
    </row>
    <row r="110" ht="17" customHeight="1">
      <c r="A110" s="0">
        <v>109</v>
      </c>
      <c r="B110" s="0" t="inlineStr">
        <is>
          <t>2026-10-02 15:01:40.518</t>
        </is>
      </c>
      <c r="C110" s="0" t="inlineStr">
        <is>
          <t>Interaction</t>
        </is>
      </c>
      <c r="D110" s="0" t="inlineStr">
        <is>
          <t>JuanAndres</t>
        </is>
      </c>
      <c r="E110" s="0" t="inlineStr">
        <is>
          <t>GroomStroke</t>
        </is>
      </c>
      <c r="F110" s="0" t="inlineStr">
        <is>
          <t>Failed</t>
        </is>
      </c>
      <c r="G110" s="0" t="inlineStr">
        <is>
          <t>Easy</t>
        </is>
      </c>
      <c r="K110" s="4">
        <v>0.3197</v>
      </c>
      <c r="M110" s="0">
        <v>114</v>
      </c>
      <c r="N110" s="0" t="inlineStr">
        <is>
          <t>2026-10-02 15:01:40.518 | Minigame: JuanAndres | Type: GroomStroke | Outcome: Failed | Difficulty: Easy | ExpectedTime: 113.0240 | ActualTime: 113.3437 | TimingOffset: 0.3197 | TimingError: 0.3197 | ReactionTime: N/A | SpatialAccuracy: N/A | DirectionAccuracy: 0.0000 | CorrectHand: True</t>
        </is>
      </c>
    </row>
    <row r="111" ht="17" customHeight="1">
      <c r="A111" s="6">
        <v>110</v>
      </c>
      <c r="B111" s="6" t="inlineStr">
        <is>
          <t>2026-10-02 15:01:41.856</t>
        </is>
      </c>
      <c r="C111" s="6" t="inlineStr">
        <is>
          <t>Interaction</t>
        </is>
      </c>
      <c r="D111" s="6" t="inlineStr">
        <is>
          <t>JuanAndres</t>
        </is>
      </c>
      <c r="E111" s="6" t="inlineStr">
        <is>
          <t>GroomStroke</t>
        </is>
      </c>
      <c r="F111" s="6" t="inlineStr">
        <is>
          <t>Failed</t>
        </is>
      </c>
      <c r="G111" s="6" t="inlineStr">
        <is>
          <t>Easy</t>
        </is>
      </c>
      <c r="K111" s="4">
        <v>0.9299</v>
      </c>
      <c r="M111" s="6">
        <v>115</v>
      </c>
      <c r="N111" s="6" t="inlineStr">
        <is>
          <t>2026-10-02 15:01:41.856 | Minigame: JuanAndres | Type: GroomStroke | Outcome: Failed | Difficulty: Easy | ExpectedTime: 113.7920 | ActualTime: 114.7219 | TimingOffset: 0.9299 | TimingError: 0.9299 | ReactionTime: N/A | SpatialAccuracy: N/A | DirectionAccuracy: 0.0000 | CorrectHand: True</t>
        </is>
      </c>
    </row>
    <row r="112" ht="17" customHeight="1">
      <c r="A112" s="0">
        <v>111</v>
      </c>
      <c r="B112" s="0" t="inlineStr">
        <is>
          <t>2026-10-02 15:01:43.888</t>
        </is>
      </c>
      <c r="C112" s="0" t="inlineStr">
        <is>
          <t>Interaction</t>
        </is>
      </c>
      <c r="D112" s="0" t="inlineStr">
        <is>
          <t>JuanAndres</t>
        </is>
      </c>
      <c r="E112" s="0" t="inlineStr">
        <is>
          <t>GroomStroke</t>
        </is>
      </c>
      <c r="F112" s="0" t="inlineStr">
        <is>
          <t>Success</t>
        </is>
      </c>
      <c r="G112" s="0" t="inlineStr">
        <is>
          <t>Easy</t>
        </is>
      </c>
      <c r="K112" s="4">
        <v>0.5051</v>
      </c>
      <c r="M112" s="0">
        <v>116</v>
      </c>
      <c r="N112" s="0" t="inlineStr">
        <is>
          <t>2026-10-02 15:01:43.888 | Minigame: JuanAndres | Type: GroomStroke | Outcome: Success | Difficulty: Easy | ExpectedTime: 116.0960 | ActualTime: 116.6011 | TimingOffset: 0.5051 | TimingError: 0.5051 | ReactionTime: N/A | SpatialAccuracy: N/A | DirectionAccuracy: 1.0000 | CorrectHand: True</t>
        </is>
      </c>
    </row>
    <row r="113" ht="17" customHeight="1">
      <c r="A113" s="6">
        <v>112</v>
      </c>
      <c r="B113" s="6" t="inlineStr">
        <is>
          <t>2026-10-02 15:01:45.058</t>
        </is>
      </c>
      <c r="C113" s="6" t="inlineStr">
        <is>
          <t>Interaction</t>
        </is>
      </c>
      <c r="D113" s="6" t="inlineStr">
        <is>
          <t>JuanAndres</t>
        </is>
      </c>
      <c r="E113" s="6" t="inlineStr">
        <is>
          <t>GroomStroke</t>
        </is>
      </c>
      <c r="F113" s="6" t="inlineStr">
        <is>
          <t>Success</t>
        </is>
      </c>
      <c r="G113" s="6" t="inlineStr">
        <is>
          <t>Easy</t>
        </is>
      </c>
      <c r="K113" s="4">
        <v>0.6619</v>
      </c>
      <c r="M113" s="6">
        <v>117</v>
      </c>
      <c r="N113" s="6" t="inlineStr">
        <is>
          <t>2026-10-02 15:01:45.058 | Minigame: JuanAndres | Type: GroomStroke | Outcome: Success | Difficulty: Easy | ExpectedTime: 117.2480 | ActualTime: 117.9099 | TimingOffset: 0.6619 | TimingError: 0.6619 | ReactionTime: N/A | SpatialAccuracy: N/A | DirectionAccuracy: 1.0000 | CorrectHand: True</t>
        </is>
      </c>
    </row>
    <row r="114" ht="17" customHeight="1">
      <c r="A114" s="0">
        <v>113</v>
      </c>
      <c r="B114" s="0" t="inlineStr">
        <is>
          <t>2026-10-02 15:01:46.854</t>
        </is>
      </c>
      <c r="C114" s="0" t="inlineStr">
        <is>
          <t>Interaction</t>
        </is>
      </c>
      <c r="D114" s="0" t="inlineStr">
        <is>
          <t>JuanAndres</t>
        </is>
      </c>
      <c r="E114" s="0" t="inlineStr">
        <is>
          <t>GroomStroke</t>
        </is>
      </c>
      <c r="F114" s="0" t="inlineStr">
        <is>
          <t>Success</t>
        </is>
      </c>
      <c r="G114" s="0" t="inlineStr">
        <is>
          <t>Easy</t>
        </is>
      </c>
      <c r="K114" s="4">
        <v>1.1814</v>
      </c>
      <c r="M114" s="0">
        <v>118</v>
      </c>
      <c r="N114" s="0" t="inlineStr">
        <is>
          <t>2026-10-02 15:01:46.854 | Minigame: JuanAndres | Type: GroomStroke | Outcome: Success | Difficulty: Easy | ExpectedTime: 118.4000 | ActualTime: 119.5814 | TimingOffset: 1.1814 | TimingError: 1.1814 | ReactionTime: N/A | SpatialAccuracy: N/A | DirectionAccuracy: 1.0000 | CorrectHand: True</t>
        </is>
      </c>
    </row>
    <row r="115" ht="17" customHeight="1">
      <c r="A115" s="6">
        <v>114</v>
      </c>
      <c r="B115" s="6" t="inlineStr">
        <is>
          <t>2026-10-02 15:01:50.098</t>
        </is>
      </c>
      <c r="C115" s="6" t="inlineStr">
        <is>
          <t>Interaction</t>
        </is>
      </c>
      <c r="D115" s="6" t="inlineStr">
        <is>
          <t>JuanAndres</t>
        </is>
      </c>
      <c r="E115" s="6" t="inlineStr">
        <is>
          <t>GroomStroke</t>
        </is>
      </c>
      <c r="F115" s="6" t="inlineStr">
        <is>
          <t>Failed</t>
        </is>
      </c>
      <c r="G115" s="6" t="inlineStr">
        <is>
          <t>Easy</t>
        </is>
      </c>
      <c r="K115" s="4">
        <v>2.8749</v>
      </c>
      <c r="M115" s="6">
        <v>119</v>
      </c>
      <c r="N115" s="6" t="inlineStr">
        <is>
          <t>2026-10-02 15:01:50.098 | Minigame: JuanAndres | Type: GroomStroke | Outcome: Failed | Difficulty: Easy | ExpectedTime: 119.9360 | ActualTime: 122.8109 | TimingOffset: 2.8749 | TimingError: 2.8749 | ReactionTime: N/A | SpatialAccuracy: N/A | DirectionAccuracy: 0.0000 | CorrectHand: True</t>
        </is>
      </c>
    </row>
    <row r="116" ht="17" customHeight="1">
      <c r="A116" s="0">
        <v>115</v>
      </c>
      <c r="B116" s="0" t="inlineStr">
        <is>
          <t>2026-10-02 15:01:54.200</t>
        </is>
      </c>
      <c r="C116" s="0" t="inlineStr">
        <is>
          <t>Interaction</t>
        </is>
      </c>
      <c r="D116" s="0" t="inlineStr">
        <is>
          <t>Danniel</t>
        </is>
      </c>
      <c r="E116" s="0" t="inlineStr">
        <is>
          <t>GunShoot</t>
        </is>
      </c>
      <c r="F116" s="0" t="inlineStr">
        <is>
          <t>Success</t>
        </is>
      </c>
      <c r="G116" s="0" t="inlineStr">
        <is>
          <t>Easy</t>
        </is>
      </c>
      <c r="K116" s="4">
        <v>0.1371</v>
      </c>
      <c r="M116" s="0">
        <v>120</v>
      </c>
      <c r="N116" s="0" t="inlineStr">
        <is>
          <t>2026-10-02 15:01:54.200 | Minigame: Danniel | Type: GunShoot | Outcome: Success | Difficulty: Easy | ExpectedTime: 127.2320 | ActualTime: 127.0949 | TimingOffset: -0.1371 | TimingError: 0.1371 | ReactionTime: N/A | SpatialAccuracy: N/A | DirectionAccuracy: N/A | CorrectHand: N/A</t>
        </is>
      </c>
    </row>
    <row r="117" ht="17" customHeight="1">
      <c r="A117" s="6">
        <v>116</v>
      </c>
      <c r="B117" s="6" t="inlineStr">
        <is>
          <t>2026-10-02 15:01:54.202</t>
        </is>
      </c>
      <c r="C117" s="6" t="inlineStr">
        <is>
          <t>PlayerState</t>
        </is>
      </c>
      <c r="H117" s="6" t="inlineStr">
        <is>
          <t>Engaged</t>
        </is>
      </c>
      <c r="M117" s="6">
        <v>121</v>
      </c>
      <c r="N117" s="6" t="inlineStr">
        <is>
          <t>2026-10-02 15:01:54.202 | PlayerState: Engaged</t>
        </is>
      </c>
    </row>
    <row r="118" ht="17" customHeight="1">
      <c r="A118" s="0">
        <v>117</v>
      </c>
      <c r="B118" s="0" t="inlineStr">
        <is>
          <t>2026-10-02 15:01:57.849</t>
        </is>
      </c>
      <c r="C118" s="0" t="inlineStr">
        <is>
          <t>Interaction</t>
        </is>
      </c>
      <c r="D118" s="0" t="inlineStr">
        <is>
          <t>Danniel</t>
        </is>
      </c>
      <c r="E118" s="0" t="inlineStr">
        <is>
          <t>PlayerHit</t>
        </is>
      </c>
      <c r="F118" s="0" t="inlineStr">
        <is>
          <t>Failed</t>
        </is>
      </c>
      <c r="G118" s="0" t="inlineStr">
        <is>
          <t>Easy</t>
        </is>
      </c>
      <c r="M118" s="0">
        <v>122</v>
      </c>
      <c r="N118" s="0" t="inlineStr">
        <is>
          <t>2026-10-02 15:01:57.849 | Minigame: Danniel | Type: PlayerHit | Outcome: Failed | Difficulty: Easy | ExpectedTime: 130.7991 | ActualTime: N/A | TimingOffset: N/A | TimingError: N/A | ReactionTime: N/A | SpatialAccuracy: N/A | DirectionAccuracy: N/A | CorrectHand: N/A</t>
        </is>
      </c>
    </row>
    <row r="119" ht="17" customHeight="1">
      <c r="A119" s="6">
        <v>118</v>
      </c>
      <c r="B119" s="6" t="inlineStr">
        <is>
          <t>2026-10-02 15:01:58.810</t>
        </is>
      </c>
      <c r="C119" s="6" t="inlineStr">
        <is>
          <t>Interaction</t>
        </is>
      </c>
      <c r="D119" s="6" t="inlineStr">
        <is>
          <t>Danniel</t>
        </is>
      </c>
      <c r="E119" s="6" t="inlineStr">
        <is>
          <t>GunShoot</t>
        </is>
      </c>
      <c r="F119" s="6" t="inlineStr">
        <is>
          <t>Success</t>
        </is>
      </c>
      <c r="G119" s="6" t="inlineStr">
        <is>
          <t>Easy</t>
        </is>
      </c>
      <c r="K119" s="4">
        <v>0.1028</v>
      </c>
      <c r="M119" s="6">
        <v>123</v>
      </c>
      <c r="N119" s="6" t="inlineStr">
        <is>
          <t>2026-10-02 15:01:58.810 | Minigame: Danniel | Type: GunShoot | Outcome: Success | Difficulty: Easy | ExpectedTime: 131.0720 | ActualTime: 131.1748 | TimingOffset: 0.1028 | TimingError: 0.1028 | ReactionTime: N/A | SpatialAccuracy: N/A | DirectionAccuracy: N/A | CorrectHand: N/A</t>
        </is>
      </c>
    </row>
    <row r="120" ht="17" customHeight="1">
      <c r="A120" s="0">
        <v>119</v>
      </c>
      <c r="B120" s="0" t="inlineStr">
        <is>
          <t>2026-10-02 15:02:00.215</t>
        </is>
      </c>
      <c r="C120" s="0" t="inlineStr">
        <is>
          <t>Interaction</t>
        </is>
      </c>
      <c r="D120" s="0" t="inlineStr">
        <is>
          <t>Danniel</t>
        </is>
      </c>
      <c r="E120" s="0" t="inlineStr">
        <is>
          <t>GunShoot</t>
        </is>
      </c>
      <c r="F120" s="0" t="inlineStr">
        <is>
          <t>Success</t>
        </is>
      </c>
      <c r="G120" s="0" t="inlineStr">
        <is>
          <t>Easy</t>
        </is>
      </c>
      <c r="K120" s="4">
        <v>0.1812</v>
      </c>
      <c r="M120" s="0">
        <v>124</v>
      </c>
      <c r="N120" s="0" t="inlineStr">
        <is>
          <t>2026-10-02 15:02:00.215 | Minigame: Danniel | Type: GunShoot | Outcome: Success | Difficulty: Easy | ExpectedTime: 132.6080 | ActualTime: 132.7892 | TimingOffset: 0.1812 | TimingError: 0.1812 | ReactionTime: N/A | SpatialAccuracy: N/A | DirectionAccuracy: N/A | CorrectHand: N/A</t>
        </is>
      </c>
    </row>
    <row r="121" ht="17" customHeight="1">
      <c r="A121" s="6">
        <v>120</v>
      </c>
      <c r="B121" s="6" t="inlineStr">
        <is>
          <t>2026-10-02 15:02:04.837</t>
        </is>
      </c>
      <c r="C121" s="6" t="inlineStr">
        <is>
          <t>Interaction</t>
        </is>
      </c>
      <c r="D121" s="6" t="inlineStr">
        <is>
          <t>Danniel</t>
        </is>
      </c>
      <c r="E121" s="6" t="inlineStr">
        <is>
          <t>GunShoot</t>
        </is>
      </c>
      <c r="F121" s="6" t="inlineStr">
        <is>
          <t>Success</t>
        </is>
      </c>
      <c r="G121" s="6" t="inlineStr">
        <is>
          <t>Easy</t>
        </is>
      </c>
      <c r="K121" s="4">
        <v>0.1118</v>
      </c>
      <c r="M121" s="6">
        <v>125</v>
      </c>
      <c r="N121" s="6" t="inlineStr">
        <is>
          <t>2026-10-02 15:02:04.837 | Minigame: Danniel | Type: GunShoot | Outcome: Success | Difficulty: Easy | ExpectedTime: 137.2160 | ActualTime: 137.3278 | TimingOffset: 0.1118 | TimingError: 0.1118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15:02:07.594</t>
        </is>
      </c>
      <c r="C122" s="0" t="inlineStr">
        <is>
          <t>Interaction</t>
        </is>
      </c>
      <c r="D122" s="0" t="inlineStr">
        <is>
          <t>Danniel</t>
        </is>
      </c>
      <c r="E122" s="0" t="inlineStr">
        <is>
          <t>GunShoot</t>
        </is>
      </c>
      <c r="F122" s="0" t="inlineStr">
        <is>
          <t>Success</t>
        </is>
      </c>
      <c r="G122" s="0" t="inlineStr">
        <is>
          <t>Easy</t>
        </is>
      </c>
      <c r="K122" s="4">
        <v>0.1191</v>
      </c>
      <c r="M122" s="0">
        <v>126</v>
      </c>
      <c r="N122" s="0" t="inlineStr">
        <is>
          <t>2026-10-02 15:02:07.594 | Minigame: Danniel | Type: GunShoot | Outcome: Success | Difficulty: Easy | ExpectedTime: 140.2880 | ActualTime: 140.1689 | TimingOffset: -0.1191 | TimingError: 0.1191 | ReactionTime: N/A | SpatialAccuracy: N/A | DirectionAccuracy: N/A | CorrectHand: N/A</t>
        </is>
      </c>
    </row>
    <row r="123" ht="17" customHeight="1">
      <c r="A123" s="6">
        <v>122</v>
      </c>
      <c r="B123" s="6" t="inlineStr">
        <is>
          <t>2026-10-02 15:02:09.669</t>
        </is>
      </c>
      <c r="C123" s="6" t="inlineStr">
        <is>
          <t>Interaction</t>
        </is>
      </c>
      <c r="D123" s="6" t="inlineStr">
        <is>
          <t>Danniel</t>
        </is>
      </c>
      <c r="E123" s="6" t="inlineStr">
        <is>
          <t>GunShoot</t>
        </is>
      </c>
      <c r="F123" s="6" t="inlineStr">
        <is>
          <t>Success</t>
        </is>
      </c>
      <c r="G123" s="6" t="inlineStr">
        <is>
          <t>Easy</t>
        </is>
      </c>
      <c r="K123" s="4">
        <v>0.113</v>
      </c>
      <c r="M123" s="6">
        <v>127</v>
      </c>
      <c r="N123" s="6" t="inlineStr">
        <is>
          <t>2026-10-02 15:02:09.669 | Minigame: Danniel | Type: GunShoot | Outcome: Success | Difficulty: Easy | ExpectedTime: 141.8240 | ActualTime: 141.9370 | TimingOffset: 0.1130 | TimingError: 0.1130 | ReactionTime: N/A | SpatialAccuracy: N/A | DirectionAccuracy: N/A | CorrectHand: N/A</t>
        </is>
      </c>
    </row>
    <row r="124" ht="17" customHeight="1">
      <c r="A124" s="0">
        <v>123</v>
      </c>
      <c r="B124" s="0" t="inlineStr">
        <is>
          <t>2026-10-02 15:02:10.114</t>
        </is>
      </c>
      <c r="C124" s="0" t="inlineStr">
        <is>
          <t>Interaction</t>
        </is>
      </c>
      <c r="D124" s="0" t="inlineStr">
        <is>
          <t>Danniel</t>
        </is>
      </c>
      <c r="E124" s="0" t="inlineStr">
        <is>
          <t>GunShoot</t>
        </is>
      </c>
      <c r="F124" s="0" t="inlineStr">
        <is>
          <t>Failed</t>
        </is>
      </c>
      <c r="G124" s="0" t="inlineStr">
        <is>
          <t>Easy</t>
        </is>
      </c>
      <c r="M124" s="0">
        <v>128</v>
      </c>
      <c r="N124" s="0" t="inlineStr">
        <is>
          <t>2026-10-02 15:02:10.114 | Minigame: Danniel | Type: GunShoot | Outcome: Failed | Difficulty: Easy | ExpectedTime: 143.0645 | ActualTime: N/A | TimingOffset: N/A | TimingError: N/A | ReactionTime: N/A | SpatialAccuracy: N/A | DirectionAccuracy: N/A | CorrectHand: N/A</t>
        </is>
      </c>
    </row>
    <row r="125" ht="17" customHeight="1">
      <c r="A125" s="6">
        <v>124</v>
      </c>
      <c r="B125" s="6" t="inlineStr">
        <is>
          <t>2026-10-02 15:02:11.380</t>
        </is>
      </c>
      <c r="C125" s="6" t="inlineStr">
        <is>
          <t>Interaction</t>
        </is>
      </c>
      <c r="D125" s="6" t="inlineStr">
        <is>
          <t>Danniel</t>
        </is>
      </c>
      <c r="E125" s="6" t="inlineStr">
        <is>
          <t>GunShoot</t>
        </is>
      </c>
      <c r="F125" s="6" t="inlineStr">
        <is>
          <t>Success</t>
        </is>
      </c>
      <c r="G125" s="6" t="inlineStr">
        <is>
          <t>Easy</t>
        </is>
      </c>
      <c r="K125" s="4">
        <v>0.0168</v>
      </c>
      <c r="M125" s="6">
        <v>129</v>
      </c>
      <c r="N125" s="6" t="inlineStr">
        <is>
          <t>2026-10-02 15:02:11.380 | Minigame: Danniel | Type: GunShoot | Outcome: Success | Difficulty: Easy | ExpectedTime: 143.7440 | ActualTime: 143.7608 | TimingOffset: 0.0168 | TimingError: 0.0168 | ReactionTime: N/A | SpatialAccuracy: N/A | DirectionAccuracy: N/A | CorrectHand: N/A</t>
        </is>
      </c>
    </row>
    <row r="126" ht="17" customHeight="1">
      <c r="A126" s="0">
        <v>125</v>
      </c>
      <c r="B126" s="0" t="inlineStr">
        <is>
          <t>2026-10-02 15:02:16.380</t>
        </is>
      </c>
      <c r="C126" s="0" t="inlineStr">
        <is>
          <t>PlayerState</t>
        </is>
      </c>
      <c r="H126" s="0" t="inlineStr">
        <is>
          <t>Idle</t>
        </is>
      </c>
      <c r="M126" s="0">
        <v>130</v>
      </c>
      <c r="N126" s="0" t="inlineStr">
        <is>
          <t>2026-10-02 15:02:16.380 | PlayerState: Idle</t>
        </is>
      </c>
    </row>
    <row r="127" ht="17" customHeight="1">
      <c r="A127" s="6">
        <v>126</v>
      </c>
      <c r="B127" s="6" t="inlineStr">
        <is>
          <t>2026-10-02 15:02:19.971</t>
        </is>
      </c>
      <c r="C127" s="6" t="inlineStr">
        <is>
          <t>Interaction</t>
        </is>
      </c>
      <c r="D127" s="6" t="inlineStr">
        <is>
          <t>Danniel</t>
        </is>
      </c>
      <c r="E127" s="6" t="inlineStr">
        <is>
          <t>GunShoot</t>
        </is>
      </c>
      <c r="F127" s="6" t="inlineStr">
        <is>
          <t>Missed</t>
        </is>
      </c>
      <c r="G127" s="6" t="inlineStr">
        <is>
          <t>Easy</t>
        </is>
      </c>
      <c r="M127" s="6">
        <v>131</v>
      </c>
      <c r="N127" s="6" t="inlineStr">
        <is>
          <t>2026-10-02 15:02:19.971 | Minigame: Danniel | Type: GunShoot | Outcome: Missed | Difficulty: Easy | ExpectedTime: 152.9217 | ActualTime: N/A | TimingOffset: N/A | TimingError: N/A | ReactionTime: N/A | SpatialAccuracy: N/A | DirectionAccuracy: N/A | CorrectHand: N/A</t>
        </is>
      </c>
    </row>
    <row r="128" ht="17" customHeight="1">
      <c r="A128" s="0">
        <v>127</v>
      </c>
      <c r="B128" s="0" t="inlineStr">
        <is>
          <t>2026-10-02 15:02:20.696</t>
        </is>
      </c>
      <c r="C128" s="0" t="inlineStr">
        <is>
          <t>Interaction</t>
        </is>
      </c>
      <c r="D128" s="0" t="inlineStr">
        <is>
          <t>Danniel</t>
        </is>
      </c>
      <c r="E128" s="0" t="inlineStr">
        <is>
          <t>GunShoot</t>
        </is>
      </c>
      <c r="F128" s="0" t="inlineStr">
        <is>
          <t>Failed</t>
        </is>
      </c>
      <c r="G128" s="0" t="inlineStr">
        <is>
          <t>Easy</t>
        </is>
      </c>
      <c r="M128" s="0">
        <v>132</v>
      </c>
      <c r="N128" s="0" t="inlineStr">
        <is>
          <t>2026-10-02 15:02:20.696 | Minigame: Danniel | Type: GunShoot | Outcome: Failed | Difficulty: Easy | ExpectedTime: 153.6453 | ActualTime: N/A | TimingOffset: N/A | TimingError: N/A | ReactionTime: N/A | SpatialAccuracy: N/A | DirectionAccuracy: N/A | CorrectHand: N/A</t>
        </is>
      </c>
    </row>
    <row r="129" ht="17" customHeight="1">
      <c r="A129" s="6">
        <v>128</v>
      </c>
      <c r="B129" s="6" t="inlineStr">
        <is>
          <t>2026-10-02 15:02:20.696</t>
        </is>
      </c>
      <c r="C129" s="6" t="inlineStr">
        <is>
          <t>PlayerState</t>
        </is>
      </c>
      <c r="H129" s="6" t="inlineStr">
        <is>
          <t>Engaged</t>
        </is>
      </c>
      <c r="M129" s="6">
        <v>133</v>
      </c>
      <c r="N129" s="6" t="inlineStr">
        <is>
          <t>2026-10-02 15:02:20.696 | PlayerState: Engaged</t>
        </is>
      </c>
    </row>
    <row r="130" ht="17" customHeight="1">
      <c r="A130" s="0">
        <v>129</v>
      </c>
      <c r="B130" s="0" t="inlineStr">
        <is>
          <t>2026-10-02 15:02:20.778</t>
        </is>
      </c>
      <c r="C130" s="0" t="inlineStr">
        <is>
          <t>Interaction</t>
        </is>
      </c>
      <c r="D130" s="0" t="inlineStr">
        <is>
          <t>Danniel</t>
        </is>
      </c>
      <c r="E130" s="0" t="inlineStr">
        <is>
          <t>GunShoot</t>
        </is>
      </c>
      <c r="F130" s="0" t="inlineStr">
        <is>
          <t>Success</t>
        </is>
      </c>
      <c r="G130" s="0" t="inlineStr">
        <is>
          <t>Easy</t>
        </is>
      </c>
      <c r="K130" s="4">
        <v>0.1756</v>
      </c>
      <c r="M130" s="0">
        <v>134</v>
      </c>
      <c r="N130" s="0" t="inlineStr">
        <is>
          <t>2026-10-02 15:02:20.778 | Minigame: Danniel | Type: GunShoot | Outcome: Success | Difficulty: Easy | ExpectedTime: 153.3440 | ActualTime: 153.5196 | TimingOffset: 0.1756 | TimingError: 0.1756 | ReactionTime: N/A | SpatialAccuracy: N/A | DirectionAccuracy: N/A | CorrectHand: N/A</t>
        </is>
      </c>
    </row>
    <row r="131" ht="17" customHeight="1">
      <c r="A131" s="6">
        <v>130</v>
      </c>
      <c r="B131" s="6" t="inlineStr">
        <is>
          <t>2026-10-02 15:02:22.715</t>
        </is>
      </c>
      <c r="C131" s="6" t="inlineStr">
        <is>
          <t>Interaction</t>
        </is>
      </c>
      <c r="D131" s="6" t="inlineStr">
        <is>
          <t>Danniel</t>
        </is>
      </c>
      <c r="E131" s="6" t="inlineStr">
        <is>
          <t>GunShoot</t>
        </is>
      </c>
      <c r="F131" s="6" t="inlineStr">
        <is>
          <t>Success</t>
        </is>
      </c>
      <c r="G131" s="6" t="inlineStr">
        <is>
          <t>Easy</t>
        </is>
      </c>
      <c r="K131" s="4">
        <v>0.1073</v>
      </c>
      <c r="M131" s="6">
        <v>135</v>
      </c>
      <c r="N131" s="6" t="inlineStr">
        <is>
          <t>2026-10-02 15:02:22.715 | Minigame: Danniel | Type: GunShoot | Outcome: Success | Difficulty: Easy | ExpectedTime: 155.6480 | ActualTime: 155.5407 | TimingOffset: -0.1073 | TimingError: 0.1073 | ReactionTime: N/A | SpatialAccuracy: N/A | DirectionAccuracy: N/A | CorrectHand: N/A</t>
        </is>
      </c>
    </row>
    <row r="132" ht="17" customHeight="1">
      <c r="A132" s="0">
        <v>131</v>
      </c>
      <c r="B132" s="0" t="inlineStr">
        <is>
          <t>2026-10-02 15:02:27.714</t>
        </is>
      </c>
      <c r="C132" s="0" t="inlineStr">
        <is>
          <t>PlayerState</t>
        </is>
      </c>
      <c r="H132" s="0" t="inlineStr">
        <is>
          <t>Idle</t>
        </is>
      </c>
      <c r="M132" s="0">
        <v>136</v>
      </c>
      <c r="N132" s="0" t="inlineStr">
        <is>
          <t>2026-10-02 15:02:27.714 | PlayerState: Idle</t>
        </is>
      </c>
    </row>
    <row r="133" ht="17" customHeight="1">
      <c r="A133" s="6">
        <v>132</v>
      </c>
      <c r="B133" s="6" t="inlineStr">
        <is>
          <t>2026-10-02 15:02:34.718</t>
        </is>
      </c>
      <c r="C133" s="6" t="inlineStr">
        <is>
          <t>Interaction</t>
        </is>
      </c>
      <c r="D133" s="6" t="inlineStr">
        <is>
          <t>Jeremy</t>
        </is>
      </c>
      <c r="E133" s="6" t="inlineStr">
        <is>
          <t>SwordCut</t>
        </is>
      </c>
      <c r="F133" s="6" t="inlineStr">
        <is>
          <t>Failed</t>
        </is>
      </c>
      <c r="G133" s="6" t="inlineStr">
        <is>
          <t>Easy</t>
        </is>
      </c>
      <c r="K133" s="4">
        <v>0.0379</v>
      </c>
      <c r="M133" s="6">
        <v>137</v>
      </c>
      <c r="N133" s="6" t="inlineStr">
        <is>
          <t>2026-10-02 15:02:34.718 | Minigame: Jeremy | Type: SwordCut | Outcome: Failed | Difficulty: Easy | ExpectedTime: 167.7061 | ActualTime: 167.6682 | TimingOffset: -0.0379 | TimingError: 0.0379 | ReactionTime: N/A | SpatialAccuracy: N/A | DirectionAccuracy: 0.0000 | CorrectHand: True</t>
        </is>
      </c>
    </row>
    <row r="134" ht="17" customHeight="1">
      <c r="A134" s="0">
        <v>133</v>
      </c>
      <c r="B134" s="0" t="inlineStr">
        <is>
          <t>2026-10-02 15:02:34.718</t>
        </is>
      </c>
      <c r="C134" s="0" t="inlineStr">
        <is>
          <t>PlayerState</t>
        </is>
      </c>
      <c r="H134" s="0" t="inlineStr">
        <is>
          <t>Engaged</t>
        </is>
      </c>
      <c r="M134" s="0">
        <v>138</v>
      </c>
      <c r="N134" s="0" t="inlineStr">
        <is>
          <t>2026-10-02 15:02:34.718 | PlayerState: Engaged</t>
        </is>
      </c>
    </row>
    <row r="135" ht="17" customHeight="1">
      <c r="A135" s="6">
        <v>134</v>
      </c>
      <c r="B135" s="6" t="inlineStr">
        <is>
          <t>2026-10-02 15:02:36.988</t>
        </is>
      </c>
      <c r="C135" s="6" t="inlineStr">
        <is>
          <t>Interaction</t>
        </is>
      </c>
      <c r="D135" s="6" t="inlineStr">
        <is>
          <t>Jeremy</t>
        </is>
      </c>
      <c r="E135" s="6" t="inlineStr">
        <is>
          <t>SwordCut</t>
        </is>
      </c>
      <c r="F135" s="6" t="inlineStr">
        <is>
          <t>Success</t>
        </is>
      </c>
      <c r="G135" s="6" t="inlineStr">
        <is>
          <t>Easy</t>
        </is>
      </c>
      <c r="K135" s="4">
        <v>0.0672</v>
      </c>
      <c r="M135" s="6">
        <v>139</v>
      </c>
      <c r="N135" s="6" t="inlineStr">
        <is>
          <t>2026-10-02 15:02:36.988 | Minigame: Jeremy | Type: SwordCut | Outcome: Success | Difficulty: Easy | ExpectedTime: 170.0049 | ActualTime: 169.9377 | TimingOffset: -0.0672 | TimingError: 0.0672 | ReactionTime: N/A | SpatialAccuracy: N/A | DirectionAccuracy: 1.0000 | CorrectHand: True</t>
        </is>
      </c>
    </row>
    <row r="136" ht="17" customHeight="1">
      <c r="A136" s="0">
        <v>135</v>
      </c>
      <c r="B136" s="0" t="inlineStr">
        <is>
          <t>2026-10-02 15:02:39.716</t>
        </is>
      </c>
      <c r="C136" s="0" t="inlineStr">
        <is>
          <t>Interaction</t>
        </is>
      </c>
      <c r="D136" s="0" t="inlineStr">
        <is>
          <t>Jeremy</t>
        </is>
      </c>
      <c r="E136" s="0" t="inlineStr">
        <is>
          <t>SwordCut</t>
        </is>
      </c>
      <c r="F136" s="0" t="inlineStr">
        <is>
          <t>Failed</t>
        </is>
      </c>
      <c r="G136" s="0" t="inlineStr">
        <is>
          <t>Easy</t>
        </is>
      </c>
      <c r="K136" s="4">
        <v>0.3624</v>
      </c>
      <c r="M136" s="0">
        <v>140</v>
      </c>
      <c r="N136" s="0" t="inlineStr">
        <is>
          <t>2026-10-02 15:02:39.716 | Minigame: Jeremy | Type: SwordCut | Outcome: Failed | Difficulty: Easy | ExpectedTime: 172.3037 | ActualTime: 172.6661 | TimingOffset: 0.3624 | TimingError: 0.3624 | ReactionTime: N/A | SpatialAccuracy: N/A | DirectionAccuracy: 0.0000 | CorrectHand: True</t>
        </is>
      </c>
    </row>
    <row r="137" ht="17" customHeight="1">
      <c r="A137" s="6">
        <v>136</v>
      </c>
      <c r="B137" s="6" t="inlineStr">
        <is>
          <t>2026-10-02 15:02:41.496</t>
        </is>
      </c>
      <c r="C137" s="6" t="inlineStr">
        <is>
          <t>Interaction</t>
        </is>
      </c>
      <c r="D137" s="6" t="inlineStr">
        <is>
          <t>Jeremy</t>
        </is>
      </c>
      <c r="E137" s="6" t="inlineStr">
        <is>
          <t>SwordCut</t>
        </is>
      </c>
      <c r="F137" s="6" t="inlineStr">
        <is>
          <t>Failed</t>
        </is>
      </c>
      <c r="G137" s="6" t="inlineStr">
        <is>
          <t>Easy</t>
        </is>
      </c>
      <c r="K137" s="4">
        <v>0.1553</v>
      </c>
      <c r="M137" s="6">
        <v>141</v>
      </c>
      <c r="N137" s="6" t="inlineStr">
        <is>
          <t>2026-10-02 15:02:41.496 | Minigame: Jeremy | Type: SwordCut | Outcome: Failed | Difficulty: Easy | ExpectedTime: 174.6024 | ActualTime: 174.4471 | TimingOffset: -0.1553 | TimingError: 0.1553 | ReactionTime: N/A | SpatialAccuracy: N/A | DirectionAccuracy: 0.0000 | CorrectHand: True</t>
        </is>
      </c>
    </row>
    <row r="138" ht="17" customHeight="1">
      <c r="A138" s="0">
        <v>137</v>
      </c>
      <c r="B138" s="0" t="inlineStr">
        <is>
          <t>2026-10-02 15:02:43.808</t>
        </is>
      </c>
      <c r="C138" s="0" t="inlineStr">
        <is>
          <t>Interaction</t>
        </is>
      </c>
      <c r="D138" s="0" t="inlineStr">
        <is>
          <t>Jeremy</t>
        </is>
      </c>
      <c r="E138" s="0" t="inlineStr">
        <is>
          <t>SwordCut</t>
        </is>
      </c>
      <c r="F138" s="0" t="inlineStr">
        <is>
          <t>Success</t>
        </is>
      </c>
      <c r="G138" s="0" t="inlineStr">
        <is>
          <t>Easy</t>
        </is>
      </c>
      <c r="K138" s="4">
        <v>0.1423</v>
      </c>
      <c r="M138" s="0">
        <v>142</v>
      </c>
      <c r="N138" s="0" t="inlineStr">
        <is>
          <t>2026-10-02 15:02:43.808 | Minigame: Jeremy | Type: SwordCut | Outcome: Success | Difficulty: Easy | ExpectedTime: 176.9012 | ActualTime: 176.7589 | TimingOffset: -0.1423 | TimingError: 0.1423 | ReactionTime: N/A | SpatialAccuracy: N/A | DirectionAccuracy: 1.0000 | CorrectHand: True</t>
        </is>
      </c>
    </row>
    <row r="139" ht="17" customHeight="1">
      <c r="A139" s="6">
        <v>138</v>
      </c>
      <c r="B139" s="6" t="inlineStr">
        <is>
          <t>2026-10-02 15:02:43.810</t>
        </is>
      </c>
      <c r="C139" s="6" t="inlineStr">
        <is>
          <t>PlayerState</t>
        </is>
      </c>
      <c r="H139" s="6" t="inlineStr">
        <is>
          <t>Overloaded</t>
        </is>
      </c>
      <c r="M139" s="6">
        <v>143</v>
      </c>
      <c r="N139" s="6" t="inlineStr">
        <is>
          <t>2026-10-02 15:02:43.810 | PlayerState: Overloaded</t>
        </is>
      </c>
    </row>
    <row r="140" ht="17" customHeight="1">
      <c r="A140" s="0">
        <v>139</v>
      </c>
      <c r="B140" s="0" t="inlineStr">
        <is>
          <t>2026-10-02 15:02:46.316</t>
        </is>
      </c>
      <c r="C140" s="0" t="inlineStr">
        <is>
          <t>Interaction</t>
        </is>
      </c>
      <c r="D140" s="0" t="inlineStr">
        <is>
          <t>Jeremy</t>
        </is>
      </c>
      <c r="E140" s="0" t="inlineStr">
        <is>
          <t>SwordCut</t>
        </is>
      </c>
      <c r="F140" s="0" t="inlineStr">
        <is>
          <t>Failed</t>
        </is>
      </c>
      <c r="G140" s="0" t="inlineStr">
        <is>
          <t>Easy</t>
        </is>
      </c>
      <c r="K140" s="4">
        <v>0.0666</v>
      </c>
      <c r="M140" s="0">
        <v>144</v>
      </c>
      <c r="N140" s="0" t="inlineStr">
        <is>
          <t>2026-10-02 15:02:46.316 | Minigame: Jeremy | Type: SwordCut | Outcome: Failed | Difficulty: Easy | ExpectedTime: 179.2000 | ActualTime: 179.2666 | TimingOffset: 0.0666 | TimingError: 0.0666 | ReactionTime: N/A | SpatialAccuracy: N/A | DirectionAccuracy: 1.0000 | CorrectHand: False</t>
        </is>
      </c>
    </row>
    <row r="141" ht="17" customHeight="1">
      <c r="A141" s="6">
        <v>140</v>
      </c>
      <c r="B141" s="6" t="inlineStr">
        <is>
          <t>2026-10-02 15:02:49.184</t>
        </is>
      </c>
      <c r="C141" s="6" t="inlineStr">
        <is>
          <t>Interaction</t>
        </is>
      </c>
      <c r="D141" s="6" t="inlineStr">
        <is>
          <t>Jeremy</t>
        </is>
      </c>
      <c r="E141" s="6" t="inlineStr">
        <is>
          <t>SwordCut</t>
        </is>
      </c>
      <c r="F141" s="6" t="inlineStr">
        <is>
          <t>Missed</t>
        </is>
      </c>
      <c r="G141" s="6" t="inlineStr">
        <is>
          <t>Easy</t>
        </is>
      </c>
      <c r="M141" s="6">
        <v>145</v>
      </c>
      <c r="N141" s="6" t="inlineStr">
        <is>
          <t>2026-10-02 15:02:49.184 | Minigame: Jeremy | Type: SwordCut | Outcome: Missed | Difficulty: Easy | ExpectedTime: 181.4988 | ActualTime: N/A | TimingOffset: N/A | TimingError: N/A | ReactionTime: N/A | SpatialAccuracy: N/A | DirectionAccuracy: N/A | CorrectHand: N/A</t>
        </is>
      </c>
    </row>
    <row r="142" ht="17" customHeight="1">
      <c r="A142" s="0">
        <v>141</v>
      </c>
      <c r="B142" s="0" t="inlineStr">
        <is>
          <t>2026-10-02 15:02:51.314</t>
        </is>
      </c>
      <c r="C142" s="0" t="inlineStr">
        <is>
          <t>PlayerState</t>
        </is>
      </c>
      <c r="H142" s="0" t="inlineStr">
        <is>
          <t>Idle</t>
        </is>
      </c>
      <c r="M142" s="0">
        <v>146</v>
      </c>
      <c r="N142" s="0" t="inlineStr">
        <is>
          <t>2026-10-02 15:02:51.314 | PlayerState: Idle</t>
        </is>
      </c>
    </row>
  </sheetData>
  <autoFilter ref="A1:N142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