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P028</t>
        </is>
      </c>
    </row>
    <row r="2" ht="17" customHeight="1"/>
    <row r="3" ht="17" customHeight="1">
      <c r="A3" s="6" t="inlineStr">
        <is>
          <t>Inicio: 2026-10-02 15:37:44     |     Fuente: Metrics_P028_2026-10-02_15-37-44.txt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112.0</v>
      </c>
      <c r="C6" s="0">
        <f>COUNTA('Interacciones'!$A$2:$A$113)</f>
        <v>112</v>
      </c>
      <c r="E6" s="0" t="inlineStr">
        <is>
          <t>Cambios de dificultad</t>
        </is>
      </c>
      <c r="F6" s="0">
        <v>3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58.0</v>
      </c>
      <c r="C7" s="6">
        <f>COUNTIF('Interacciones'!$F$2:$F$113,"Success")</f>
        <v>58</v>
      </c>
      <c r="E7" s="6" t="inlineStr">
        <is>
          <t>Estados del jugador</t>
        </is>
      </c>
      <c r="F7" s="6">
        <v>23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46.0</v>
      </c>
      <c r="C8" s="0">
        <f>COUNTIF('Interacciones'!$F$2:$F$113,"Failed")</f>
        <v>46</v>
      </c>
      <c r="E8" s="0" t="inlineStr">
        <is>
          <t>Eventos totales</t>
        </is>
      </c>
      <c r="F8" s="0">
        <v>138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8.0</v>
      </c>
      <c r="C9" s="6">
        <f>COUNTIF('Interacciones'!$F$2:$F$113,"Missed")</f>
        <v>8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0.5179</v>
      </c>
      <c r="C10" s="0">
        <f>IFERROR(C7/C6,0)</f>
        <v>0.5178571428571429</v>
      </c>
    </row>
    <row r="11" ht="17" customHeight="1">
      <c r="A11" s="6" t="inlineStr">
        <is>
          <t>Error timing medio (s)</t>
        </is>
      </c>
      <c r="B11" s="6">
        <v>0.2426</v>
      </c>
      <c r="C11" s="6">
        <f>IFERROR(AVERAGE('Interacciones'!$K$2:$K$113),"")</f>
        <v>0.2426345238095238</v>
      </c>
    </row>
    <row r="12" ht="17" customHeight="1">
      <c r="A12" s="0" t="inlineStr">
        <is>
          <t>Reacción media (s)</t>
        </is>
      </c>
      <c r="B12" s="0">
        <v>0.742</v>
      </c>
      <c r="C12" s="0">
        <f>IFERROR(AVERAGE('Interacciones'!$L$2:$L$113),"")</f>
        <v>0.74205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IFERROR(AVERAGE('Interacciones'!$M$2:$M$113),"")</f>
        <v/>
      </c>
    </row>
    <row r="14" ht="17" customHeight="1">
      <c r="A14" s="0" t="inlineStr">
        <is>
          <t>Precisión dirección media</t>
        </is>
      </c>
      <c r="B14" s="0">
        <v>0.5429</v>
      </c>
      <c r="C14" s="0">
        <f>IFERROR(AVERAGE('Interacciones'!$N$2:$N$113),"")</f>
        <v>0.5428571428571428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COUNTIF('Interacciones'!$D$2:$D$113,$A5)</f>
        <v>37</v>
      </c>
      <c r="C5" s="6">
        <f>COUNTIFS('Interacciones'!$D$2:$D$113,$A5,'Interacciones'!$F$2:$F$113,"Success")</f>
        <v>21</v>
      </c>
      <c r="D5" s="6">
        <f>COUNTIFS('Interacciones'!$D$2:$D$113,$A5,'Interacciones'!$F$2:$F$113,"Failed")</f>
        <v>14</v>
      </c>
      <c r="E5" s="6">
        <f>COUNTIFS('Interacciones'!$D$2:$D$113,$A5,'Interacciones'!$F$2:$F$113,"Missed")</f>
        <v>2</v>
      </c>
      <c r="F5" s="3">
        <f>IFERROR(C5/B5,0)</f>
        <v>0.5675675675675675</v>
      </c>
      <c r="G5" s="4">
        <f>IFERROR(AVERAGEIF('Interacciones'!$D$2:$D$113,$A5,'Interacciones'!$K$2:$K$113),"")</f>
        <v>0.013625</v>
      </c>
      <c r="H5" s="4" t="str">
        <f>IFERROR(AVERAGEIF('Interacciones'!$D$2:$D$113,$A5,'Interacciones'!$L$2:$L$113),"")</f>
        <v/>
      </c>
      <c r="I5" s="6">
        <f>COUNTIF('Adaptaciones'!$C$2:$C$4,$A5)</f>
        <v>1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COUNTIF('Interacciones'!$D$2:$D$113,$A6)</f>
        <v>19</v>
      </c>
      <c r="C6" s="0">
        <f>COUNTIFS('Interacciones'!$D$2:$D$113,$A6,'Interacciones'!$F$2:$F$113,"Success")</f>
        <v>8</v>
      </c>
      <c r="D6" s="0">
        <f>COUNTIFS('Interacciones'!$D$2:$D$113,$A6,'Interacciones'!$F$2:$F$113,"Failed")</f>
        <v>9</v>
      </c>
      <c r="E6" s="0">
        <f>COUNTIFS('Interacciones'!$D$2:$D$113,$A6,'Interacciones'!$F$2:$F$113,"Missed")</f>
        <v>2</v>
      </c>
      <c r="F6" s="3">
        <f>IFERROR(C6/B6,0)</f>
        <v>0.42105263157894735</v>
      </c>
      <c r="G6" s="4">
        <f>IFERROR(AVERAGEIF('Interacciones'!$D$2:$D$113,$A6,'Interacciones'!$K$2:$K$113),"")</f>
        <v>0.0709375</v>
      </c>
      <c r="H6" s="4" t="str">
        <f>IFERROR(AVERAGEIF('Interacciones'!$D$2:$D$113,$A6,'Interacciones'!$L$2:$L$113),"")</f>
        <v/>
      </c>
      <c r="I6" s="0">
        <f>COUNTIF('Adaptaciones'!$C$2:$C$4,$A6)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COUNTIF('Interacciones'!$D$2:$D$113,$A7)</f>
        <v>7</v>
      </c>
      <c r="C7" s="6">
        <f>COUNTIFS('Interacciones'!$D$2:$D$113,$A7,'Interacciones'!$F$2:$F$113,"Success")</f>
        <v>2</v>
      </c>
      <c r="D7" s="6">
        <f>COUNTIFS('Interacciones'!$D$2:$D$113,$A7,'Interacciones'!$F$2:$F$113,"Failed")</f>
        <v>4</v>
      </c>
      <c r="E7" s="6">
        <f>COUNTIFS('Interacciones'!$D$2:$D$113,$A7,'Interacciones'!$F$2:$F$113,"Missed")</f>
        <v>1</v>
      </c>
      <c r="F7" s="3">
        <f>IFERROR(C7/B7,0)</f>
        <v>0.2857142857142857</v>
      </c>
      <c r="G7" s="4">
        <f>IFERROR(AVERAGEIF('Interacciones'!$D$2:$D$113,$A7,'Interacciones'!$K$2:$K$113),"")</f>
        <v>0.13058333333333333</v>
      </c>
      <c r="H7" s="4" t="str">
        <f>IFERROR(AVERAGEIF('Interacciones'!$D$2:$D$113,$A7,'Interacciones'!$L$2:$L$113),"")</f>
        <v/>
      </c>
      <c r="I7" s="6">
        <f>COUNTIF('Adaptaciones'!$C$2:$C$4,$A7)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COUNTIF('Interacciones'!$D$2:$D$113,$A8)</f>
        <v>13</v>
      </c>
      <c r="C8" s="0">
        <f>COUNTIFS('Interacciones'!$D$2:$D$113,$A8,'Interacciones'!$F$2:$F$113,"Success")</f>
        <v>13</v>
      </c>
      <c r="D8" s="0">
        <f>COUNTIFS('Interacciones'!$D$2:$D$113,$A8,'Interacciones'!$F$2:$F$113,"Failed")</f>
        <v>0</v>
      </c>
      <c r="E8" s="0">
        <f>COUNTIFS('Interacciones'!$D$2:$D$113,$A8,'Interacciones'!$F$2:$F$113,"Missed")</f>
        <v>0</v>
      </c>
      <c r="F8" s="3">
        <f>IFERROR(C8/B8,0)</f>
        <v>1.0</v>
      </c>
      <c r="G8" s="4">
        <f>IFERROR(AVERAGEIF('Interacciones'!$D$2:$D$113,$A8,'Interacciones'!$K$2:$K$113),"")</f>
        <v>0.0722</v>
      </c>
      <c r="H8" s="4" t="str">
        <f>IFERROR(AVERAGEIF('Interacciones'!$D$2:$D$113,$A8,'Interacciones'!$L$2:$L$113),"")</f>
        <v/>
      </c>
      <c r="I8" s="0">
        <f>COUNTIF('Adaptaciones'!$C$2:$C$4,$A8)</f>
        <v>1</v>
      </c>
      <c r="J8" s="0" t="inlineStr">
        <is>
          <t>GuitarHit</t>
        </is>
      </c>
    </row>
    <row r="9" ht="17" customHeight="1">
      <c r="A9" s="6" t="inlineStr">
        <is>
          <t>JuanAndres</t>
        </is>
      </c>
      <c r="B9" s="6">
        <f>COUNTIF('Interacciones'!$D$2:$D$113,$A9)</f>
        <v>20</v>
      </c>
      <c r="C9" s="6">
        <f>COUNTIFS('Interacciones'!$D$2:$D$113,$A9,'Interacciones'!$F$2:$F$113,"Success")</f>
        <v>7</v>
      </c>
      <c r="D9" s="6">
        <f>COUNTIFS('Interacciones'!$D$2:$D$113,$A9,'Interacciones'!$F$2:$F$113,"Failed")</f>
        <v>12</v>
      </c>
      <c r="E9" s="6">
        <f>COUNTIFS('Interacciones'!$D$2:$D$113,$A9,'Interacciones'!$F$2:$F$113,"Missed")</f>
        <v>1</v>
      </c>
      <c r="F9" s="3">
        <f>IFERROR(C9/B9,0)</f>
        <v>0.35</v>
      </c>
      <c r="G9" s="4">
        <f>IFERROR(AVERAGEIF('Interacciones'!$D$2:$D$113,$A9,'Interacciones'!$K$2:$K$113),"")</f>
        <v>0.7798368421052632</v>
      </c>
      <c r="H9" s="4" t="str">
        <f>IFERROR(AVERAGEIF('Interacciones'!$D$2:$D$113,$A9,'Interacciones'!$L$2:$L$113),"")</f>
        <v/>
      </c>
      <c r="I9" s="6">
        <f>COUNTIF('Adaptaciones'!$C$2:$C$4,$A9)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COUNTIF('Interacciones'!$D$2:$D$113,$A10)</f>
        <v>16</v>
      </c>
      <c r="C10" s="0">
        <f>COUNTIFS('Interacciones'!$D$2:$D$113,$A10,'Interacciones'!$F$2:$F$113,"Success")</f>
        <v>7</v>
      </c>
      <c r="D10" s="0">
        <f>COUNTIFS('Interacciones'!$D$2:$D$113,$A10,'Interacciones'!$F$2:$F$113,"Failed")</f>
        <v>7</v>
      </c>
      <c r="E10" s="0">
        <f>COUNTIFS('Interacciones'!$D$2:$D$113,$A10,'Interacciones'!$F$2:$F$113,"Missed")</f>
        <v>2</v>
      </c>
      <c r="F10" s="3">
        <f>IFERROR(C10/B10,0)</f>
        <v>0.4375</v>
      </c>
      <c r="G10" s="4">
        <f>IFERROR(AVERAGEIF('Interacciones'!$D$2:$D$113,$A10,'Interacciones'!$K$2:$K$113),"")</f>
        <v>0.28933</v>
      </c>
      <c r="H10" s="4">
        <f>IFERROR(AVERAGEIF('Interacciones'!$D$2:$D$113,$A10,'Interacciones'!$L$2:$L$113),"")</f>
        <v>0.74205</v>
      </c>
      <c r="I10" s="0">
        <f>COUNTIF('Adaptaciones'!$C$2:$C$4,$A10)</f>
        <v>1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COUNTIFS('Interacciones'!$D$2:$D$113,$A5,'Interacciones'!$E$2:$E$113,$B5)</f>
        <v>31</v>
      </c>
      <c r="D5" s="6">
        <f>COUNTIFS('Interacciones'!$D$2:$D$113,$A5,'Interacciones'!$E$2:$E$113,$B5,'Interacciones'!$F$2:$F$113,"Success")</f>
        <v>17</v>
      </c>
      <c r="E5" s="6">
        <f>COUNTIFS('Interacciones'!$D$2:$D$113,$A5,'Interacciones'!$E$2:$E$113,$B5,'Interacciones'!$F$2:$F$113,"Failed")</f>
        <v>14</v>
      </c>
      <c r="F5" s="6">
        <f>COUNTIFS('Interacciones'!$D$2:$D$113,$A5,'Interacciones'!$E$2:$E$113,$B5,'Interacciones'!$F$2:$F$113,"Missed")</f>
        <v>0</v>
      </c>
      <c r="G5" s="3">
        <f>IFERROR(D5/C5,0)</f>
        <v>0.5483870967741935</v>
      </c>
      <c r="H5" s="4">
        <f>IFERROR(AVERAGEIFS('Interacciones'!$K$2:$K$113,'Interacciones'!$D$2:$D$113,$A5,'Interacciones'!$E$2:$E$113,$B5),"")</f>
        <v>0.013625</v>
      </c>
      <c r="I5" s="4" t="str">
        <f>IFERROR(AVERAGEIFS('Interacciones'!$L$2:$L$113,'Interacciones'!$D$2:$D$113,$A5,'Interacciones'!$E$2:$E$113,$B5),"")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COUNTIFS('Interacciones'!$D$2:$D$113,$A6,'Interacciones'!$E$2:$E$113,$B6)</f>
        <v>6</v>
      </c>
      <c r="D6" s="0">
        <f>COUNTIFS('Interacciones'!$D$2:$D$113,$A6,'Interacciones'!$E$2:$E$113,$B6,'Interacciones'!$F$2:$F$113,"Success")</f>
        <v>4</v>
      </c>
      <c r="E6" s="0">
        <f>COUNTIFS('Interacciones'!$D$2:$D$113,$A6,'Interacciones'!$E$2:$E$113,$B6,'Interacciones'!$F$2:$F$113,"Failed")</f>
        <v>0</v>
      </c>
      <c r="F6" s="0">
        <f>COUNTIFS('Interacciones'!$D$2:$D$113,$A6,'Interacciones'!$E$2:$E$113,$B6,'Interacciones'!$F$2:$F$113,"Missed")</f>
        <v>2</v>
      </c>
      <c r="G6" s="3">
        <f>IFERROR(D6/C6,0)</f>
        <v>0.6666666666666666</v>
      </c>
      <c r="H6" s="4" t="str">
        <f>IFERROR(AVERAGEIFS('Interacciones'!$K$2:$K$113,'Interacciones'!$D$2:$D$113,$A6,'Interacciones'!$E$2:$E$113,$B6),"")</f>
        <v/>
      </c>
      <c r="I6" s="4" t="str">
        <f>IFERROR(AVERAGEIFS('Interacciones'!$L$2:$L$113,'Interacciones'!$D$2:$D$113,$A6,'Interacciones'!$E$2:$E$113,$B6),"")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COUNTIFS('Interacciones'!$D$2:$D$113,$A7,'Interacciones'!$E$2:$E$113,$B7)</f>
        <v>15</v>
      </c>
      <c r="D7" s="6">
        <f>COUNTIFS('Interacciones'!$D$2:$D$113,$A7,'Interacciones'!$E$2:$E$113,$B7,'Interacciones'!$F$2:$F$113,"Success")</f>
        <v>8</v>
      </c>
      <c r="E7" s="6">
        <f>COUNTIFS('Interacciones'!$D$2:$D$113,$A7,'Interacciones'!$E$2:$E$113,$B7,'Interacciones'!$F$2:$F$113,"Failed")</f>
        <v>5</v>
      </c>
      <c r="F7" s="6">
        <f>COUNTIFS('Interacciones'!$D$2:$D$113,$A7,'Interacciones'!$E$2:$E$113,$B7,'Interacciones'!$F$2:$F$113,"Missed")</f>
        <v>2</v>
      </c>
      <c r="G7" s="3">
        <f>IFERROR(D7/C7,0)</f>
        <v>0.5333333333333333</v>
      </c>
      <c r="H7" s="4">
        <f>IFERROR(AVERAGEIFS('Interacciones'!$K$2:$K$113,'Interacciones'!$D$2:$D$113,$A7,'Interacciones'!$E$2:$E$113,$B7),"")</f>
        <v>0.0709375</v>
      </c>
      <c r="I7" s="4" t="str">
        <f>IFERROR(AVERAGEIFS('Interacciones'!$L$2:$L$113,'Interacciones'!$D$2:$D$113,$A7,'Interacciones'!$E$2:$E$113,$B7),"")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COUNTIFS('Interacciones'!$D$2:$D$113,$A8,'Interacciones'!$E$2:$E$113,$B8)</f>
        <v>4</v>
      </c>
      <c r="D8" s="0">
        <f>COUNTIFS('Interacciones'!$D$2:$D$113,$A8,'Interacciones'!$E$2:$E$113,$B8,'Interacciones'!$F$2:$F$113,"Success")</f>
        <v>0</v>
      </c>
      <c r="E8" s="0">
        <f>COUNTIFS('Interacciones'!$D$2:$D$113,$A8,'Interacciones'!$E$2:$E$113,$B8,'Interacciones'!$F$2:$F$113,"Failed")</f>
        <v>4</v>
      </c>
      <c r="F8" s="0">
        <f>COUNTIFS('Interacciones'!$D$2:$D$113,$A8,'Interacciones'!$E$2:$E$113,$B8,'Interacciones'!$F$2:$F$113,"Missed")</f>
        <v>0</v>
      </c>
      <c r="G8" s="3">
        <f>IFERROR(D8/C8,0)</f>
        <v>0.0</v>
      </c>
      <c r="H8" s="4" t="str">
        <f>IFERROR(AVERAGEIFS('Interacciones'!$K$2:$K$113,'Interacciones'!$D$2:$D$113,$A8,'Interacciones'!$E$2:$E$113,$B8),"")</f>
        <v/>
      </c>
      <c r="I8" s="4" t="str">
        <f>IFERROR(AVERAGEIFS('Interacciones'!$L$2:$L$113,'Interacciones'!$D$2:$D$113,$A8,'Interacciones'!$E$2:$E$113,$B8),"")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COUNTIFS('Interacciones'!$D$2:$D$113,$A9,'Interacciones'!$E$2:$E$113,$B9)</f>
        <v>7</v>
      </c>
      <c r="D9" s="6">
        <f>COUNTIFS('Interacciones'!$D$2:$D$113,$A9,'Interacciones'!$E$2:$E$113,$B9,'Interacciones'!$F$2:$F$113,"Success")</f>
        <v>2</v>
      </c>
      <c r="E9" s="6">
        <f>COUNTIFS('Interacciones'!$D$2:$D$113,$A9,'Interacciones'!$E$2:$E$113,$B9,'Interacciones'!$F$2:$F$113,"Failed")</f>
        <v>4</v>
      </c>
      <c r="F9" s="6">
        <f>COUNTIFS('Interacciones'!$D$2:$D$113,$A9,'Interacciones'!$E$2:$E$113,$B9,'Interacciones'!$F$2:$F$113,"Missed")</f>
        <v>1</v>
      </c>
      <c r="G9" s="3">
        <f>IFERROR(D9/C9,0)</f>
        <v>0.2857142857142857</v>
      </c>
      <c r="H9" s="4">
        <f>IFERROR(AVERAGEIFS('Interacciones'!$K$2:$K$113,'Interacciones'!$D$2:$D$113,$A9,'Interacciones'!$E$2:$E$113,$B9),"")</f>
        <v>0.13058333333333333</v>
      </c>
      <c r="I9" s="4" t="str">
        <f>IFERROR(AVERAGEIFS('Interacciones'!$L$2:$L$113,'Interacciones'!$D$2:$D$113,$A9,'Interacciones'!$E$2:$E$113,$B9),"")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COUNTIFS('Interacciones'!$D$2:$D$113,$A10,'Interacciones'!$E$2:$E$113,$B10)</f>
        <v>13</v>
      </c>
      <c r="D10" s="0">
        <f>COUNTIFS('Interacciones'!$D$2:$D$113,$A10,'Interacciones'!$E$2:$E$113,$B10,'Interacciones'!$F$2:$F$113,"Success")</f>
        <v>13</v>
      </c>
      <c r="E10" s="0">
        <f>COUNTIFS('Interacciones'!$D$2:$D$113,$A10,'Interacciones'!$E$2:$E$113,$B10,'Interacciones'!$F$2:$F$113,"Failed")</f>
        <v>0</v>
      </c>
      <c r="F10" s="0">
        <f>COUNTIFS('Interacciones'!$D$2:$D$113,$A10,'Interacciones'!$E$2:$E$113,$B10,'Interacciones'!$F$2:$F$113,"Missed")</f>
        <v>0</v>
      </c>
      <c r="G10" s="3">
        <f>IFERROR(D10/C10,0)</f>
        <v>1.0</v>
      </c>
      <c r="H10" s="4">
        <f>IFERROR(AVERAGEIFS('Interacciones'!$K$2:$K$113,'Interacciones'!$D$2:$D$113,$A10,'Interacciones'!$E$2:$E$113,$B10),"")</f>
        <v>0.0722</v>
      </c>
      <c r="I10" s="4" t="str">
        <f>IFERROR(AVERAGEIFS('Interacciones'!$L$2:$L$113,'Interacciones'!$D$2:$D$113,$A10,'Interacciones'!$E$2:$E$113,$B10),"")</f>
        <v/>
      </c>
    </row>
    <row r="11" ht="17" customHeight="1">
      <c r="A11" s="6" t="inlineStr">
        <is>
          <t>JuanAndres</t>
        </is>
      </c>
      <c r="B11" s="6" t="inlineStr">
        <is>
          <t>GroomStroke</t>
        </is>
      </c>
      <c r="C11" s="6">
        <f>COUNTIFS('Interacciones'!$D$2:$D$113,$A11,'Interacciones'!$E$2:$E$113,$B11)</f>
        <v>20</v>
      </c>
      <c r="D11" s="6">
        <f>COUNTIFS('Interacciones'!$D$2:$D$113,$A11,'Interacciones'!$E$2:$E$113,$B11,'Interacciones'!$F$2:$F$113,"Success")</f>
        <v>7</v>
      </c>
      <c r="E11" s="6">
        <f>COUNTIFS('Interacciones'!$D$2:$D$113,$A11,'Interacciones'!$E$2:$E$113,$B11,'Interacciones'!$F$2:$F$113,"Failed")</f>
        <v>12</v>
      </c>
      <c r="F11" s="6">
        <f>COUNTIFS('Interacciones'!$D$2:$D$113,$A11,'Interacciones'!$E$2:$E$113,$B11,'Interacciones'!$F$2:$F$113,"Missed")</f>
        <v>1</v>
      </c>
      <c r="G11" s="3">
        <f>IFERROR(D11/C11,0)</f>
        <v>0.35</v>
      </c>
      <c r="H11" s="4">
        <f>IFERROR(AVERAGEIFS('Interacciones'!$K$2:$K$113,'Interacciones'!$D$2:$D$113,$A11,'Interacciones'!$E$2:$E$113,$B11),"")</f>
        <v>0.7798368421052632</v>
      </c>
      <c r="I11" s="4" t="str">
        <f>IFERROR(AVERAGEIFS('Interacciones'!$L$2:$L$113,'Interacciones'!$D$2:$D$113,$A11,'Interacciones'!$E$2:$E$113,$B11),"")</f>
        <v/>
      </c>
    </row>
    <row r="12" ht="17" customHeight="1">
      <c r="A12" s="0" t="inlineStr">
        <is>
          <t>Shipi</t>
        </is>
      </c>
      <c r="B12" s="0" t="inlineStr">
        <is>
          <t>FoodClear</t>
        </is>
      </c>
      <c r="C12" s="0">
        <f>COUNTIFS('Interacciones'!$D$2:$D$113,$A12,'Interacciones'!$E$2:$E$113,$B12)</f>
        <v>2</v>
      </c>
      <c r="D12" s="0">
        <f>COUNTIFS('Interacciones'!$D$2:$D$113,$A12,'Interacciones'!$E$2:$E$113,$B12,'Interacciones'!$F$2:$F$113,"Success")</f>
        <v>2</v>
      </c>
      <c r="E12" s="0">
        <f>COUNTIFS('Interacciones'!$D$2:$D$113,$A12,'Interacciones'!$E$2:$E$113,$B12,'Interacciones'!$F$2:$F$113,"Failed")</f>
        <v>0</v>
      </c>
      <c r="F12" s="0">
        <f>COUNTIFS('Interacciones'!$D$2:$D$113,$A12,'Interacciones'!$E$2:$E$113,$B12,'Interacciones'!$F$2:$F$113,"Missed")</f>
        <v>0</v>
      </c>
      <c r="G12" s="3">
        <f>IFERROR(D12/C12,0)</f>
        <v>1.0</v>
      </c>
      <c r="H12" s="4" t="str">
        <f>IFERROR(AVERAGEIFS('Interacciones'!$K$2:$K$113,'Interacciones'!$D$2:$D$113,$A12,'Interacciones'!$E$2:$E$113,$B12),"")</f>
        <v/>
      </c>
      <c r="I12" s="4" t="str">
        <f>IFERROR(AVERAGEIFS('Interacciones'!$L$2:$L$113,'Interacciones'!$D$2:$D$113,$A12,'Interacciones'!$E$2:$E$113,$B12),"")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COUNTIFS('Interacciones'!$D$2:$D$113,$A13,'Interacciones'!$E$2:$E$113,$B13)</f>
        <v>14</v>
      </c>
      <c r="D13" s="6">
        <f>COUNTIFS('Interacciones'!$D$2:$D$113,$A13,'Interacciones'!$E$2:$E$113,$B13,'Interacciones'!$F$2:$F$113,"Success")</f>
        <v>5</v>
      </c>
      <c r="E13" s="6">
        <f>COUNTIFS('Interacciones'!$D$2:$D$113,$A13,'Interacciones'!$E$2:$E$113,$B13,'Interacciones'!$F$2:$F$113,"Failed")</f>
        <v>7</v>
      </c>
      <c r="F13" s="6">
        <f>COUNTIFS('Interacciones'!$D$2:$D$113,$A13,'Interacciones'!$E$2:$E$113,$B13,'Interacciones'!$F$2:$F$113,"Missed")</f>
        <v>2</v>
      </c>
      <c r="G13" s="3">
        <f>IFERROR(D13/C13,0)</f>
        <v>0.35714285714285715</v>
      </c>
      <c r="H13" s="4">
        <f>IFERROR(AVERAGEIFS('Interacciones'!$K$2:$K$113,'Interacciones'!$D$2:$D$113,$A13,'Interacciones'!$E$2:$E$113,$B13),"")</f>
        <v>0.28933</v>
      </c>
      <c r="I13" s="4">
        <f>IFERROR(AVERAGEIFS('Interacciones'!$L$2:$L$113,'Interacciones'!$D$2:$D$113,$A13,'Interacciones'!$E$2:$E$113,$B13),"")</f>
        <v>0.74205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13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P028</t>
        </is>
      </c>
      <c r="C2" s="0" t="inlineStr">
        <is>
          <t>2026-10-02 15:37:47.120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P028</t>
        </is>
      </c>
      <c r="C3" s="6" t="inlineStr">
        <is>
          <t>2026-10-02 15:37:47.859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P3" s="6">
        <v>9</v>
      </c>
    </row>
    <row r="4" ht="17" customHeight="1">
      <c r="A4" s="0">
        <v>5</v>
      </c>
      <c r="B4" s="0" t="inlineStr">
        <is>
          <t>P028</t>
        </is>
      </c>
      <c r="C4" s="0" t="inlineStr">
        <is>
          <t>2026-10-02 15:37:47.873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P028</t>
        </is>
      </c>
      <c r="C5" s="6" t="inlineStr">
        <is>
          <t>2026-10-02 15:37:48.930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Missed</t>
        </is>
      </c>
      <c r="G5" s="6" t="inlineStr">
        <is>
          <t>Normal</t>
        </is>
      </c>
      <c r="H5" s="4">
        <v>2.432</v>
      </c>
      <c r="P5" s="6">
        <v>11</v>
      </c>
    </row>
    <row r="6" ht="17" customHeight="1">
      <c r="A6" s="0">
        <v>7</v>
      </c>
      <c r="B6" s="0" t="inlineStr">
        <is>
          <t>P028</t>
        </is>
      </c>
      <c r="C6" s="0" t="inlineStr">
        <is>
          <t>2026-10-02 15:37:49.390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Failed</t>
        </is>
      </c>
      <c r="G6" s="0" t="inlineStr">
        <is>
          <t>Normal</t>
        </is>
      </c>
      <c r="H6" s="4">
        <v>3.2</v>
      </c>
      <c r="I6" s="4">
        <v>3.2155</v>
      </c>
      <c r="J6" s="4">
        <v>0.0155</v>
      </c>
      <c r="K6" s="4">
        <v>0.0155</v>
      </c>
      <c r="P6" s="0">
        <v>12</v>
      </c>
    </row>
    <row r="7" ht="17" customHeight="1">
      <c r="A7" s="6">
        <v>8</v>
      </c>
      <c r="B7" s="6" t="inlineStr">
        <is>
          <t>P028</t>
        </is>
      </c>
      <c r="C7" s="6" t="inlineStr">
        <is>
          <t>2026-10-02 15:37:49.697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12</v>
      </c>
      <c r="B8" s="0" t="inlineStr">
        <is>
          <t>P028</t>
        </is>
      </c>
      <c r="C8" s="0" t="inlineStr">
        <is>
          <t>2026-10-02 15:37:50.198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Easy</t>
        </is>
      </c>
      <c r="H8" s="4">
        <v>3.968</v>
      </c>
      <c r="I8" s="4">
        <v>4.0093</v>
      </c>
      <c r="J8" s="4">
        <v>0.0413</v>
      </c>
      <c r="K8" s="4">
        <v>0.0413</v>
      </c>
      <c r="P8" s="0">
        <v>17</v>
      </c>
    </row>
    <row r="9" ht="17" customHeight="1">
      <c r="A9" s="6">
        <v>13</v>
      </c>
      <c r="B9" s="6" t="inlineStr">
        <is>
          <t>P028</t>
        </is>
      </c>
      <c r="C9" s="6" t="inlineStr">
        <is>
          <t>2026-10-02 15:37:51.716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Failed</t>
        </is>
      </c>
      <c r="G9" s="6" t="inlineStr">
        <is>
          <t>Easy</t>
        </is>
      </c>
      <c r="H9" s="4">
        <v>5.504</v>
      </c>
      <c r="I9" s="4">
        <v>5.5407</v>
      </c>
      <c r="J9" s="4">
        <v>0.0367</v>
      </c>
      <c r="K9" s="4">
        <v>0.0367</v>
      </c>
      <c r="P9" s="6">
        <v>18</v>
      </c>
    </row>
    <row r="10" ht="17" customHeight="1">
      <c r="A10" s="0">
        <v>14</v>
      </c>
      <c r="B10" s="0" t="inlineStr">
        <is>
          <t>P028</t>
        </is>
      </c>
      <c r="C10" s="0" t="inlineStr">
        <is>
          <t>2026-10-02 15:37:51.716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Easy</t>
        </is>
      </c>
      <c r="H10" s="4">
        <v>5.504</v>
      </c>
      <c r="I10" s="4">
        <v>5.5407</v>
      </c>
      <c r="J10" s="4">
        <v>0.0367</v>
      </c>
      <c r="K10" s="4">
        <v>0.0367</v>
      </c>
      <c r="P10" s="0">
        <v>19</v>
      </c>
    </row>
    <row r="11" ht="17" customHeight="1">
      <c r="A11" s="6">
        <v>15</v>
      </c>
      <c r="B11" s="6" t="inlineStr">
        <is>
          <t>P028</t>
        </is>
      </c>
      <c r="C11" s="6" t="inlineStr">
        <is>
          <t>2026-10-02 15:37:53.234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Easy</t>
        </is>
      </c>
      <c r="H11" s="4">
        <v>7.04</v>
      </c>
      <c r="I11" s="4">
        <v>7.0583</v>
      </c>
      <c r="J11" s="4">
        <v>0.0183</v>
      </c>
      <c r="K11" s="4">
        <v>0.0183</v>
      </c>
      <c r="P11" s="6">
        <v>20</v>
      </c>
    </row>
    <row r="12" ht="17" customHeight="1">
      <c r="A12" s="0">
        <v>16</v>
      </c>
      <c r="B12" s="0" t="inlineStr">
        <is>
          <t>P028</t>
        </is>
      </c>
      <c r="C12" s="0" t="inlineStr">
        <is>
          <t>2026-10-02 15:37:53.274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Easy</t>
        </is>
      </c>
      <c r="H12" s="4">
        <v>7.04</v>
      </c>
      <c r="P12" s="0">
        <v>21</v>
      </c>
    </row>
    <row r="13" ht="17" customHeight="1">
      <c r="A13" s="6">
        <v>17</v>
      </c>
      <c r="B13" s="6" t="inlineStr">
        <is>
          <t>P028</t>
        </is>
      </c>
      <c r="C13" s="6" t="inlineStr">
        <is>
          <t>2026-10-02 15:37:54.750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Failed</t>
        </is>
      </c>
      <c r="G13" s="6" t="inlineStr">
        <is>
          <t>Easy</t>
        </is>
      </c>
      <c r="H13" s="4">
        <v>8.576</v>
      </c>
      <c r="I13" s="4">
        <v>8.576</v>
      </c>
      <c r="J13" s="4">
        <v>0.0</v>
      </c>
      <c r="K13" s="4">
        <v>0.0</v>
      </c>
      <c r="P13" s="6">
        <v>22</v>
      </c>
    </row>
    <row r="14" ht="17" customHeight="1">
      <c r="A14" s="0">
        <v>18</v>
      </c>
      <c r="B14" s="0" t="inlineStr">
        <is>
          <t>P028</t>
        </is>
      </c>
      <c r="C14" s="0" t="inlineStr">
        <is>
          <t>2026-10-02 15:37:54.752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Easy</t>
        </is>
      </c>
      <c r="H14" s="4">
        <v>8.576</v>
      </c>
      <c r="I14" s="4">
        <v>8.576</v>
      </c>
      <c r="J14" s="4">
        <v>0.0</v>
      </c>
      <c r="K14" s="4">
        <v>0.0</v>
      </c>
      <c r="P14" s="0">
        <v>23</v>
      </c>
    </row>
    <row r="15" ht="17" customHeight="1">
      <c r="A15" s="6">
        <v>19</v>
      </c>
      <c r="B15" s="6" t="inlineStr">
        <is>
          <t>P028</t>
        </is>
      </c>
      <c r="C15" s="6" t="inlineStr">
        <is>
          <t>2026-10-02 15:37:56.296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Easy</t>
        </is>
      </c>
      <c r="H15" s="4">
        <v>10.112</v>
      </c>
      <c r="I15" s="4">
        <v>10.1214</v>
      </c>
      <c r="J15" s="4">
        <v>0.0094</v>
      </c>
      <c r="K15" s="4">
        <v>0.0094</v>
      </c>
      <c r="P15" s="6">
        <v>24</v>
      </c>
    </row>
    <row r="16" ht="17" customHeight="1">
      <c r="A16" s="0">
        <v>20</v>
      </c>
      <c r="B16" s="0" t="inlineStr">
        <is>
          <t>P028</t>
        </is>
      </c>
      <c r="C16" s="0" t="inlineStr">
        <is>
          <t>2026-10-02 15:37:56.323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Failed</t>
        </is>
      </c>
      <c r="G16" s="0" t="inlineStr">
        <is>
          <t>Easy</t>
        </is>
      </c>
      <c r="H16" s="4">
        <v>10.112</v>
      </c>
      <c r="P16" s="0">
        <v>25</v>
      </c>
    </row>
    <row r="17" ht="17" customHeight="1">
      <c r="A17" s="6">
        <v>21</v>
      </c>
      <c r="B17" s="6" t="inlineStr">
        <is>
          <t>P028</t>
        </is>
      </c>
      <c r="C17" s="6" t="inlineStr">
        <is>
          <t>2026-10-02 15:37:57.814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Failed</t>
        </is>
      </c>
      <c r="G17" s="6" t="inlineStr">
        <is>
          <t>Easy</t>
        </is>
      </c>
      <c r="H17" s="4">
        <v>11.648</v>
      </c>
      <c r="I17" s="4">
        <v>11.6384</v>
      </c>
      <c r="J17" s="4">
        <v>-0.0096</v>
      </c>
      <c r="K17" s="4">
        <v>0.0096</v>
      </c>
      <c r="P17" s="6">
        <v>26</v>
      </c>
    </row>
    <row r="18" ht="17" customHeight="1">
      <c r="A18" s="0">
        <v>22</v>
      </c>
      <c r="B18" s="0" t="inlineStr">
        <is>
          <t>P028</t>
        </is>
      </c>
      <c r="C18" s="0" t="inlineStr">
        <is>
          <t>2026-10-02 15:37:57.842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Failed</t>
        </is>
      </c>
      <c r="G18" s="0" t="inlineStr">
        <is>
          <t>Easy</t>
        </is>
      </c>
      <c r="H18" s="4">
        <v>11.648</v>
      </c>
      <c r="I18" s="4">
        <v>11.6664</v>
      </c>
      <c r="J18" s="4">
        <v>0.0184</v>
      </c>
      <c r="K18" s="4">
        <v>0.0184</v>
      </c>
      <c r="P18" s="0">
        <v>27</v>
      </c>
    </row>
    <row r="19" ht="17" customHeight="1">
      <c r="A19" s="6">
        <v>24</v>
      </c>
      <c r="B19" s="6" t="inlineStr">
        <is>
          <t>P028</t>
        </is>
      </c>
      <c r="C19" s="6" t="inlineStr">
        <is>
          <t>2026-10-02 15:37:59.359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H19" s="4">
        <v>13.184</v>
      </c>
      <c r="I19" s="4">
        <v>13.17</v>
      </c>
      <c r="J19" s="4">
        <v>-0.014</v>
      </c>
      <c r="K19" s="4">
        <v>0.014</v>
      </c>
      <c r="P19" s="6">
        <v>29</v>
      </c>
    </row>
    <row r="20" ht="17" customHeight="1">
      <c r="A20" s="0">
        <v>25</v>
      </c>
      <c r="B20" s="0" t="inlineStr">
        <is>
          <t>P028</t>
        </is>
      </c>
      <c r="C20" s="0" t="inlineStr">
        <is>
          <t>2026-10-02 15:37:59.360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Easy</t>
        </is>
      </c>
      <c r="H20" s="4">
        <v>13.184</v>
      </c>
      <c r="P20" s="0">
        <v>30</v>
      </c>
    </row>
    <row r="21" ht="17" customHeight="1">
      <c r="A21" s="6">
        <v>26</v>
      </c>
      <c r="B21" s="6" t="inlineStr">
        <is>
          <t>P028</t>
        </is>
      </c>
      <c r="C21" s="6" t="inlineStr">
        <is>
          <t>2026-10-02 15:38:00.877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Easy</t>
        </is>
      </c>
      <c r="H21" s="4">
        <v>14.72</v>
      </c>
      <c r="I21" s="4">
        <v>14.702</v>
      </c>
      <c r="J21" s="4">
        <v>-0.018</v>
      </c>
      <c r="K21" s="4">
        <v>0.018</v>
      </c>
      <c r="P21" s="6">
        <v>31</v>
      </c>
    </row>
    <row r="22" ht="17" customHeight="1">
      <c r="A22" s="0">
        <v>27</v>
      </c>
      <c r="B22" s="0" t="inlineStr">
        <is>
          <t>P028</t>
        </is>
      </c>
      <c r="C22" s="0" t="inlineStr">
        <is>
          <t>2026-10-02 15:38:00.878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Easy</t>
        </is>
      </c>
      <c r="H22" s="4">
        <v>14.72</v>
      </c>
      <c r="I22" s="4">
        <v>14.702</v>
      </c>
      <c r="J22" s="4">
        <v>-0.018</v>
      </c>
      <c r="K22" s="4">
        <v>0.018</v>
      </c>
      <c r="P22" s="0">
        <v>32</v>
      </c>
    </row>
    <row r="23" ht="17" customHeight="1">
      <c r="A23" s="6">
        <v>28</v>
      </c>
      <c r="B23" s="6" t="inlineStr">
        <is>
          <t>P028</t>
        </is>
      </c>
      <c r="C23" s="6" t="inlineStr">
        <is>
          <t>2026-10-02 15:38:02.436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Easy</t>
        </is>
      </c>
      <c r="H23" s="4">
        <v>16.256</v>
      </c>
      <c r="I23" s="4">
        <v>16.2621</v>
      </c>
      <c r="J23" s="4">
        <v>0.0061</v>
      </c>
      <c r="K23" s="4">
        <v>0.0061</v>
      </c>
      <c r="P23" s="6">
        <v>33</v>
      </c>
    </row>
    <row r="24" ht="17" customHeight="1">
      <c r="A24" s="0">
        <v>29</v>
      </c>
      <c r="B24" s="0" t="inlineStr">
        <is>
          <t>P028</t>
        </is>
      </c>
      <c r="C24" s="0" t="inlineStr">
        <is>
          <t>2026-10-02 15:38:03.954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Easy</t>
        </is>
      </c>
      <c r="H24" s="4">
        <v>17.792</v>
      </c>
      <c r="I24" s="4">
        <v>17.7799</v>
      </c>
      <c r="J24" s="4">
        <v>-0.0121</v>
      </c>
      <c r="K24" s="4">
        <v>0.0121</v>
      </c>
      <c r="P24" s="0">
        <v>34</v>
      </c>
    </row>
    <row r="25" ht="17" customHeight="1">
      <c r="A25" s="6">
        <v>30</v>
      </c>
      <c r="B25" s="6" t="inlineStr">
        <is>
          <t>P028</t>
        </is>
      </c>
      <c r="C25" s="6" t="inlineStr">
        <is>
          <t>2026-10-02 15:38:03.956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Failed</t>
        </is>
      </c>
      <c r="G25" s="6" t="inlineStr">
        <is>
          <t>Easy</t>
        </is>
      </c>
      <c r="H25" s="4">
        <v>17.792</v>
      </c>
      <c r="I25" s="4">
        <v>17.7799</v>
      </c>
      <c r="J25" s="4">
        <v>-0.0121</v>
      </c>
      <c r="K25" s="4">
        <v>0.0121</v>
      </c>
      <c r="P25" s="6">
        <v>35</v>
      </c>
    </row>
    <row r="26" ht="17" customHeight="1">
      <c r="A26" s="0">
        <v>31</v>
      </c>
      <c r="B26" s="0" t="inlineStr">
        <is>
          <t>P028</t>
        </is>
      </c>
      <c r="C26" s="0" t="inlineStr">
        <is>
          <t>2026-10-02 15:38:05.513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Easy</t>
        </is>
      </c>
      <c r="H26" s="4">
        <v>19.328</v>
      </c>
      <c r="I26" s="4">
        <v>19.3387</v>
      </c>
      <c r="J26" s="4">
        <v>0.0107</v>
      </c>
      <c r="K26" s="4">
        <v>0.0107</v>
      </c>
      <c r="P26" s="0">
        <v>36</v>
      </c>
    </row>
    <row r="27" ht="17" customHeight="1">
      <c r="A27" s="6">
        <v>32</v>
      </c>
      <c r="B27" s="6" t="inlineStr">
        <is>
          <t>P028</t>
        </is>
      </c>
      <c r="C27" s="6" t="inlineStr">
        <is>
          <t>2026-10-02 15:38:07.018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Easy</t>
        </is>
      </c>
      <c r="H27" s="4">
        <v>20.864</v>
      </c>
      <c r="I27" s="4">
        <v>20.8423</v>
      </c>
      <c r="J27" s="4">
        <v>-0.0217</v>
      </c>
      <c r="K27" s="4">
        <v>0.0217</v>
      </c>
      <c r="P27" s="6">
        <v>37</v>
      </c>
    </row>
    <row r="28" ht="17" customHeight="1">
      <c r="A28" s="0">
        <v>33</v>
      </c>
      <c r="B28" s="0" t="inlineStr">
        <is>
          <t>P028</t>
        </is>
      </c>
      <c r="C28" s="0" t="inlineStr">
        <is>
          <t>2026-10-02 15:38:07.018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H28" s="4">
        <v>20.864</v>
      </c>
      <c r="I28" s="4">
        <v>20.8423</v>
      </c>
      <c r="J28" s="4">
        <v>-0.0217</v>
      </c>
      <c r="K28" s="4">
        <v>0.0217</v>
      </c>
      <c r="P28" s="0">
        <v>38</v>
      </c>
    </row>
    <row r="29" ht="17" customHeight="1">
      <c r="A29" s="6">
        <v>34</v>
      </c>
      <c r="B29" s="6" t="inlineStr">
        <is>
          <t>P028</t>
        </is>
      </c>
      <c r="C29" s="6" t="inlineStr">
        <is>
          <t>2026-10-02 15:38:08.591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Easy</t>
        </is>
      </c>
      <c r="H29" s="4">
        <v>22.4</v>
      </c>
      <c r="I29" s="4">
        <v>22.4162</v>
      </c>
      <c r="J29" s="4">
        <v>0.0162</v>
      </c>
      <c r="K29" s="4">
        <v>0.0162</v>
      </c>
      <c r="P29" s="6">
        <v>39</v>
      </c>
    </row>
    <row r="30" ht="17" customHeight="1">
      <c r="A30" s="0">
        <v>35</v>
      </c>
      <c r="B30" s="0" t="inlineStr">
        <is>
          <t>P028</t>
        </is>
      </c>
      <c r="C30" s="0" t="inlineStr">
        <is>
          <t>2026-10-02 15:38:10.109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Easy</t>
        </is>
      </c>
      <c r="H30" s="4">
        <v>23.936</v>
      </c>
      <c r="I30" s="4">
        <v>23.9334</v>
      </c>
      <c r="J30" s="4">
        <v>-0.0026</v>
      </c>
      <c r="K30" s="4">
        <v>0.0026</v>
      </c>
      <c r="P30" s="0">
        <v>40</v>
      </c>
    </row>
    <row r="31" ht="17" customHeight="1">
      <c r="A31" s="6">
        <v>37</v>
      </c>
      <c r="B31" s="6" t="inlineStr">
        <is>
          <t>P028</t>
        </is>
      </c>
      <c r="C31" s="6" t="inlineStr">
        <is>
          <t>2026-10-02 15:38:10.110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Failed</t>
        </is>
      </c>
      <c r="G31" s="6" t="inlineStr">
        <is>
          <t>Easy</t>
        </is>
      </c>
      <c r="H31" s="4">
        <v>23.936</v>
      </c>
      <c r="I31" s="4">
        <v>23.9334</v>
      </c>
      <c r="J31" s="4">
        <v>-0.0026</v>
      </c>
      <c r="K31" s="4">
        <v>0.0026</v>
      </c>
      <c r="P31" s="6">
        <v>42</v>
      </c>
    </row>
    <row r="32" ht="17" customHeight="1">
      <c r="A32" s="0">
        <v>38</v>
      </c>
      <c r="B32" s="0" t="inlineStr">
        <is>
          <t>P028</t>
        </is>
      </c>
      <c r="C32" s="0" t="inlineStr">
        <is>
          <t>2026-10-02 15:38:11.667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Easy</t>
        </is>
      </c>
      <c r="H32" s="4">
        <v>25.472</v>
      </c>
      <c r="I32" s="4">
        <v>25.4923</v>
      </c>
      <c r="J32" s="4">
        <v>0.0203</v>
      </c>
      <c r="K32" s="4">
        <v>0.0203</v>
      </c>
      <c r="P32" s="0">
        <v>43</v>
      </c>
    </row>
    <row r="33" ht="17" customHeight="1">
      <c r="A33" s="6">
        <v>39</v>
      </c>
      <c r="B33" s="6" t="inlineStr">
        <is>
          <t>P028</t>
        </is>
      </c>
      <c r="C33" s="6" t="inlineStr">
        <is>
          <t>2026-10-02 15:38:13.184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Failed</t>
        </is>
      </c>
      <c r="G33" s="6" t="inlineStr">
        <is>
          <t>Easy</t>
        </is>
      </c>
      <c r="H33" s="4">
        <v>27.008</v>
      </c>
      <c r="I33" s="4">
        <v>27.0101</v>
      </c>
      <c r="J33" s="4">
        <v>0.0021</v>
      </c>
      <c r="K33" s="4">
        <v>0.0021</v>
      </c>
      <c r="P33" s="6">
        <v>44</v>
      </c>
    </row>
    <row r="34" ht="17" customHeight="1">
      <c r="A34" s="0">
        <v>40</v>
      </c>
      <c r="B34" s="0" t="inlineStr">
        <is>
          <t>P028</t>
        </is>
      </c>
      <c r="C34" s="0" t="inlineStr">
        <is>
          <t>2026-10-02 15:38:13.199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Easy</t>
        </is>
      </c>
      <c r="H34" s="4">
        <v>27.008</v>
      </c>
      <c r="I34" s="4">
        <v>27.0101</v>
      </c>
      <c r="J34" s="4">
        <v>0.0021</v>
      </c>
      <c r="K34" s="4">
        <v>0.0021</v>
      </c>
      <c r="P34" s="0">
        <v>45</v>
      </c>
    </row>
    <row r="35" ht="17" customHeight="1">
      <c r="A35" s="6">
        <v>41</v>
      </c>
      <c r="B35" s="6" t="inlineStr">
        <is>
          <t>P028</t>
        </is>
      </c>
      <c r="C35" s="6" t="inlineStr">
        <is>
          <t>2026-10-02 15:38:14.730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H35" s="4">
        <v>28.544</v>
      </c>
      <c r="I35" s="4">
        <v>28.5417</v>
      </c>
      <c r="J35" s="4">
        <v>-0.0023</v>
      </c>
      <c r="K35" s="4">
        <v>0.0023</v>
      </c>
      <c r="P35" s="6">
        <v>46</v>
      </c>
    </row>
    <row r="36" ht="17" customHeight="1">
      <c r="A36" s="0">
        <v>42</v>
      </c>
      <c r="B36" s="0" t="inlineStr">
        <is>
          <t>P028</t>
        </is>
      </c>
      <c r="C36" s="0" t="inlineStr">
        <is>
          <t>2026-10-02 15:38:14.771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Success</t>
        </is>
      </c>
      <c r="G36" s="0" t="inlineStr">
        <is>
          <t>Easy</t>
        </is>
      </c>
      <c r="H36" s="4">
        <v>28.544</v>
      </c>
      <c r="P36" s="0">
        <v>47</v>
      </c>
    </row>
    <row r="37" ht="17" customHeight="1">
      <c r="A37" s="6">
        <v>43</v>
      </c>
      <c r="B37" s="6" t="inlineStr">
        <is>
          <t>P028</t>
        </is>
      </c>
      <c r="C37" s="6" t="inlineStr">
        <is>
          <t>2026-10-02 15:38:16.248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Failed</t>
        </is>
      </c>
      <c r="G37" s="6" t="inlineStr">
        <is>
          <t>Easy</t>
        </is>
      </c>
      <c r="H37" s="4">
        <v>30.08</v>
      </c>
      <c r="I37" s="4">
        <v>30.0735</v>
      </c>
      <c r="J37" s="4">
        <v>-0.0065</v>
      </c>
      <c r="K37" s="4">
        <v>0.0065</v>
      </c>
      <c r="P37" s="6">
        <v>48</v>
      </c>
    </row>
    <row r="38" ht="17" customHeight="1">
      <c r="A38" s="0">
        <v>44</v>
      </c>
      <c r="B38" s="0" t="inlineStr">
        <is>
          <t>P028</t>
        </is>
      </c>
      <c r="C38" s="0" t="inlineStr">
        <is>
          <t>2026-10-02 15:38:16.250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Easy</t>
        </is>
      </c>
      <c r="H38" s="4">
        <v>30.08</v>
      </c>
      <c r="I38" s="4">
        <v>30.0735</v>
      </c>
      <c r="J38" s="4">
        <v>-0.0065</v>
      </c>
      <c r="K38" s="4">
        <v>0.0065</v>
      </c>
      <c r="P38" s="0">
        <v>49</v>
      </c>
    </row>
    <row r="39" ht="17" customHeight="1">
      <c r="A39" s="6">
        <v>45</v>
      </c>
      <c r="B39" s="6" t="inlineStr">
        <is>
          <t>P028</t>
        </is>
      </c>
      <c r="C39" s="6" t="inlineStr">
        <is>
          <t>2026-10-02 15:38:20.521</t>
        </is>
      </c>
      <c r="D39" s="6" t="inlineStr">
        <is>
          <t>Joaquin</t>
        </is>
      </c>
      <c r="E39" s="6" t="inlineStr">
        <is>
          <t>GuitarHit</t>
        </is>
      </c>
      <c r="F39" s="6" t="inlineStr">
        <is>
          <t>Success</t>
        </is>
      </c>
      <c r="G39" s="6" t="inlineStr">
        <is>
          <t>Easy</t>
        </is>
      </c>
      <c r="H39" s="4">
        <v>34.304</v>
      </c>
      <c r="I39" s="4">
        <v>34.3323</v>
      </c>
      <c r="J39" s="4">
        <v>0.0283</v>
      </c>
      <c r="K39" s="4">
        <v>0.0283</v>
      </c>
      <c r="P39" s="6">
        <v>50</v>
      </c>
    </row>
    <row r="40" ht="17" customHeight="1">
      <c r="A40" s="0">
        <v>46</v>
      </c>
      <c r="B40" s="0" t="inlineStr">
        <is>
          <t>P028</t>
        </is>
      </c>
      <c r="C40" s="0" t="inlineStr">
        <is>
          <t>2026-10-02 15:38:22.790</t>
        </is>
      </c>
      <c r="D40" s="0" t="inlineStr">
        <is>
          <t>Joaquin</t>
        </is>
      </c>
      <c r="E40" s="0" t="inlineStr">
        <is>
          <t>GuitarHit</t>
        </is>
      </c>
      <c r="F40" s="0" t="inlineStr">
        <is>
          <t>Success</t>
        </is>
      </c>
      <c r="G40" s="0" t="inlineStr">
        <is>
          <t>Easy</t>
        </is>
      </c>
      <c r="H40" s="4">
        <v>36.608</v>
      </c>
      <c r="I40" s="4">
        <v>36.6021</v>
      </c>
      <c r="J40" s="4">
        <v>-0.0059</v>
      </c>
      <c r="K40" s="4">
        <v>0.0059</v>
      </c>
      <c r="P40" s="0">
        <v>51</v>
      </c>
    </row>
    <row r="41" ht="17" customHeight="1">
      <c r="A41" s="6">
        <v>47</v>
      </c>
      <c r="B41" s="6" t="inlineStr">
        <is>
          <t>P028</t>
        </is>
      </c>
      <c r="C41" s="6" t="inlineStr">
        <is>
          <t>2026-10-02 15:38:25.060</t>
        </is>
      </c>
      <c r="D41" s="6" t="inlineStr">
        <is>
          <t>Joaquin</t>
        </is>
      </c>
      <c r="E41" s="6" t="inlineStr">
        <is>
          <t>GuitarHit</t>
        </is>
      </c>
      <c r="F41" s="6" t="inlineStr">
        <is>
          <t>Success</t>
        </is>
      </c>
      <c r="G41" s="6" t="inlineStr">
        <is>
          <t>Easy</t>
        </is>
      </c>
      <c r="H41" s="4">
        <v>38.912</v>
      </c>
      <c r="I41" s="4">
        <v>38.8717</v>
      </c>
      <c r="J41" s="4">
        <v>-0.0403</v>
      </c>
      <c r="K41" s="4">
        <v>0.0403</v>
      </c>
      <c r="P41" s="6">
        <v>52</v>
      </c>
    </row>
    <row r="42" ht="17" customHeight="1">
      <c r="A42" s="0">
        <v>48</v>
      </c>
      <c r="B42" s="0" t="inlineStr">
        <is>
          <t>P028</t>
        </is>
      </c>
      <c r="C42" s="0" t="inlineStr">
        <is>
          <t>2026-10-02 15:38:27.315</t>
        </is>
      </c>
      <c r="D42" s="0" t="inlineStr">
        <is>
          <t>Joaquin</t>
        </is>
      </c>
      <c r="E42" s="0" t="inlineStr">
        <is>
          <t>GuitarHit</t>
        </is>
      </c>
      <c r="F42" s="0" t="inlineStr">
        <is>
          <t>Success</t>
        </is>
      </c>
      <c r="G42" s="0" t="inlineStr">
        <is>
          <t>Easy</t>
        </is>
      </c>
      <c r="H42" s="4">
        <v>41.216</v>
      </c>
      <c r="I42" s="4">
        <v>41.1266</v>
      </c>
      <c r="J42" s="4">
        <v>-0.0894</v>
      </c>
      <c r="K42" s="4">
        <v>0.0894</v>
      </c>
      <c r="P42" s="0">
        <v>53</v>
      </c>
    </row>
    <row r="43" ht="17" customHeight="1">
      <c r="A43" s="6">
        <v>49</v>
      </c>
      <c r="B43" s="6" t="inlineStr">
        <is>
          <t>P028</t>
        </is>
      </c>
      <c r="C43" s="6" t="inlineStr">
        <is>
          <t>2026-10-02 15:38:29.809</t>
        </is>
      </c>
      <c r="D43" s="6" t="inlineStr">
        <is>
          <t>Joaquin</t>
        </is>
      </c>
      <c r="E43" s="6" t="inlineStr">
        <is>
          <t>GuitarHit</t>
        </is>
      </c>
      <c r="F43" s="6" t="inlineStr">
        <is>
          <t>Success</t>
        </is>
      </c>
      <c r="G43" s="6" t="inlineStr">
        <is>
          <t>Easy</t>
        </is>
      </c>
      <c r="H43" s="4">
        <v>43.52</v>
      </c>
      <c r="I43" s="4">
        <v>43.6192</v>
      </c>
      <c r="J43" s="4">
        <v>0.0992</v>
      </c>
      <c r="K43" s="4">
        <v>0.0992</v>
      </c>
      <c r="P43" s="6">
        <v>54</v>
      </c>
    </row>
    <row r="44" ht="17" customHeight="1">
      <c r="A44" s="0">
        <v>50</v>
      </c>
      <c r="B44" s="0" t="inlineStr">
        <is>
          <t>P028</t>
        </is>
      </c>
      <c r="C44" s="0" t="inlineStr">
        <is>
          <t>2026-10-02 15:38:32.035</t>
        </is>
      </c>
      <c r="D44" s="0" t="inlineStr">
        <is>
          <t>Joaquin</t>
        </is>
      </c>
      <c r="E44" s="0" t="inlineStr">
        <is>
          <t>GuitarHit</t>
        </is>
      </c>
      <c r="F44" s="0" t="inlineStr">
        <is>
          <t>Success</t>
        </is>
      </c>
      <c r="G44" s="0" t="inlineStr">
        <is>
          <t>Easy</t>
        </is>
      </c>
      <c r="H44" s="4">
        <v>45.824</v>
      </c>
      <c r="I44" s="4">
        <v>45.8466</v>
      </c>
      <c r="J44" s="4">
        <v>0.0226</v>
      </c>
      <c r="K44" s="4">
        <v>0.0226</v>
      </c>
      <c r="P44" s="0">
        <v>55</v>
      </c>
    </row>
    <row r="45" ht="17" customHeight="1">
      <c r="A45" s="6">
        <v>51</v>
      </c>
      <c r="B45" s="6" t="inlineStr">
        <is>
          <t>P028</t>
        </is>
      </c>
      <c r="C45" s="6" t="inlineStr">
        <is>
          <t>2026-10-02 15:38:34.138</t>
        </is>
      </c>
      <c r="D45" s="6" t="inlineStr">
        <is>
          <t>Joaquin</t>
        </is>
      </c>
      <c r="E45" s="6" t="inlineStr">
        <is>
          <t>GuitarHit</t>
        </is>
      </c>
      <c r="F45" s="6" t="inlineStr">
        <is>
          <t>Success</t>
        </is>
      </c>
      <c r="G45" s="6" t="inlineStr">
        <is>
          <t>Easy</t>
        </is>
      </c>
      <c r="H45" s="4">
        <v>48.128</v>
      </c>
      <c r="I45" s="4">
        <v>47.9487</v>
      </c>
      <c r="J45" s="4">
        <v>-0.1793</v>
      </c>
      <c r="K45" s="4">
        <v>0.1793</v>
      </c>
      <c r="P45" s="6">
        <v>56</v>
      </c>
    </row>
    <row r="46" ht="17" customHeight="1">
      <c r="A46" s="0">
        <v>52</v>
      </c>
      <c r="B46" s="0" t="inlineStr">
        <is>
          <t>P028</t>
        </is>
      </c>
      <c r="C46" s="0" t="inlineStr">
        <is>
          <t>2026-10-02 15:38:36.615</t>
        </is>
      </c>
      <c r="D46" s="0" t="inlineStr">
        <is>
          <t>Joaquin</t>
        </is>
      </c>
      <c r="E46" s="0" t="inlineStr">
        <is>
          <t>GuitarHit</t>
        </is>
      </c>
      <c r="F46" s="0" t="inlineStr">
        <is>
          <t>Success</t>
        </is>
      </c>
      <c r="G46" s="0" t="inlineStr">
        <is>
          <t>Easy</t>
        </is>
      </c>
      <c r="H46" s="4">
        <v>50.432</v>
      </c>
      <c r="I46" s="4">
        <v>50.4274</v>
      </c>
      <c r="J46" s="4">
        <v>-0.0046</v>
      </c>
      <c r="K46" s="4">
        <v>0.0046</v>
      </c>
      <c r="P46" s="0">
        <v>57</v>
      </c>
    </row>
    <row r="47" ht="17" customHeight="1">
      <c r="A47" s="6">
        <v>54</v>
      </c>
      <c r="B47" s="6" t="inlineStr">
        <is>
          <t>P028</t>
        </is>
      </c>
      <c r="C47" s="6" t="inlineStr">
        <is>
          <t>2026-10-02 15:38:36.992</t>
        </is>
      </c>
      <c r="D47" s="6" t="inlineStr">
        <is>
          <t>Joaquin</t>
        </is>
      </c>
      <c r="E47" s="6" t="inlineStr">
        <is>
          <t>GuitarHit</t>
        </is>
      </c>
      <c r="F47" s="6" t="inlineStr">
        <is>
          <t>Success</t>
        </is>
      </c>
      <c r="G47" s="6" t="inlineStr">
        <is>
          <t>Normal</t>
        </is>
      </c>
      <c r="H47" s="4">
        <v>50.816</v>
      </c>
      <c r="I47" s="4">
        <v>50.8031</v>
      </c>
      <c r="J47" s="4">
        <v>-0.0129</v>
      </c>
      <c r="K47" s="4">
        <v>0.0129</v>
      </c>
      <c r="P47" s="6">
        <v>59</v>
      </c>
    </row>
    <row r="48" ht="17" customHeight="1">
      <c r="A48" s="0">
        <v>55</v>
      </c>
      <c r="B48" s="0" t="inlineStr">
        <is>
          <t>P028</t>
        </is>
      </c>
      <c r="C48" s="0" t="inlineStr">
        <is>
          <t>2026-10-02 15:38:39.177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Normal</t>
        </is>
      </c>
      <c r="H48" s="4">
        <v>53.12</v>
      </c>
      <c r="I48" s="4">
        <v>52.9891</v>
      </c>
      <c r="J48" s="4">
        <v>-0.1309</v>
      </c>
      <c r="K48" s="4">
        <v>0.1309</v>
      </c>
      <c r="P48" s="0">
        <v>60</v>
      </c>
    </row>
    <row r="49" ht="17" customHeight="1">
      <c r="A49" s="6">
        <v>56</v>
      </c>
      <c r="B49" s="6" t="inlineStr">
        <is>
          <t>P028</t>
        </is>
      </c>
      <c r="C49" s="6" t="inlineStr">
        <is>
          <t>2026-10-02 15:38:41.614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Normal</t>
        </is>
      </c>
      <c r="H49" s="4">
        <v>55.424</v>
      </c>
      <c r="I49" s="4">
        <v>55.4255</v>
      </c>
      <c r="J49" s="4">
        <v>0.0015</v>
      </c>
      <c r="K49" s="4">
        <v>0.0015</v>
      </c>
      <c r="P49" s="6">
        <v>61</v>
      </c>
    </row>
    <row r="50" ht="17" customHeight="1">
      <c r="A50" s="0">
        <v>57</v>
      </c>
      <c r="B50" s="0" t="inlineStr">
        <is>
          <t>P028</t>
        </is>
      </c>
      <c r="C50" s="0" t="inlineStr">
        <is>
          <t>2026-10-02 15:38:43.773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Normal</t>
        </is>
      </c>
      <c r="H50" s="4">
        <v>57.728</v>
      </c>
      <c r="I50" s="4">
        <v>57.5836</v>
      </c>
      <c r="J50" s="4">
        <v>-0.1444</v>
      </c>
      <c r="K50" s="4">
        <v>0.1444</v>
      </c>
      <c r="P50" s="0">
        <v>62</v>
      </c>
    </row>
    <row r="51" ht="17" customHeight="1">
      <c r="A51" s="6">
        <v>58</v>
      </c>
      <c r="B51" s="6" t="inlineStr">
        <is>
          <t>P028</t>
        </is>
      </c>
      <c r="C51" s="6" t="inlineStr">
        <is>
          <t>2026-10-02 15:38:46.042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Normal</t>
        </is>
      </c>
      <c r="H51" s="4">
        <v>60.032</v>
      </c>
      <c r="I51" s="4">
        <v>59.8527</v>
      </c>
      <c r="J51" s="4">
        <v>-0.1793</v>
      </c>
      <c r="K51" s="4">
        <v>0.1793</v>
      </c>
      <c r="P51" s="6">
        <v>63</v>
      </c>
    </row>
    <row r="52" ht="17" customHeight="1">
      <c r="A52" s="0">
        <v>60</v>
      </c>
      <c r="B52" s="0" t="inlineStr">
        <is>
          <t>P028</t>
        </is>
      </c>
      <c r="C52" s="0" t="inlineStr">
        <is>
          <t>2026-10-02 15:38:53.519</t>
        </is>
      </c>
      <c r="D52" s="0" t="inlineStr">
        <is>
          <t>Shipi</t>
        </is>
      </c>
      <c r="E52" s="0" t="inlineStr">
        <is>
          <t>FoodCut</t>
        </is>
      </c>
      <c r="F52" s="0" t="inlineStr">
        <is>
          <t>Missed</t>
        </is>
      </c>
      <c r="G52" s="0" t="inlineStr">
        <is>
          <t>Normal</t>
        </is>
      </c>
      <c r="H52" s="4">
        <v>66.6368</v>
      </c>
      <c r="P52" s="0">
        <v>65</v>
      </c>
    </row>
    <row r="53" ht="17" customHeight="1">
      <c r="A53" s="6">
        <v>61</v>
      </c>
      <c r="B53" s="6" t="inlineStr">
        <is>
          <t>P028</t>
        </is>
      </c>
      <c r="C53" s="6" t="inlineStr">
        <is>
          <t>2026-10-02 15:38:55.063</t>
        </is>
      </c>
      <c r="D53" s="6" t="inlineStr">
        <is>
          <t>Shipi</t>
        </is>
      </c>
      <c r="E53" s="6" t="inlineStr">
        <is>
          <t>FoodClear</t>
        </is>
      </c>
      <c r="F53" s="6" t="inlineStr">
        <is>
          <t>Success</t>
        </is>
      </c>
      <c r="G53" s="6" t="inlineStr">
        <is>
          <t>Normal</t>
        </is>
      </c>
      <c r="H53" s="4">
        <v>68.1728</v>
      </c>
      <c r="P53" s="6">
        <v>66</v>
      </c>
    </row>
    <row r="54" ht="17" customHeight="1">
      <c r="A54" s="0">
        <v>62</v>
      </c>
      <c r="B54" s="0" t="inlineStr">
        <is>
          <t>P028</t>
        </is>
      </c>
      <c r="C54" s="0" t="inlineStr">
        <is>
          <t>2026-10-02 15:38:55.078</t>
        </is>
      </c>
      <c r="D54" s="0" t="inlineStr">
        <is>
          <t>Shipi</t>
        </is>
      </c>
      <c r="E54" s="0" t="inlineStr">
        <is>
          <t>FoodCut</t>
        </is>
      </c>
      <c r="F54" s="0" t="inlineStr">
        <is>
          <t>Failed</t>
        </is>
      </c>
      <c r="G54" s="0" t="inlineStr">
        <is>
          <t>Normal</t>
        </is>
      </c>
      <c r="H54" s="4">
        <v>69.7088</v>
      </c>
      <c r="I54" s="4">
        <v>68.8888</v>
      </c>
      <c r="J54" s="4">
        <v>-0.82</v>
      </c>
      <c r="K54" s="4">
        <v>0.82</v>
      </c>
      <c r="L54" s="4">
        <v>0.0248</v>
      </c>
      <c r="N54" s="4">
        <v>0.0</v>
      </c>
      <c r="P54" s="0">
        <v>67</v>
      </c>
    </row>
    <row r="55" ht="17" customHeight="1">
      <c r="A55" s="6">
        <v>64</v>
      </c>
      <c r="B55" s="6" t="inlineStr">
        <is>
          <t>P028</t>
        </is>
      </c>
      <c r="C55" s="6" t="inlineStr">
        <is>
          <t>2026-10-02 15:38:57.639</t>
        </is>
      </c>
      <c r="D55" s="6" t="inlineStr">
        <is>
          <t>Shipi</t>
        </is>
      </c>
      <c r="E55" s="6" t="inlineStr">
        <is>
          <t>FoodCut</t>
        </is>
      </c>
      <c r="F55" s="6" t="inlineStr">
        <is>
          <t>Failed</t>
        </is>
      </c>
      <c r="G55" s="6" t="inlineStr">
        <is>
          <t>Normal</t>
        </is>
      </c>
      <c r="H55" s="4">
        <v>71.2448</v>
      </c>
      <c r="I55" s="4">
        <v>71.4503</v>
      </c>
      <c r="J55" s="4">
        <v>0.2055</v>
      </c>
      <c r="K55" s="4">
        <v>0.2055</v>
      </c>
      <c r="L55" s="4">
        <v>1.0503</v>
      </c>
      <c r="N55" s="4">
        <v>0.0</v>
      </c>
      <c r="P55" s="6">
        <v>69</v>
      </c>
    </row>
    <row r="56" ht="17" customHeight="1">
      <c r="A56" s="0">
        <v>65</v>
      </c>
      <c r="B56" s="0" t="inlineStr">
        <is>
          <t>P028</t>
        </is>
      </c>
      <c r="C56" s="0" t="inlineStr">
        <is>
          <t>2026-10-02 15:38:58.795</t>
        </is>
      </c>
      <c r="D56" s="0" t="inlineStr">
        <is>
          <t>Shipi</t>
        </is>
      </c>
      <c r="E56" s="0" t="inlineStr">
        <is>
          <t>FoodCut</t>
        </is>
      </c>
      <c r="F56" s="0" t="inlineStr">
        <is>
          <t>Failed</t>
        </is>
      </c>
      <c r="G56" s="0" t="inlineStr">
        <is>
          <t>Normal</t>
        </is>
      </c>
      <c r="H56" s="4">
        <v>72.7808</v>
      </c>
      <c r="I56" s="4">
        <v>72.6058</v>
      </c>
      <c r="J56" s="4">
        <v>-0.175</v>
      </c>
      <c r="K56" s="4">
        <v>0.175</v>
      </c>
      <c r="L56" s="4">
        <v>0.6698</v>
      </c>
      <c r="N56" s="4">
        <v>0.0</v>
      </c>
      <c r="P56" s="0">
        <v>70</v>
      </c>
    </row>
    <row r="57" ht="17" customHeight="1">
      <c r="A57" s="6">
        <v>66</v>
      </c>
      <c r="B57" s="6" t="inlineStr">
        <is>
          <t>P028</t>
        </is>
      </c>
      <c r="C57" s="6" t="inlineStr">
        <is>
          <t>2026-10-02 15:38:59.699</t>
        </is>
      </c>
      <c r="D57" s="6" t="inlineStr">
        <is>
          <t>Shipi</t>
        </is>
      </c>
      <c r="E57" s="6" t="inlineStr">
        <is>
          <t>FoodCut</t>
        </is>
      </c>
      <c r="F57" s="6" t="inlineStr">
        <is>
          <t>Failed</t>
        </is>
      </c>
      <c r="G57" s="6" t="inlineStr">
        <is>
          <t>Normal</t>
        </is>
      </c>
      <c r="H57" s="4">
        <v>74.3168</v>
      </c>
      <c r="P57" s="6">
        <v>71</v>
      </c>
    </row>
    <row r="58" ht="17" customHeight="1">
      <c r="A58" s="0">
        <v>67</v>
      </c>
      <c r="B58" s="0" t="inlineStr">
        <is>
          <t>P028</t>
        </is>
      </c>
      <c r="C58" s="0" t="inlineStr">
        <is>
          <t>2026-10-02 15:39:02.135</t>
        </is>
      </c>
      <c r="D58" s="0" t="inlineStr">
        <is>
          <t>Shipi</t>
        </is>
      </c>
      <c r="E58" s="0" t="inlineStr">
        <is>
          <t>FoodCut</t>
        </is>
      </c>
      <c r="F58" s="0" t="inlineStr">
        <is>
          <t>Failed</t>
        </is>
      </c>
      <c r="G58" s="0" t="inlineStr">
        <is>
          <t>Normal</t>
        </is>
      </c>
      <c r="H58" s="4">
        <v>75.8528</v>
      </c>
      <c r="I58" s="4">
        <v>75.9466</v>
      </c>
      <c r="J58" s="4">
        <v>0.0938</v>
      </c>
      <c r="K58" s="4">
        <v>0.0938</v>
      </c>
      <c r="L58" s="4">
        <v>0.9386</v>
      </c>
      <c r="N58" s="4">
        <v>0.0</v>
      </c>
      <c r="P58" s="0">
        <v>72</v>
      </c>
    </row>
    <row r="59" ht="17" customHeight="1">
      <c r="A59" s="6">
        <v>71</v>
      </c>
      <c r="B59" s="6" t="inlineStr">
        <is>
          <t>P028</t>
        </is>
      </c>
      <c r="C59" s="6" t="inlineStr">
        <is>
          <t>2026-10-02 15:39:05.046</t>
        </is>
      </c>
      <c r="D59" s="6" t="inlineStr">
        <is>
          <t>Shipi</t>
        </is>
      </c>
      <c r="E59" s="6" t="inlineStr">
        <is>
          <t>FoodCut</t>
        </is>
      </c>
      <c r="F59" s="6" t="inlineStr">
        <is>
          <t>Missed</t>
        </is>
      </c>
      <c r="G59" s="6" t="inlineStr">
        <is>
          <t>Normal</t>
        </is>
      </c>
      <c r="H59" s="4">
        <v>77.984</v>
      </c>
      <c r="P59" s="6">
        <v>76</v>
      </c>
    </row>
    <row r="60" ht="17" customHeight="1">
      <c r="A60" s="0">
        <v>72</v>
      </c>
      <c r="B60" s="0" t="inlineStr">
        <is>
          <t>P028</t>
        </is>
      </c>
      <c r="C60" s="0" t="inlineStr">
        <is>
          <t>2026-10-02 15:39:06.089</t>
        </is>
      </c>
      <c r="D60" s="0" t="inlineStr">
        <is>
          <t>Shipi</t>
        </is>
      </c>
      <c r="E60" s="0" t="inlineStr">
        <is>
          <t>FoodCut</t>
        </is>
      </c>
      <c r="F60" s="0" t="inlineStr">
        <is>
          <t>Success</t>
        </is>
      </c>
      <c r="G60" s="0" t="inlineStr">
        <is>
          <t>Normal</t>
        </is>
      </c>
      <c r="H60" s="4">
        <v>79.904</v>
      </c>
      <c r="I60" s="4">
        <v>79.9014</v>
      </c>
      <c r="J60" s="4">
        <v>-0.0026</v>
      </c>
      <c r="K60" s="4">
        <v>0.0026</v>
      </c>
      <c r="L60" s="4">
        <v>1.0534</v>
      </c>
      <c r="N60" s="4">
        <v>1.0</v>
      </c>
      <c r="P60" s="0">
        <v>77</v>
      </c>
    </row>
    <row r="61" ht="17" customHeight="1">
      <c r="A61" s="6">
        <v>74</v>
      </c>
      <c r="B61" s="6" t="inlineStr">
        <is>
          <t>P028</t>
        </is>
      </c>
      <c r="C61" s="6" t="inlineStr">
        <is>
          <t>2026-10-02 15:39:08.889</t>
        </is>
      </c>
      <c r="D61" s="6" t="inlineStr">
        <is>
          <t>Shipi</t>
        </is>
      </c>
      <c r="E61" s="6" t="inlineStr">
        <is>
          <t>FoodClear</t>
        </is>
      </c>
      <c r="F61" s="6" t="inlineStr">
        <is>
          <t>Success</t>
        </is>
      </c>
      <c r="G61" s="6" t="inlineStr">
        <is>
          <t>Easy</t>
        </is>
      </c>
      <c r="H61" s="4">
        <v>81.824</v>
      </c>
      <c r="P61" s="6">
        <v>79</v>
      </c>
    </row>
    <row r="62" ht="17" customHeight="1">
      <c r="A62" s="0">
        <v>75</v>
      </c>
      <c r="B62" s="0" t="inlineStr">
        <is>
          <t>P028</t>
        </is>
      </c>
      <c r="C62" s="0" t="inlineStr">
        <is>
          <t>2026-10-02 15:39:09.713</t>
        </is>
      </c>
      <c r="D62" s="0" t="inlineStr">
        <is>
          <t>Shipi</t>
        </is>
      </c>
      <c r="E62" s="0" t="inlineStr">
        <is>
          <t>FoodCut</t>
        </is>
      </c>
      <c r="F62" s="0" t="inlineStr">
        <is>
          <t>Success</t>
        </is>
      </c>
      <c r="G62" s="0" t="inlineStr">
        <is>
          <t>Easy</t>
        </is>
      </c>
      <c r="H62" s="4">
        <v>83.744</v>
      </c>
      <c r="I62" s="4">
        <v>83.5216</v>
      </c>
      <c r="J62" s="4">
        <v>-0.2224</v>
      </c>
      <c r="K62" s="4">
        <v>0.2224</v>
      </c>
      <c r="L62" s="4">
        <v>0.8336</v>
      </c>
      <c r="N62" s="4">
        <v>1.0</v>
      </c>
      <c r="P62" s="0">
        <v>80</v>
      </c>
    </row>
    <row r="63" ht="17" customHeight="1">
      <c r="A63" s="6">
        <v>77</v>
      </c>
      <c r="B63" s="6" t="inlineStr">
        <is>
          <t>P028</t>
        </is>
      </c>
      <c r="C63" s="6" t="inlineStr">
        <is>
          <t>2026-10-02 15:39:12.118</t>
        </is>
      </c>
      <c r="D63" s="6" t="inlineStr">
        <is>
          <t>Shipi</t>
        </is>
      </c>
      <c r="E63" s="6" t="inlineStr">
        <is>
          <t>FoodCut</t>
        </is>
      </c>
      <c r="F63" s="6" t="inlineStr">
        <is>
          <t>Failed</t>
        </is>
      </c>
      <c r="G63" s="6" t="inlineStr">
        <is>
          <t>Easy</t>
        </is>
      </c>
      <c r="H63" s="4">
        <v>85.664</v>
      </c>
      <c r="P63" s="6">
        <v>82</v>
      </c>
    </row>
    <row r="64" ht="17" customHeight="1">
      <c r="A64" s="0">
        <v>78</v>
      </c>
      <c r="B64" s="0" t="inlineStr">
        <is>
          <t>P028</t>
        </is>
      </c>
      <c r="C64" s="0" t="inlineStr">
        <is>
          <t>2026-10-02 15:39:12.856</t>
        </is>
      </c>
      <c r="D64" s="0" t="inlineStr">
        <is>
          <t>Shipi</t>
        </is>
      </c>
      <c r="E64" s="0" t="inlineStr">
        <is>
          <t>FoodCut</t>
        </is>
      </c>
      <c r="F64" s="0" t="inlineStr">
        <is>
          <t>Failed</t>
        </is>
      </c>
      <c r="G64" s="0" t="inlineStr">
        <is>
          <t>Easy</t>
        </is>
      </c>
      <c r="H64" s="4">
        <v>87.584</v>
      </c>
      <c r="I64" s="4">
        <v>86.6675</v>
      </c>
      <c r="J64" s="4">
        <v>-0.9165</v>
      </c>
      <c r="K64" s="4">
        <v>0.9165</v>
      </c>
      <c r="L64" s="4">
        <v>0.1395</v>
      </c>
      <c r="N64" s="4">
        <v>0.0</v>
      </c>
      <c r="P64" s="0">
        <v>83</v>
      </c>
    </row>
    <row r="65" ht="17" customHeight="1">
      <c r="A65" s="6">
        <v>79</v>
      </c>
      <c r="B65" s="6" t="inlineStr">
        <is>
          <t>P028</t>
        </is>
      </c>
      <c r="C65" s="6" t="inlineStr">
        <is>
          <t>2026-10-02 15:39:15.599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Success</t>
        </is>
      </c>
      <c r="G65" s="6" t="inlineStr">
        <is>
          <t>Easy</t>
        </is>
      </c>
      <c r="H65" s="4">
        <v>89.504</v>
      </c>
      <c r="I65" s="4">
        <v>89.4102</v>
      </c>
      <c r="J65" s="4">
        <v>-0.0938</v>
      </c>
      <c r="K65" s="4">
        <v>0.0938</v>
      </c>
      <c r="L65" s="4">
        <v>0.9622</v>
      </c>
      <c r="N65" s="4">
        <v>1.0</v>
      </c>
      <c r="P65" s="6">
        <v>84</v>
      </c>
    </row>
    <row r="66" ht="17" customHeight="1">
      <c r="A66" s="0">
        <v>80</v>
      </c>
      <c r="B66" s="0" t="inlineStr">
        <is>
          <t>P028</t>
        </is>
      </c>
      <c r="C66" s="0" t="inlineStr">
        <is>
          <t>2026-10-02 15:39:17.549</t>
        </is>
      </c>
      <c r="D66" s="0" t="inlineStr">
        <is>
          <t>Shipi</t>
        </is>
      </c>
      <c r="E66" s="0" t="inlineStr">
        <is>
          <t>FoodCut</t>
        </is>
      </c>
      <c r="F66" s="0" t="inlineStr">
        <is>
          <t>Success</t>
        </is>
      </c>
      <c r="G66" s="0" t="inlineStr">
        <is>
          <t>Easy</t>
        </is>
      </c>
      <c r="H66" s="4">
        <v>91.424</v>
      </c>
      <c r="I66" s="4">
        <v>91.3598</v>
      </c>
      <c r="J66" s="4">
        <v>-0.0642</v>
      </c>
      <c r="K66" s="4">
        <v>0.0642</v>
      </c>
      <c r="L66" s="4">
        <v>0.9918</v>
      </c>
      <c r="N66" s="4">
        <v>1.0</v>
      </c>
      <c r="P66" s="0">
        <v>85</v>
      </c>
    </row>
    <row r="67" ht="17" customHeight="1">
      <c r="A67" s="6">
        <v>81</v>
      </c>
      <c r="B67" s="6" t="inlineStr">
        <is>
          <t>P028</t>
        </is>
      </c>
      <c r="C67" s="6" t="inlineStr">
        <is>
          <t>2026-10-02 15:39:19.233</t>
        </is>
      </c>
      <c r="D67" s="6" t="inlineStr">
        <is>
          <t>Shipi</t>
        </is>
      </c>
      <c r="E67" s="6" t="inlineStr">
        <is>
          <t>FoodCut</t>
        </is>
      </c>
      <c r="F67" s="6" t="inlineStr">
        <is>
          <t>Success</t>
        </is>
      </c>
      <c r="G67" s="6" t="inlineStr">
        <is>
          <t>Easy</t>
        </is>
      </c>
      <c r="H67" s="4">
        <v>93.344</v>
      </c>
      <c r="I67" s="4">
        <v>93.0445</v>
      </c>
      <c r="J67" s="4">
        <v>-0.2995</v>
      </c>
      <c r="K67" s="4">
        <v>0.2995</v>
      </c>
      <c r="L67" s="4">
        <v>0.7565</v>
      </c>
      <c r="N67" s="4">
        <v>1.0</v>
      </c>
      <c r="P67" s="6">
        <v>86</v>
      </c>
    </row>
    <row r="68" ht="17" customHeight="1">
      <c r="A68" s="0">
        <v>82</v>
      </c>
      <c r="B68" s="0" t="inlineStr">
        <is>
          <t>P028</t>
        </is>
      </c>
      <c r="C68" s="0" t="inlineStr">
        <is>
          <t>2026-10-02 15:39:22.838</t>
        </is>
      </c>
      <c r="D68" s="0" t="inlineStr">
        <is>
          <t>JuanAndres</t>
        </is>
      </c>
      <c r="E68" s="0" t="inlineStr">
        <is>
          <t>GroomStroke</t>
        </is>
      </c>
      <c r="F68" s="0" t="inlineStr">
        <is>
          <t>Failed</t>
        </is>
      </c>
      <c r="G68" s="0" t="inlineStr">
        <is>
          <t>Easy</t>
        </is>
      </c>
      <c r="H68" s="4">
        <v>94.976</v>
      </c>
      <c r="I68" s="4">
        <v>96.524</v>
      </c>
      <c r="J68" s="4">
        <v>1.548</v>
      </c>
      <c r="K68" s="4">
        <v>1.548</v>
      </c>
      <c r="N68" s="4">
        <v>0.0</v>
      </c>
      <c r="O68" s="0" t="b">
        <v>0</v>
      </c>
      <c r="P68" s="0">
        <v>87</v>
      </c>
    </row>
    <row r="69" ht="17" customHeight="1">
      <c r="A69" s="6">
        <v>83</v>
      </c>
      <c r="B69" s="6" t="inlineStr">
        <is>
          <t>P028</t>
        </is>
      </c>
      <c r="C69" s="6" t="inlineStr">
        <is>
          <t>2026-10-02 15:39:23.479</t>
        </is>
      </c>
      <c r="D69" s="6" t="inlineStr">
        <is>
          <t>JuanAndres</t>
        </is>
      </c>
      <c r="E69" s="6" t="inlineStr">
        <is>
          <t>GroomStroke</t>
        </is>
      </c>
      <c r="F69" s="6" t="inlineStr">
        <is>
          <t>Success</t>
        </is>
      </c>
      <c r="G69" s="6" t="inlineStr">
        <is>
          <t>Easy</t>
        </is>
      </c>
      <c r="H69" s="4">
        <v>97.664</v>
      </c>
      <c r="I69" s="4">
        <v>97.2064</v>
      </c>
      <c r="J69" s="4">
        <v>-0.4576</v>
      </c>
      <c r="K69" s="4">
        <v>0.4576</v>
      </c>
      <c r="N69" s="4">
        <v>1.0</v>
      </c>
      <c r="O69" s="6" t="b">
        <v>1</v>
      </c>
      <c r="P69" s="6">
        <v>88</v>
      </c>
    </row>
    <row r="70" ht="17" customHeight="1">
      <c r="A70" s="0">
        <v>84</v>
      </c>
      <c r="B70" s="0" t="inlineStr">
        <is>
          <t>P028</t>
        </is>
      </c>
      <c r="C70" s="0" t="inlineStr">
        <is>
          <t>2026-10-02 15:39:25.776</t>
        </is>
      </c>
      <c r="D70" s="0" t="inlineStr">
        <is>
          <t>JuanAndres</t>
        </is>
      </c>
      <c r="E70" s="0" t="inlineStr">
        <is>
          <t>GroomStroke</t>
        </is>
      </c>
      <c r="F70" s="0" t="inlineStr">
        <is>
          <t>Success</t>
        </is>
      </c>
      <c r="G70" s="0" t="inlineStr">
        <is>
          <t>Easy</t>
        </is>
      </c>
      <c r="H70" s="4">
        <v>98.432</v>
      </c>
      <c r="I70" s="4">
        <v>98.4317</v>
      </c>
      <c r="J70" s="4">
        <v>-0.0003</v>
      </c>
      <c r="K70" s="4">
        <v>0.0003</v>
      </c>
      <c r="N70" s="4">
        <v>1.0</v>
      </c>
      <c r="O70" s="0" t="b">
        <v>1</v>
      </c>
      <c r="P70" s="0">
        <v>89</v>
      </c>
    </row>
    <row r="71" ht="17" customHeight="1">
      <c r="A71" s="6">
        <v>85</v>
      </c>
      <c r="B71" s="6" t="inlineStr">
        <is>
          <t>P028</t>
        </is>
      </c>
      <c r="C71" s="6" t="inlineStr">
        <is>
          <t>2026-10-02 15:39:28.323</t>
        </is>
      </c>
      <c r="D71" s="6" t="inlineStr">
        <is>
          <t>JuanAndres</t>
        </is>
      </c>
      <c r="E71" s="6" t="inlineStr">
        <is>
          <t>GroomStroke</t>
        </is>
      </c>
      <c r="F71" s="6" t="inlineStr">
        <is>
          <t>Missed</t>
        </is>
      </c>
      <c r="G71" s="6" t="inlineStr">
        <is>
          <t>Easy</t>
        </is>
      </c>
      <c r="H71" s="4">
        <v>96.128</v>
      </c>
      <c r="P71" s="6">
        <v>90</v>
      </c>
    </row>
    <row r="72" ht="17" customHeight="1">
      <c r="A72" s="0">
        <v>86</v>
      </c>
      <c r="B72" s="0" t="inlineStr">
        <is>
          <t>P028</t>
        </is>
      </c>
      <c r="C72" s="0" t="inlineStr">
        <is>
          <t>2026-10-02 15:39:28.533</t>
        </is>
      </c>
      <c r="D72" s="0" t="inlineStr">
        <is>
          <t>JuanAndres</t>
        </is>
      </c>
      <c r="E72" s="0" t="inlineStr">
        <is>
          <t>GroomStroke</t>
        </is>
      </c>
      <c r="F72" s="0" t="inlineStr">
        <is>
          <t>Failed</t>
        </is>
      </c>
      <c r="G72" s="0" t="inlineStr">
        <is>
          <t>Easy</t>
        </is>
      </c>
      <c r="H72" s="4">
        <v>101.12</v>
      </c>
      <c r="I72" s="4">
        <v>102.2464</v>
      </c>
      <c r="J72" s="4">
        <v>1.1264</v>
      </c>
      <c r="K72" s="4">
        <v>1.1264</v>
      </c>
      <c r="N72" s="4">
        <v>0.0</v>
      </c>
      <c r="O72" s="0" t="b">
        <v>0</v>
      </c>
      <c r="P72" s="0">
        <v>91</v>
      </c>
    </row>
    <row r="73" ht="17" customHeight="1">
      <c r="A73" s="6">
        <v>88</v>
      </c>
      <c r="B73" s="6" t="inlineStr">
        <is>
          <t>P028</t>
        </is>
      </c>
      <c r="C73" s="6" t="inlineStr">
        <is>
          <t>2026-10-02 15:39:29.216</t>
        </is>
      </c>
      <c r="D73" s="6" t="inlineStr">
        <is>
          <t>JuanAndres</t>
        </is>
      </c>
      <c r="E73" s="6" t="inlineStr">
        <is>
          <t>GroomStroke</t>
        </is>
      </c>
      <c r="F73" s="6" t="inlineStr">
        <is>
          <t>Failed</t>
        </is>
      </c>
      <c r="G73" s="6" t="inlineStr">
        <is>
          <t>Easy</t>
        </is>
      </c>
      <c r="H73" s="4">
        <v>102.656</v>
      </c>
      <c r="I73" s="4">
        <v>102.9286</v>
      </c>
      <c r="J73" s="4">
        <v>0.2726</v>
      </c>
      <c r="K73" s="4">
        <v>0.2726</v>
      </c>
      <c r="N73" s="4">
        <v>1.0</v>
      </c>
      <c r="O73" s="6" t="b">
        <v>0</v>
      </c>
      <c r="P73" s="6">
        <v>93</v>
      </c>
    </row>
    <row r="74" ht="17" customHeight="1">
      <c r="A74" s="0">
        <v>89</v>
      </c>
      <c r="B74" s="0" t="inlineStr">
        <is>
          <t>P028</t>
        </is>
      </c>
      <c r="C74" s="0" t="inlineStr">
        <is>
          <t>2026-10-02 15:39:30.398</t>
        </is>
      </c>
      <c r="D74" s="0" t="inlineStr">
        <is>
          <t>JuanAndres</t>
        </is>
      </c>
      <c r="E74" s="0" t="inlineStr">
        <is>
          <t>GroomStroke</t>
        </is>
      </c>
      <c r="F74" s="0" t="inlineStr">
        <is>
          <t>Failed</t>
        </is>
      </c>
      <c r="G74" s="0" t="inlineStr">
        <is>
          <t>Easy</t>
        </is>
      </c>
      <c r="H74" s="4">
        <v>104.192</v>
      </c>
      <c r="I74" s="4">
        <v>104.1398</v>
      </c>
      <c r="J74" s="4">
        <v>-0.0522</v>
      </c>
      <c r="K74" s="4">
        <v>0.0522</v>
      </c>
      <c r="N74" s="4">
        <v>1.0</v>
      </c>
      <c r="O74" s="0" t="b">
        <v>0</v>
      </c>
      <c r="P74" s="0">
        <v>94</v>
      </c>
    </row>
    <row r="75" ht="17" customHeight="1">
      <c r="A75" s="6">
        <v>90</v>
      </c>
      <c r="B75" s="6" t="inlineStr">
        <is>
          <t>P028</t>
        </is>
      </c>
      <c r="C75" s="6" t="inlineStr">
        <is>
          <t>2026-10-02 15:39:31.470</t>
        </is>
      </c>
      <c r="D75" s="6" t="inlineStr">
        <is>
          <t>JuanAndres</t>
        </is>
      </c>
      <c r="E75" s="6" t="inlineStr">
        <is>
          <t>GroomStroke</t>
        </is>
      </c>
      <c r="F75" s="6" t="inlineStr">
        <is>
          <t>Failed</t>
        </is>
      </c>
      <c r="G75" s="6" t="inlineStr">
        <is>
          <t>Easy</t>
        </is>
      </c>
      <c r="H75" s="4">
        <v>104.96</v>
      </c>
      <c r="I75" s="4">
        <v>105.184</v>
      </c>
      <c r="J75" s="4">
        <v>0.224</v>
      </c>
      <c r="K75" s="4">
        <v>0.224</v>
      </c>
      <c r="N75" s="4">
        <v>0.0</v>
      </c>
      <c r="O75" s="6" t="b">
        <v>1</v>
      </c>
      <c r="P75" s="6">
        <v>95</v>
      </c>
    </row>
    <row r="76" ht="17" customHeight="1">
      <c r="A76" s="0">
        <v>91</v>
      </c>
      <c r="B76" s="0" t="inlineStr">
        <is>
          <t>P028</t>
        </is>
      </c>
      <c r="C76" s="0" t="inlineStr">
        <is>
          <t>2026-10-02 15:39:33.237</t>
        </is>
      </c>
      <c r="D76" s="0" t="inlineStr">
        <is>
          <t>JuanAndres</t>
        </is>
      </c>
      <c r="E76" s="0" t="inlineStr">
        <is>
          <t>GroomStroke</t>
        </is>
      </c>
      <c r="F76" s="0" t="inlineStr">
        <is>
          <t>Failed</t>
        </is>
      </c>
      <c r="G76" s="0" t="inlineStr">
        <is>
          <t>Easy</t>
        </is>
      </c>
      <c r="H76" s="4">
        <v>106.88</v>
      </c>
      <c r="I76" s="4">
        <v>106.9524</v>
      </c>
      <c r="J76" s="4">
        <v>0.0724</v>
      </c>
      <c r="K76" s="4">
        <v>0.0724</v>
      </c>
      <c r="N76" s="4">
        <v>1.0</v>
      </c>
      <c r="O76" s="0" t="b">
        <v>0</v>
      </c>
      <c r="P76" s="0">
        <v>96</v>
      </c>
    </row>
    <row r="77" ht="17" customHeight="1">
      <c r="A77" s="6">
        <v>92</v>
      </c>
      <c r="B77" s="6" t="inlineStr">
        <is>
          <t>P028</t>
        </is>
      </c>
      <c r="C77" s="6" t="inlineStr">
        <is>
          <t>2026-10-02 15:39:34.797</t>
        </is>
      </c>
      <c r="D77" s="6" t="inlineStr">
        <is>
          <t>JuanAndres</t>
        </is>
      </c>
      <c r="E77" s="6" t="inlineStr">
        <is>
          <t>GroomStroke</t>
        </is>
      </c>
      <c r="F77" s="6" t="inlineStr">
        <is>
          <t>Success</t>
        </is>
      </c>
      <c r="G77" s="6" t="inlineStr">
        <is>
          <t>Easy</t>
        </is>
      </c>
      <c r="H77" s="4">
        <v>108.032</v>
      </c>
      <c r="I77" s="4">
        <v>108.5256</v>
      </c>
      <c r="J77" s="4">
        <v>0.4936</v>
      </c>
      <c r="K77" s="4">
        <v>0.4936</v>
      </c>
      <c r="N77" s="4">
        <v>1.0</v>
      </c>
      <c r="O77" s="6" t="b">
        <v>1</v>
      </c>
      <c r="P77" s="6">
        <v>97</v>
      </c>
    </row>
    <row r="78" ht="17" customHeight="1">
      <c r="A78" s="0">
        <v>93</v>
      </c>
      <c r="B78" s="0" t="inlineStr">
        <is>
          <t>P028</t>
        </is>
      </c>
      <c r="C78" s="0" t="inlineStr">
        <is>
          <t>2026-10-02 15:39:37.498</t>
        </is>
      </c>
      <c r="D78" s="0" t="inlineStr">
        <is>
          <t>JuanAndres</t>
        </is>
      </c>
      <c r="E78" s="0" t="inlineStr">
        <is>
          <t>GroomStroke</t>
        </is>
      </c>
      <c r="F78" s="0" t="inlineStr">
        <is>
          <t>Failed</t>
        </is>
      </c>
      <c r="G78" s="0" t="inlineStr">
        <is>
          <t>Easy</t>
        </is>
      </c>
      <c r="H78" s="4">
        <v>111.104</v>
      </c>
      <c r="I78" s="4">
        <v>111.2125</v>
      </c>
      <c r="J78" s="4">
        <v>0.1085</v>
      </c>
      <c r="K78" s="4">
        <v>0.1085</v>
      </c>
      <c r="N78" s="4">
        <v>0.0</v>
      </c>
      <c r="O78" s="0" t="b">
        <v>0</v>
      </c>
      <c r="P78" s="0">
        <v>98</v>
      </c>
    </row>
    <row r="79" ht="17" customHeight="1">
      <c r="A79" s="6">
        <v>94</v>
      </c>
      <c r="B79" s="6" t="inlineStr">
        <is>
          <t>P028</t>
        </is>
      </c>
      <c r="C79" s="6" t="inlineStr">
        <is>
          <t>2026-10-02 15:39:38.877</t>
        </is>
      </c>
      <c r="D79" s="6" t="inlineStr">
        <is>
          <t>JuanAndres</t>
        </is>
      </c>
      <c r="E79" s="6" t="inlineStr">
        <is>
          <t>GroomStroke</t>
        </is>
      </c>
      <c r="F79" s="6" t="inlineStr">
        <is>
          <t>Success</t>
        </is>
      </c>
      <c r="G79" s="6" t="inlineStr">
        <is>
          <t>Easy</t>
        </is>
      </c>
      <c r="H79" s="4">
        <v>109.184</v>
      </c>
      <c r="I79" s="4">
        <v>112.5214</v>
      </c>
      <c r="J79" s="4">
        <v>3.3374</v>
      </c>
      <c r="K79" s="4">
        <v>3.3374</v>
      </c>
      <c r="N79" s="4">
        <v>1.0</v>
      </c>
      <c r="O79" s="6" t="b">
        <v>1</v>
      </c>
      <c r="P79" s="6">
        <v>99</v>
      </c>
    </row>
    <row r="80" ht="17" customHeight="1">
      <c r="A80" s="0">
        <v>95</v>
      </c>
      <c r="B80" s="0" t="inlineStr">
        <is>
          <t>P028</t>
        </is>
      </c>
      <c r="C80" s="0" t="inlineStr">
        <is>
          <t>2026-10-02 15:39:40.117</t>
        </is>
      </c>
      <c r="D80" s="0" t="inlineStr">
        <is>
          <t>JuanAndres</t>
        </is>
      </c>
      <c r="E80" s="0" t="inlineStr">
        <is>
          <t>GroomStroke</t>
        </is>
      </c>
      <c r="F80" s="0" t="inlineStr">
        <is>
          <t>Failed</t>
        </is>
      </c>
      <c r="G80" s="0" t="inlineStr">
        <is>
          <t>Easy</t>
        </is>
      </c>
      <c r="H80" s="4">
        <v>113.792</v>
      </c>
      <c r="I80" s="4">
        <v>113.8306</v>
      </c>
      <c r="J80" s="4">
        <v>0.0386</v>
      </c>
      <c r="K80" s="4">
        <v>0.0386</v>
      </c>
      <c r="N80" s="4">
        <v>0.0</v>
      </c>
      <c r="O80" s="0" t="b">
        <v>0</v>
      </c>
      <c r="P80" s="0">
        <v>100</v>
      </c>
    </row>
    <row r="81" ht="17" customHeight="1">
      <c r="A81" s="6">
        <v>96</v>
      </c>
      <c r="B81" s="6" t="inlineStr">
        <is>
          <t>P028</t>
        </is>
      </c>
      <c r="C81" s="6" t="inlineStr">
        <is>
          <t>2026-10-02 15:39:41.313</t>
        </is>
      </c>
      <c r="D81" s="6" t="inlineStr">
        <is>
          <t>JuanAndres</t>
        </is>
      </c>
      <c r="E81" s="6" t="inlineStr">
        <is>
          <t>GroomStroke</t>
        </is>
      </c>
      <c r="F81" s="6" t="inlineStr">
        <is>
          <t>Failed</t>
        </is>
      </c>
      <c r="G81" s="6" t="inlineStr">
        <is>
          <t>Easy</t>
        </is>
      </c>
      <c r="H81" s="4">
        <v>113.024</v>
      </c>
      <c r="I81" s="4">
        <v>115.0416</v>
      </c>
      <c r="J81" s="4">
        <v>2.0176</v>
      </c>
      <c r="K81" s="4">
        <v>2.0176</v>
      </c>
      <c r="N81" s="4">
        <v>0.0</v>
      </c>
      <c r="O81" s="6" t="b">
        <v>0</v>
      </c>
      <c r="P81" s="6">
        <v>101</v>
      </c>
    </row>
    <row r="82" ht="17" customHeight="1">
      <c r="A82" s="0">
        <v>97</v>
      </c>
      <c r="B82" s="0" t="inlineStr">
        <is>
          <t>P028</t>
        </is>
      </c>
      <c r="C82" s="0" t="inlineStr">
        <is>
          <t>2026-10-02 15:39:42.539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Failed</t>
        </is>
      </c>
      <c r="G82" s="0" t="inlineStr">
        <is>
          <t>Easy</t>
        </is>
      </c>
      <c r="H82" s="4">
        <v>116.096</v>
      </c>
      <c r="I82" s="4">
        <v>116.2252</v>
      </c>
      <c r="J82" s="4">
        <v>0.1292</v>
      </c>
      <c r="K82" s="4">
        <v>0.1292</v>
      </c>
      <c r="N82" s="4">
        <v>1.0</v>
      </c>
      <c r="O82" s="0" t="b">
        <v>0</v>
      </c>
      <c r="P82" s="0">
        <v>102</v>
      </c>
    </row>
    <row r="83" ht="17" customHeight="1">
      <c r="A83" s="6">
        <v>98</v>
      </c>
      <c r="B83" s="6" t="inlineStr">
        <is>
          <t>P028</t>
        </is>
      </c>
      <c r="C83" s="6" t="inlineStr">
        <is>
          <t>2026-10-02 15:39:44.656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Failed</t>
        </is>
      </c>
      <c r="G83" s="6" t="inlineStr">
        <is>
          <t>Easy</t>
        </is>
      </c>
      <c r="H83" s="4">
        <v>117.248</v>
      </c>
      <c r="I83" s="4">
        <v>118.3835</v>
      </c>
      <c r="J83" s="4">
        <v>1.1355</v>
      </c>
      <c r="K83" s="4">
        <v>1.1355</v>
      </c>
      <c r="N83" s="4">
        <v>1.0</v>
      </c>
      <c r="O83" s="6" t="b">
        <v>0</v>
      </c>
      <c r="P83" s="6">
        <v>103</v>
      </c>
    </row>
    <row r="84" ht="17" customHeight="1">
      <c r="A84" s="0">
        <v>99</v>
      </c>
      <c r="B84" s="0" t="inlineStr">
        <is>
          <t>P028</t>
        </is>
      </c>
      <c r="C84" s="0" t="inlineStr">
        <is>
          <t>2026-10-02 15:39:46.438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Success</t>
        </is>
      </c>
      <c r="G84" s="0" t="inlineStr">
        <is>
          <t>Easy</t>
        </is>
      </c>
      <c r="H84" s="4">
        <v>118.4</v>
      </c>
      <c r="I84" s="4">
        <v>120.0261</v>
      </c>
      <c r="J84" s="4">
        <v>1.6261</v>
      </c>
      <c r="K84" s="4">
        <v>1.6261</v>
      </c>
      <c r="N84" s="4">
        <v>1.0</v>
      </c>
      <c r="O84" s="0" t="b">
        <v>1</v>
      </c>
      <c r="P84" s="0">
        <v>104</v>
      </c>
    </row>
    <row r="85" ht="17" customHeight="1">
      <c r="A85" s="6">
        <v>100</v>
      </c>
      <c r="B85" s="6" t="inlineStr">
        <is>
          <t>P028</t>
        </is>
      </c>
      <c r="C85" s="6" t="inlineStr">
        <is>
          <t>2026-10-02 15:39:47.468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Success</t>
        </is>
      </c>
      <c r="G85" s="6" t="inlineStr">
        <is>
          <t>Easy</t>
        </is>
      </c>
      <c r="H85" s="4">
        <v>119.936</v>
      </c>
      <c r="I85" s="4">
        <v>121.1818</v>
      </c>
      <c r="J85" s="4">
        <v>1.2458</v>
      </c>
      <c r="K85" s="4">
        <v>1.2458</v>
      </c>
      <c r="N85" s="4">
        <v>1.0</v>
      </c>
      <c r="O85" s="6" t="b">
        <v>1</v>
      </c>
      <c r="P85" s="6">
        <v>105</v>
      </c>
    </row>
    <row r="86" ht="17" customHeight="1">
      <c r="A86" s="0">
        <v>101</v>
      </c>
      <c r="B86" s="0" t="inlineStr">
        <is>
          <t>P028</t>
        </is>
      </c>
      <c r="C86" s="0" t="inlineStr">
        <is>
          <t>2026-10-02 15:39:48.360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Failed</t>
        </is>
      </c>
      <c r="G86" s="0" t="inlineStr">
        <is>
          <t>Easy</t>
        </is>
      </c>
      <c r="H86" s="4">
        <v>121.472</v>
      </c>
      <c r="I86" s="4">
        <v>122.0593</v>
      </c>
      <c r="J86" s="4">
        <v>0.5873</v>
      </c>
      <c r="K86" s="4">
        <v>0.5873</v>
      </c>
      <c r="N86" s="4">
        <v>0.0</v>
      </c>
      <c r="O86" s="0" t="b">
        <v>1</v>
      </c>
      <c r="P86" s="0">
        <v>106</v>
      </c>
    </row>
    <row r="87" ht="17" customHeight="1">
      <c r="A87" s="6">
        <v>102</v>
      </c>
      <c r="B87" s="6" t="inlineStr">
        <is>
          <t>P028</t>
        </is>
      </c>
      <c r="C87" s="6" t="inlineStr">
        <is>
          <t>2026-10-02 15:39:50.030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Success</t>
        </is>
      </c>
      <c r="G87" s="6" t="inlineStr">
        <is>
          <t>Easy</t>
        </is>
      </c>
      <c r="H87" s="4">
        <v>123.392</v>
      </c>
      <c r="I87" s="4">
        <v>123.0482</v>
      </c>
      <c r="J87" s="4">
        <v>-0.3438</v>
      </c>
      <c r="K87" s="4">
        <v>0.3438</v>
      </c>
      <c r="N87" s="4">
        <v>1.0</v>
      </c>
      <c r="O87" s="6" t="b">
        <v>1</v>
      </c>
      <c r="P87" s="6">
        <v>107</v>
      </c>
    </row>
    <row r="88" ht="17" customHeight="1">
      <c r="A88" s="0">
        <v>103</v>
      </c>
      <c r="B88" s="0" t="inlineStr">
        <is>
          <t>P028</t>
        </is>
      </c>
      <c r="C88" s="0" t="inlineStr">
        <is>
          <t>2026-10-02 15:39:54.775</t>
        </is>
      </c>
      <c r="D88" s="0" t="inlineStr">
        <is>
          <t>Danniel</t>
        </is>
      </c>
      <c r="E88" s="0" t="inlineStr">
        <is>
          <t>PlayerHit</t>
        </is>
      </c>
      <c r="F88" s="0" t="inlineStr">
        <is>
          <t>Failed</t>
        </is>
      </c>
      <c r="G88" s="0" t="inlineStr">
        <is>
          <t>Easy</t>
        </is>
      </c>
      <c r="H88" s="4">
        <v>128.5863</v>
      </c>
      <c r="P88" s="0">
        <v>108</v>
      </c>
    </row>
    <row r="89" ht="17" customHeight="1">
      <c r="A89" s="6">
        <v>105</v>
      </c>
      <c r="B89" s="6" t="inlineStr">
        <is>
          <t>P028</t>
        </is>
      </c>
      <c r="C89" s="6" t="inlineStr">
        <is>
          <t>2026-10-02 15:39:56.960</t>
        </is>
      </c>
      <c r="D89" s="6" t="inlineStr">
        <is>
          <t>Danniel</t>
        </is>
      </c>
      <c r="E89" s="6" t="inlineStr">
        <is>
          <t>PlayerHit</t>
        </is>
      </c>
      <c r="F89" s="6" t="inlineStr">
        <is>
          <t>Failed</t>
        </is>
      </c>
      <c r="G89" s="6" t="inlineStr">
        <is>
          <t>Easy</t>
        </is>
      </c>
      <c r="H89" s="4">
        <v>130.7716</v>
      </c>
      <c r="P89" s="6">
        <v>110</v>
      </c>
    </row>
    <row r="90" ht="17" customHeight="1">
      <c r="A90" s="0">
        <v>106</v>
      </c>
      <c r="B90" s="0" t="inlineStr">
        <is>
          <t>P028</t>
        </is>
      </c>
      <c r="C90" s="0" t="inlineStr">
        <is>
          <t>2026-10-02 15:39:57.476</t>
        </is>
      </c>
      <c r="D90" s="0" t="inlineStr">
        <is>
          <t>Danniel</t>
        </is>
      </c>
      <c r="E90" s="0" t="inlineStr">
        <is>
          <t>GunShoot</t>
        </is>
      </c>
      <c r="F90" s="0" t="inlineStr">
        <is>
          <t>Success</t>
        </is>
      </c>
      <c r="G90" s="0" t="inlineStr">
        <is>
          <t>Easy</t>
        </is>
      </c>
      <c r="H90" s="4">
        <v>131.072</v>
      </c>
      <c r="I90" s="4">
        <v>131.022</v>
      </c>
      <c r="J90" s="4">
        <v>-0.05</v>
      </c>
      <c r="K90" s="4">
        <v>0.05</v>
      </c>
      <c r="P90" s="0">
        <v>111</v>
      </c>
    </row>
    <row r="91" ht="17" customHeight="1">
      <c r="A91" s="6">
        <v>108</v>
      </c>
      <c r="B91" s="6" t="inlineStr">
        <is>
          <t>P028</t>
        </is>
      </c>
      <c r="C91" s="6" t="inlineStr">
        <is>
          <t>2026-10-02 15:39:58.533</t>
        </is>
      </c>
      <c r="D91" s="6" t="inlineStr">
        <is>
          <t>Danniel</t>
        </is>
      </c>
      <c r="E91" s="6" t="inlineStr">
        <is>
          <t>PlayerHit</t>
        </is>
      </c>
      <c r="F91" s="6" t="inlineStr">
        <is>
          <t>Failed</t>
        </is>
      </c>
      <c r="G91" s="6" t="inlineStr">
        <is>
          <t>Easy</t>
        </is>
      </c>
      <c r="H91" s="4">
        <v>132.344</v>
      </c>
      <c r="P91" s="6">
        <v>113</v>
      </c>
    </row>
    <row r="92" ht="17" customHeight="1">
      <c r="A92" s="0">
        <v>109</v>
      </c>
      <c r="B92" s="0" t="inlineStr">
        <is>
          <t>P028</t>
        </is>
      </c>
      <c r="C92" s="0" t="inlineStr">
        <is>
          <t>2026-10-02 15:39:59.897</t>
        </is>
      </c>
      <c r="D92" s="0" t="inlineStr">
        <is>
          <t>Danniel</t>
        </is>
      </c>
      <c r="E92" s="0" t="inlineStr">
        <is>
          <t>GunShoot</t>
        </is>
      </c>
      <c r="F92" s="0" t="inlineStr">
        <is>
          <t>Success</t>
        </is>
      </c>
      <c r="G92" s="0" t="inlineStr">
        <is>
          <t>Easy</t>
        </is>
      </c>
      <c r="H92" s="4">
        <v>133.376</v>
      </c>
      <c r="I92" s="4">
        <v>133.3329</v>
      </c>
      <c r="J92" s="4">
        <v>-0.0431</v>
      </c>
      <c r="K92" s="4">
        <v>0.0431</v>
      </c>
      <c r="P92" s="0">
        <v>114</v>
      </c>
    </row>
    <row r="93" ht="17" customHeight="1">
      <c r="A93" s="6">
        <v>110</v>
      </c>
      <c r="B93" s="6" t="inlineStr">
        <is>
          <t>P028</t>
        </is>
      </c>
      <c r="C93" s="6" t="inlineStr">
        <is>
          <t>2026-10-02 15:40:01.457</t>
        </is>
      </c>
      <c r="D93" s="6" t="inlineStr">
        <is>
          <t>Danniel</t>
        </is>
      </c>
      <c r="E93" s="6" t="inlineStr">
        <is>
          <t>PlayerHit</t>
        </is>
      </c>
      <c r="F93" s="6" t="inlineStr">
        <is>
          <t>Failed</t>
        </is>
      </c>
      <c r="G93" s="6" t="inlineStr">
        <is>
          <t>Easy</t>
        </is>
      </c>
      <c r="H93" s="4">
        <v>135.2683</v>
      </c>
      <c r="P93" s="6">
        <v>115</v>
      </c>
    </row>
    <row r="94" ht="17" customHeight="1">
      <c r="A94" s="0">
        <v>111</v>
      </c>
      <c r="B94" s="0" t="inlineStr">
        <is>
          <t>P028</t>
        </is>
      </c>
      <c r="C94" s="0" t="inlineStr">
        <is>
          <t>2026-10-02 15:40:01.637</t>
        </is>
      </c>
      <c r="D94" s="0" t="inlineStr">
        <is>
          <t>Danniel</t>
        </is>
      </c>
      <c r="E94" s="0" t="inlineStr">
        <is>
          <t>GunShoot</t>
        </is>
      </c>
      <c r="F94" s="0" t="inlineStr">
        <is>
          <t>Failed</t>
        </is>
      </c>
      <c r="G94" s="0" t="inlineStr">
        <is>
          <t>Easy</t>
        </is>
      </c>
      <c r="H94" s="4">
        <v>135.449</v>
      </c>
      <c r="P94" s="0">
        <v>116</v>
      </c>
    </row>
    <row r="95" ht="17" customHeight="1">
      <c r="A95" s="6">
        <v>113</v>
      </c>
      <c r="B95" s="6" t="inlineStr">
        <is>
          <t>P028</t>
        </is>
      </c>
      <c r="C95" s="6" t="inlineStr">
        <is>
          <t>2026-10-02 15:40:03.879</t>
        </is>
      </c>
      <c r="D95" s="6" t="inlineStr">
        <is>
          <t>Danniel</t>
        </is>
      </c>
      <c r="E95" s="6" t="inlineStr">
        <is>
          <t>GunShoot</t>
        </is>
      </c>
      <c r="F95" s="6" t="inlineStr">
        <is>
          <t>Success</t>
        </is>
      </c>
      <c r="G95" s="6" t="inlineStr">
        <is>
          <t>Easy</t>
        </is>
      </c>
      <c r="H95" s="4">
        <v>137.216</v>
      </c>
      <c r="I95" s="4">
        <v>137.2026</v>
      </c>
      <c r="J95" s="4">
        <v>-0.0134</v>
      </c>
      <c r="K95" s="4">
        <v>0.0134</v>
      </c>
      <c r="P95" s="6">
        <v>118</v>
      </c>
    </row>
    <row r="96" ht="17" customHeight="1">
      <c r="A96" s="0">
        <v>114</v>
      </c>
      <c r="B96" s="0" t="inlineStr">
        <is>
          <t>P028</t>
        </is>
      </c>
      <c r="C96" s="0" t="inlineStr">
        <is>
          <t>2026-10-02 15:40:04.785</t>
        </is>
      </c>
      <c r="D96" s="0" t="inlineStr">
        <is>
          <t>Danniel</t>
        </is>
      </c>
      <c r="E96" s="0" t="inlineStr">
        <is>
          <t>GunShoot</t>
        </is>
      </c>
      <c r="F96" s="0" t="inlineStr">
        <is>
          <t>Failed</t>
        </is>
      </c>
      <c r="G96" s="0" t="inlineStr">
        <is>
          <t>Easy</t>
        </is>
      </c>
      <c r="H96" s="4">
        <v>138.5954</v>
      </c>
      <c r="P96" s="0">
        <v>119</v>
      </c>
    </row>
    <row r="97" ht="17" customHeight="1">
      <c r="A97" s="6">
        <v>115</v>
      </c>
      <c r="B97" s="6" t="inlineStr">
        <is>
          <t>P028</t>
        </is>
      </c>
      <c r="C97" s="6" t="inlineStr">
        <is>
          <t>2026-10-02 15:40:05.620</t>
        </is>
      </c>
      <c r="D97" s="6" t="inlineStr">
        <is>
          <t>Danniel</t>
        </is>
      </c>
      <c r="E97" s="6" t="inlineStr">
        <is>
          <t>GunShoot</t>
        </is>
      </c>
      <c r="F97" s="6" t="inlineStr">
        <is>
          <t>Success</t>
        </is>
      </c>
      <c r="G97" s="6" t="inlineStr">
        <is>
          <t>Easy</t>
        </is>
      </c>
      <c r="H97" s="4">
        <v>139.136</v>
      </c>
      <c r="I97" s="4">
        <v>139.0969</v>
      </c>
      <c r="J97" s="4">
        <v>-0.0391</v>
      </c>
      <c r="K97" s="4">
        <v>0.0391</v>
      </c>
      <c r="P97" s="6">
        <v>120</v>
      </c>
    </row>
    <row r="98" ht="17" customHeight="1">
      <c r="A98" s="0">
        <v>116</v>
      </c>
      <c r="B98" s="0" t="inlineStr">
        <is>
          <t>P028</t>
        </is>
      </c>
      <c r="C98" s="0" t="inlineStr">
        <is>
          <t>2026-10-02 15:40:06.970</t>
        </is>
      </c>
      <c r="D98" s="0" t="inlineStr">
        <is>
          <t>Danniel</t>
        </is>
      </c>
      <c r="E98" s="0" t="inlineStr">
        <is>
          <t>GunShoot</t>
        </is>
      </c>
      <c r="F98" s="0" t="inlineStr">
        <is>
          <t>Success</t>
        </is>
      </c>
      <c r="G98" s="0" t="inlineStr">
        <is>
          <t>Easy</t>
        </is>
      </c>
      <c r="H98" s="4">
        <v>140.288</v>
      </c>
      <c r="I98" s="4">
        <v>140.4201</v>
      </c>
      <c r="J98" s="4">
        <v>0.1321</v>
      </c>
      <c r="K98" s="4">
        <v>0.1321</v>
      </c>
      <c r="P98" s="0">
        <v>121</v>
      </c>
    </row>
    <row r="99" ht="17" customHeight="1">
      <c r="A99" s="6">
        <v>117</v>
      </c>
      <c r="B99" s="6" t="inlineStr">
        <is>
          <t>P028</t>
        </is>
      </c>
      <c r="C99" s="6" t="inlineStr">
        <is>
          <t>2026-10-02 15:40:08.140</t>
        </is>
      </c>
      <c r="D99" s="6" t="inlineStr">
        <is>
          <t>Danniel</t>
        </is>
      </c>
      <c r="E99" s="6" t="inlineStr">
        <is>
          <t>GunShoot</t>
        </is>
      </c>
      <c r="F99" s="6" t="inlineStr">
        <is>
          <t>Failed</t>
        </is>
      </c>
      <c r="G99" s="6" t="inlineStr">
        <is>
          <t>Easy</t>
        </is>
      </c>
      <c r="H99" s="4">
        <v>141.9515</v>
      </c>
      <c r="P99" s="6">
        <v>122</v>
      </c>
    </row>
    <row r="100" ht="17" customHeight="1">
      <c r="A100" s="0">
        <v>118</v>
      </c>
      <c r="B100" s="0" t="inlineStr">
        <is>
          <t>P028</t>
        </is>
      </c>
      <c r="C100" s="0" t="inlineStr">
        <is>
          <t>2026-10-02 15:40:08.390</t>
        </is>
      </c>
      <c r="D100" s="0" t="inlineStr">
        <is>
          <t>Danniel</t>
        </is>
      </c>
      <c r="E100" s="0" t="inlineStr">
        <is>
          <t>GunShoot</t>
        </is>
      </c>
      <c r="F100" s="0" t="inlineStr">
        <is>
          <t>Success</t>
        </is>
      </c>
      <c r="G100" s="0" t="inlineStr">
        <is>
          <t>Easy</t>
        </is>
      </c>
      <c r="H100" s="4">
        <v>141.824</v>
      </c>
      <c r="I100" s="4">
        <v>141.854</v>
      </c>
      <c r="J100" s="4">
        <v>0.03</v>
      </c>
      <c r="K100" s="4">
        <v>0.03</v>
      </c>
      <c r="P100" s="0">
        <v>123</v>
      </c>
    </row>
    <row r="101" ht="17" customHeight="1">
      <c r="A101" s="6">
        <v>120</v>
      </c>
      <c r="B101" s="6" t="inlineStr">
        <is>
          <t>P028</t>
        </is>
      </c>
      <c r="C101" s="6" t="inlineStr">
        <is>
          <t>2026-10-02 15:40:17.510</t>
        </is>
      </c>
      <c r="D101" s="6" t="inlineStr">
        <is>
          <t>Danniel</t>
        </is>
      </c>
      <c r="E101" s="6" t="inlineStr">
        <is>
          <t>GunShoot</t>
        </is>
      </c>
      <c r="F101" s="6" t="inlineStr">
        <is>
          <t>Success</t>
        </is>
      </c>
      <c r="G101" s="6" t="inlineStr">
        <is>
          <t>Easy</t>
        </is>
      </c>
      <c r="H101" s="4">
        <v>150.656</v>
      </c>
      <c r="I101" s="4">
        <v>150.807</v>
      </c>
      <c r="J101" s="4">
        <v>0.151</v>
      </c>
      <c r="K101" s="4">
        <v>0.151</v>
      </c>
      <c r="P101" s="6">
        <v>125</v>
      </c>
    </row>
    <row r="102" ht="17" customHeight="1">
      <c r="A102" s="0">
        <v>122</v>
      </c>
      <c r="B102" s="0" t="inlineStr">
        <is>
          <t>P028</t>
        </is>
      </c>
      <c r="C102" s="0" t="inlineStr">
        <is>
          <t>2026-10-02 15:40:17.692</t>
        </is>
      </c>
      <c r="D102" s="0" t="inlineStr">
        <is>
          <t>Danniel</t>
        </is>
      </c>
      <c r="E102" s="0" t="inlineStr">
        <is>
          <t>GunShoot</t>
        </is>
      </c>
      <c r="F102" s="0" t="inlineStr">
        <is>
          <t>Failed</t>
        </is>
      </c>
      <c r="G102" s="0" t="inlineStr">
        <is>
          <t>Easy</t>
        </is>
      </c>
      <c r="H102" s="4">
        <v>151.5032</v>
      </c>
      <c r="P102" s="0">
        <v>127</v>
      </c>
    </row>
    <row r="103" ht="17" customHeight="1">
      <c r="A103" s="6">
        <v>123</v>
      </c>
      <c r="B103" s="6" t="inlineStr">
        <is>
          <t>P028</t>
        </is>
      </c>
      <c r="C103" s="6" t="inlineStr">
        <is>
          <t>2026-10-02 15:40:19.099</t>
        </is>
      </c>
      <c r="D103" s="6" t="inlineStr">
        <is>
          <t>Danniel</t>
        </is>
      </c>
      <c r="E103" s="6" t="inlineStr">
        <is>
          <t>GunShoot</t>
        </is>
      </c>
      <c r="F103" s="6" t="inlineStr">
        <is>
          <t>Missed</t>
        </is>
      </c>
      <c r="G103" s="6" t="inlineStr">
        <is>
          <t>Easy</t>
        </is>
      </c>
      <c r="H103" s="4">
        <v>152.9095</v>
      </c>
      <c r="P103" s="6">
        <v>128</v>
      </c>
    </row>
    <row r="104" ht="17" customHeight="1">
      <c r="A104" s="0">
        <v>124</v>
      </c>
      <c r="B104" s="0" t="inlineStr">
        <is>
          <t>P028</t>
        </is>
      </c>
      <c r="C104" s="0" t="inlineStr">
        <is>
          <t>2026-10-02 15:40:19.099</t>
        </is>
      </c>
      <c r="D104" s="0" t="inlineStr">
        <is>
          <t>Danniel</t>
        </is>
      </c>
      <c r="E104" s="0" t="inlineStr">
        <is>
          <t>GunShoot</t>
        </is>
      </c>
      <c r="F104" s="0" t="inlineStr">
        <is>
          <t>Missed</t>
        </is>
      </c>
      <c r="G104" s="0" t="inlineStr">
        <is>
          <t>Easy</t>
        </is>
      </c>
      <c r="H104" s="4">
        <v>152.9095</v>
      </c>
      <c r="P104" s="0">
        <v>129</v>
      </c>
    </row>
    <row r="105" ht="17" customHeight="1">
      <c r="A105" s="6">
        <v>125</v>
      </c>
      <c r="B105" s="6" t="inlineStr">
        <is>
          <t>P028</t>
        </is>
      </c>
      <c r="C105" s="6" t="inlineStr">
        <is>
          <t>2026-10-02 15:40:20.127</t>
        </is>
      </c>
      <c r="D105" s="6" t="inlineStr">
        <is>
          <t>Danniel</t>
        </is>
      </c>
      <c r="E105" s="6" t="inlineStr">
        <is>
          <t>GunShoot</t>
        </is>
      </c>
      <c r="F105" s="6" t="inlineStr">
        <is>
          <t>Success</t>
        </is>
      </c>
      <c r="G105" s="6" t="inlineStr">
        <is>
          <t>Easy</t>
        </is>
      </c>
      <c r="H105" s="4">
        <v>153.728</v>
      </c>
      <c r="I105" s="4">
        <v>153.6192</v>
      </c>
      <c r="J105" s="4">
        <v>-0.1088</v>
      </c>
      <c r="K105" s="4">
        <v>0.1088</v>
      </c>
      <c r="P105" s="6">
        <v>130</v>
      </c>
    </row>
    <row r="106" ht="17" customHeight="1">
      <c r="A106" s="0">
        <v>127</v>
      </c>
      <c r="B106" s="0" t="inlineStr">
        <is>
          <t>P028</t>
        </is>
      </c>
      <c r="C106" s="0" t="inlineStr">
        <is>
          <t>2026-10-02 15:40:20.448</t>
        </is>
      </c>
      <c r="D106" s="0" t="inlineStr">
        <is>
          <t>Danniel</t>
        </is>
      </c>
      <c r="E106" s="0" t="inlineStr">
        <is>
          <t>GunShoot</t>
        </is>
      </c>
      <c r="F106" s="0" t="inlineStr">
        <is>
          <t>Failed</t>
        </is>
      </c>
      <c r="G106" s="0" t="inlineStr">
        <is>
          <t>Easy</t>
        </is>
      </c>
      <c r="H106" s="4">
        <v>154.2597</v>
      </c>
      <c r="P106" s="0">
        <v>132</v>
      </c>
    </row>
    <row r="107" ht="17" customHeight="1">
      <c r="A107" s="6">
        <v>129</v>
      </c>
      <c r="B107" s="6" t="inlineStr">
        <is>
          <t>P028</t>
        </is>
      </c>
      <c r="C107" s="6" t="inlineStr">
        <is>
          <t>2026-10-02 15:40:33.981</t>
        </is>
      </c>
      <c r="D107" s="6" t="inlineStr">
        <is>
          <t>Jeremy</t>
        </is>
      </c>
      <c r="E107" s="6" t="inlineStr">
        <is>
          <t>SwordCut</t>
        </is>
      </c>
      <c r="F107" s="6" t="inlineStr">
        <is>
          <t>Failed</t>
        </is>
      </c>
      <c r="G107" s="6" t="inlineStr">
        <is>
          <t>Easy</t>
        </is>
      </c>
      <c r="H107" s="4">
        <v>167.7061</v>
      </c>
      <c r="I107" s="4">
        <v>167.7923</v>
      </c>
      <c r="J107" s="4">
        <v>0.0862</v>
      </c>
      <c r="K107" s="4">
        <v>0.0862</v>
      </c>
      <c r="N107" s="4">
        <v>0.0</v>
      </c>
      <c r="O107" s="6" t="b">
        <v>1</v>
      </c>
      <c r="P107" s="6">
        <v>134</v>
      </c>
    </row>
    <row r="108" ht="17" customHeight="1">
      <c r="A108" s="0">
        <v>131</v>
      </c>
      <c r="B108" s="0" t="inlineStr">
        <is>
          <t>P028</t>
        </is>
      </c>
      <c r="C108" s="0" t="inlineStr">
        <is>
          <t>2026-10-02 15:40:36.112</t>
        </is>
      </c>
      <c r="D108" s="0" t="inlineStr">
        <is>
          <t>Jeremy</t>
        </is>
      </c>
      <c r="E108" s="0" t="inlineStr">
        <is>
          <t>SwordCut</t>
        </is>
      </c>
      <c r="F108" s="0" t="inlineStr">
        <is>
          <t>Failed</t>
        </is>
      </c>
      <c r="G108" s="0" t="inlineStr">
        <is>
          <t>Easy</t>
        </is>
      </c>
      <c r="H108" s="4">
        <v>170.0049</v>
      </c>
      <c r="I108" s="4">
        <v>169.9231</v>
      </c>
      <c r="J108" s="4">
        <v>-0.0818</v>
      </c>
      <c r="K108" s="4">
        <v>0.0818</v>
      </c>
      <c r="N108" s="4">
        <v>0.0</v>
      </c>
      <c r="O108" s="0" t="b">
        <v>1</v>
      </c>
      <c r="P108" s="0">
        <v>136</v>
      </c>
    </row>
    <row r="109" ht="17" customHeight="1">
      <c r="A109" s="6">
        <v>132</v>
      </c>
      <c r="B109" s="6" t="inlineStr">
        <is>
          <t>P028</t>
        </is>
      </c>
      <c r="C109" s="6" t="inlineStr">
        <is>
          <t>2026-10-02 15:40:38.200</t>
        </is>
      </c>
      <c r="D109" s="6" t="inlineStr">
        <is>
          <t>Jeremy</t>
        </is>
      </c>
      <c r="E109" s="6" t="inlineStr">
        <is>
          <t>SwordCut</t>
        </is>
      </c>
      <c r="F109" s="6" t="inlineStr">
        <is>
          <t>Failed</t>
        </is>
      </c>
      <c r="G109" s="6" t="inlineStr">
        <is>
          <t>Easy</t>
        </is>
      </c>
      <c r="H109" s="4">
        <v>172.3037</v>
      </c>
      <c r="I109" s="4">
        <v>172.0122</v>
      </c>
      <c r="J109" s="4">
        <v>-0.2915</v>
      </c>
      <c r="K109" s="4">
        <v>0.2915</v>
      </c>
      <c r="N109" s="4">
        <v>0.0</v>
      </c>
      <c r="O109" s="6" t="b">
        <v>0</v>
      </c>
      <c r="P109" s="6">
        <v>137</v>
      </c>
    </row>
    <row r="110" ht="17" customHeight="1">
      <c r="A110" s="0">
        <v>133</v>
      </c>
      <c r="B110" s="0" t="inlineStr">
        <is>
          <t>P028</t>
        </is>
      </c>
      <c r="C110" s="0" t="inlineStr">
        <is>
          <t>2026-10-02 15:40:40.833</t>
        </is>
      </c>
      <c r="D110" s="0" t="inlineStr">
        <is>
          <t>Jeremy</t>
        </is>
      </c>
      <c r="E110" s="0" t="inlineStr">
        <is>
          <t>SwordCut</t>
        </is>
      </c>
      <c r="F110" s="0" t="inlineStr">
        <is>
          <t>Failed</t>
        </is>
      </c>
      <c r="G110" s="0" t="inlineStr">
        <is>
          <t>Easy</t>
        </is>
      </c>
      <c r="H110" s="4">
        <v>174.6024</v>
      </c>
      <c r="I110" s="4">
        <v>174.6438</v>
      </c>
      <c r="J110" s="4">
        <v>0.0414</v>
      </c>
      <c r="K110" s="4">
        <v>0.0414</v>
      </c>
      <c r="N110" s="4">
        <v>0.0</v>
      </c>
      <c r="O110" s="0" t="b">
        <v>1</v>
      </c>
      <c r="P110" s="0">
        <v>138</v>
      </c>
    </row>
    <row r="111" ht="17" customHeight="1">
      <c r="A111" s="6">
        <v>134</v>
      </c>
      <c r="B111" s="6" t="inlineStr">
        <is>
          <t>P028</t>
        </is>
      </c>
      <c r="C111" s="6" t="inlineStr">
        <is>
          <t>2026-10-02 15:40:42.977</t>
        </is>
      </c>
      <c r="D111" s="6" t="inlineStr">
        <is>
          <t>Jeremy</t>
        </is>
      </c>
      <c r="E111" s="6" t="inlineStr">
        <is>
          <t>SwordCut</t>
        </is>
      </c>
      <c r="F111" s="6" t="inlineStr">
        <is>
          <t>Success</t>
        </is>
      </c>
      <c r="G111" s="6" t="inlineStr">
        <is>
          <t>Easy</t>
        </is>
      </c>
      <c r="H111" s="4">
        <v>176.9012</v>
      </c>
      <c r="I111" s="4">
        <v>176.7886</v>
      </c>
      <c r="J111" s="4">
        <v>-0.1126</v>
      </c>
      <c r="K111" s="4">
        <v>0.1126</v>
      </c>
      <c r="N111" s="4">
        <v>1.0</v>
      </c>
      <c r="O111" s="6" t="b">
        <v>1</v>
      </c>
      <c r="P111" s="6">
        <v>139</v>
      </c>
    </row>
    <row r="112" ht="17" customHeight="1">
      <c r="A112" s="0">
        <v>136</v>
      </c>
      <c r="B112" s="0" t="inlineStr">
        <is>
          <t>P028</t>
        </is>
      </c>
      <c r="C112" s="0" t="inlineStr">
        <is>
          <t>2026-10-02 15:40:45.219</t>
        </is>
      </c>
      <c r="D112" s="0" t="inlineStr">
        <is>
          <t>Jeremy</t>
        </is>
      </c>
      <c r="E112" s="0" t="inlineStr">
        <is>
          <t>SwordCut</t>
        </is>
      </c>
      <c r="F112" s="0" t="inlineStr">
        <is>
          <t>Success</t>
        </is>
      </c>
      <c r="G112" s="0" t="inlineStr">
        <is>
          <t>Easy</t>
        </is>
      </c>
      <c r="H112" s="4">
        <v>179.2</v>
      </c>
      <c r="I112" s="4">
        <v>179.03</v>
      </c>
      <c r="J112" s="4">
        <v>-0.17</v>
      </c>
      <c r="K112" s="4">
        <v>0.17</v>
      </c>
      <c r="N112" s="4">
        <v>1.0</v>
      </c>
      <c r="O112" s="0" t="b">
        <v>1</v>
      </c>
      <c r="P112" s="0">
        <v>141</v>
      </c>
    </row>
    <row r="113" ht="17" customHeight="1">
      <c r="A113" s="6">
        <v>137</v>
      </c>
      <c r="B113" s="6" t="inlineStr">
        <is>
          <t>P028</t>
        </is>
      </c>
      <c r="C113" s="6" t="inlineStr">
        <is>
          <t>2026-10-02 15:40:48.323</t>
        </is>
      </c>
      <c r="D113" s="6" t="inlineStr">
        <is>
          <t>Jeremy</t>
        </is>
      </c>
      <c r="E113" s="6" t="inlineStr">
        <is>
          <t>SwordCut</t>
        </is>
      </c>
      <c r="F113" s="6" t="inlineStr">
        <is>
          <t>Missed</t>
        </is>
      </c>
      <c r="G113" s="6" t="inlineStr">
        <is>
          <t>Easy</t>
        </is>
      </c>
      <c r="H113" s="4">
        <v>181.4988</v>
      </c>
      <c r="P113" s="6">
        <v>142</v>
      </c>
    </row>
  </sheetData>
  <autoFilter ref="A1:P113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10</v>
      </c>
      <c r="B2" s="0" t="inlineStr">
        <is>
          <t>2026-10-02 15:37:49.697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0.6</v>
      </c>
      <c r="I2" s="0">
        <v>15</v>
      </c>
    </row>
    <row r="3" ht="17" customHeight="1">
      <c r="A3" s="6">
        <v>53</v>
      </c>
      <c r="B3" s="6" t="inlineStr">
        <is>
          <t>2026-10-02 15:38:36.617</t>
        </is>
      </c>
      <c r="C3" s="6" t="inlineStr">
        <is>
          <t>Joaquin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1.0</v>
      </c>
      <c r="I3" s="6">
        <v>58</v>
      </c>
    </row>
    <row r="4" ht="17" customHeight="1">
      <c r="A4" s="0">
        <v>69</v>
      </c>
      <c r="B4" s="0" t="inlineStr">
        <is>
          <t>2026-10-02 15:39:02.136</t>
        </is>
      </c>
      <c r="C4" s="0" t="inlineStr">
        <is>
          <t>Shipi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0.0</v>
      </c>
      <c r="I4" s="0">
        <v>74</v>
      </c>
    </row>
  </sheetData>
  <autoFilter ref="A1:I4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4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15:37:46.189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15:37:47.122</t>
        </is>
      </c>
      <c r="C3" s="6" t="inlineStr">
        <is>
          <t>Engaged</t>
        </is>
      </c>
      <c r="D3" s="6">
        <v>8</v>
      </c>
    </row>
    <row r="4" ht="17" customHeight="1">
      <c r="A4" s="0">
        <v>9</v>
      </c>
      <c r="B4" s="0" t="inlineStr">
        <is>
          <t>2026-10-02 15:37:49.697</t>
        </is>
      </c>
      <c r="C4" s="0" t="inlineStr">
        <is>
          <t>Overloaded</t>
        </is>
      </c>
      <c r="D4" s="0">
        <v>14</v>
      </c>
    </row>
    <row r="5" ht="17" customHeight="1">
      <c r="A5" s="6">
        <v>11</v>
      </c>
      <c r="B5" s="6" t="inlineStr">
        <is>
          <t>2026-10-02 15:37:49.699</t>
        </is>
      </c>
      <c r="C5" s="6" t="inlineStr">
        <is>
          <t>Engaged</t>
        </is>
      </c>
      <c r="D5" s="6">
        <v>16</v>
      </c>
    </row>
    <row r="6" ht="17" customHeight="1">
      <c r="A6" s="0">
        <v>23</v>
      </c>
      <c r="B6" s="0" t="inlineStr">
        <is>
          <t>2026-10-02 15:37:57.842</t>
        </is>
      </c>
      <c r="C6" s="0" t="inlineStr">
        <is>
          <t>Overloaded</t>
        </is>
      </c>
      <c r="D6" s="0">
        <v>28</v>
      </c>
    </row>
    <row r="7" ht="17" customHeight="1">
      <c r="A7" s="6">
        <v>36</v>
      </c>
      <c r="B7" s="6" t="inlineStr">
        <is>
          <t>2026-10-02 15:38:10.110</t>
        </is>
      </c>
      <c r="C7" s="6" t="inlineStr">
        <is>
          <t>Engaged</t>
        </is>
      </c>
      <c r="D7" s="6">
        <v>41</v>
      </c>
    </row>
    <row r="8" ht="17" customHeight="1">
      <c r="A8" s="0">
        <v>59</v>
      </c>
      <c r="B8" s="0" t="inlineStr">
        <is>
          <t>2026-10-02 15:38:51.040</t>
        </is>
      </c>
      <c r="C8" s="0" t="inlineStr">
        <is>
          <t>Idle</t>
        </is>
      </c>
      <c r="D8" s="0">
        <v>64</v>
      </c>
    </row>
    <row r="9" ht="17" customHeight="1">
      <c r="A9" s="6">
        <v>63</v>
      </c>
      <c r="B9" s="6" t="inlineStr">
        <is>
          <t>2026-10-02 15:38:55.079</t>
        </is>
      </c>
      <c r="C9" s="6" t="inlineStr">
        <is>
          <t>Engaged</t>
        </is>
      </c>
      <c r="D9" s="6">
        <v>68</v>
      </c>
    </row>
    <row r="10" ht="17" customHeight="1">
      <c r="A10" s="0">
        <v>68</v>
      </c>
      <c r="B10" s="0" t="inlineStr">
        <is>
          <t>2026-10-02 15:39:02.136</t>
        </is>
      </c>
      <c r="C10" s="0" t="inlineStr">
        <is>
          <t>Overloaded</t>
        </is>
      </c>
      <c r="D10" s="0">
        <v>73</v>
      </c>
    </row>
    <row r="11" ht="17" customHeight="1">
      <c r="A11" s="6">
        <v>70</v>
      </c>
      <c r="B11" s="6" t="inlineStr">
        <is>
          <t>2026-10-02 15:39:02.138</t>
        </is>
      </c>
      <c r="C11" s="6" t="inlineStr">
        <is>
          <t>Engaged</t>
        </is>
      </c>
      <c r="D11" s="6">
        <v>75</v>
      </c>
    </row>
    <row r="12" ht="17" customHeight="1">
      <c r="A12" s="0">
        <v>73</v>
      </c>
      <c r="B12" s="0" t="inlineStr">
        <is>
          <t>2026-10-02 15:39:07.134</t>
        </is>
      </c>
      <c r="C12" s="0" t="inlineStr">
        <is>
          <t>Idle</t>
        </is>
      </c>
      <c r="D12" s="0">
        <v>78</v>
      </c>
    </row>
    <row r="13" ht="17" customHeight="1">
      <c r="A13" s="6">
        <v>76</v>
      </c>
      <c r="B13" s="6" t="inlineStr">
        <is>
          <t>2026-10-02 15:39:09.713</t>
        </is>
      </c>
      <c r="C13" s="6" t="inlineStr">
        <is>
          <t>Engaged</t>
        </is>
      </c>
      <c r="D13" s="6">
        <v>81</v>
      </c>
    </row>
    <row r="14" ht="17" customHeight="1">
      <c r="A14" s="0">
        <v>87</v>
      </c>
      <c r="B14" s="0" t="inlineStr">
        <is>
          <t>2026-10-02 15:39:28.533</t>
        </is>
      </c>
      <c r="C14" s="0" t="inlineStr">
        <is>
          <t>Overloaded</t>
        </is>
      </c>
      <c r="D14" s="0">
        <v>92</v>
      </c>
    </row>
    <row r="15" ht="17" customHeight="1">
      <c r="A15" s="6">
        <v>104</v>
      </c>
      <c r="B15" s="6" t="inlineStr">
        <is>
          <t>2026-10-02 15:39:54.775</t>
        </is>
      </c>
      <c r="C15" s="6" t="inlineStr">
        <is>
          <t>Idle</t>
        </is>
      </c>
      <c r="D15" s="6">
        <v>109</v>
      </c>
    </row>
    <row r="16" ht="17" customHeight="1">
      <c r="A16" s="0">
        <v>107</v>
      </c>
      <c r="B16" s="0" t="inlineStr">
        <is>
          <t>2026-10-02 15:39:57.477</t>
        </is>
      </c>
      <c r="C16" s="0" t="inlineStr">
        <is>
          <t>Engaged</t>
        </is>
      </c>
      <c r="D16" s="0">
        <v>112</v>
      </c>
    </row>
    <row r="17" ht="17" customHeight="1">
      <c r="A17" s="6">
        <v>112</v>
      </c>
      <c r="B17" s="6" t="inlineStr">
        <is>
          <t>2026-10-02 15:40:01.638</t>
        </is>
      </c>
      <c r="C17" s="6" t="inlineStr">
        <is>
          <t>Overloaded</t>
        </is>
      </c>
      <c r="D17" s="6">
        <v>117</v>
      </c>
    </row>
    <row r="18" ht="17" customHeight="1">
      <c r="A18" s="0">
        <v>119</v>
      </c>
      <c r="B18" s="0" t="inlineStr">
        <is>
          <t>2026-10-02 15:40:13.390</t>
        </is>
      </c>
      <c r="C18" s="0" t="inlineStr">
        <is>
          <t>Idle</t>
        </is>
      </c>
      <c r="D18" s="0">
        <v>124</v>
      </c>
    </row>
    <row r="19" ht="17" customHeight="1">
      <c r="A19" s="6">
        <v>121</v>
      </c>
      <c r="B19" s="6" t="inlineStr">
        <is>
          <t>2026-10-02 15:40:17.512</t>
        </is>
      </c>
      <c r="C19" s="6" t="inlineStr">
        <is>
          <t>Engaged</t>
        </is>
      </c>
      <c r="D19" s="6">
        <v>126</v>
      </c>
    </row>
    <row r="20" ht="17" customHeight="1">
      <c r="A20" s="0">
        <v>126</v>
      </c>
      <c r="B20" s="0" t="inlineStr">
        <is>
          <t>2026-10-02 15:40:20.129</t>
        </is>
      </c>
      <c r="C20" s="0" t="inlineStr">
        <is>
          <t>Overloaded</t>
        </is>
      </c>
      <c r="D20" s="0">
        <v>131</v>
      </c>
    </row>
    <row r="21" ht="17" customHeight="1">
      <c r="A21" s="6">
        <v>128</v>
      </c>
      <c r="B21" s="6" t="inlineStr">
        <is>
          <t>2026-10-02 15:40:25.449</t>
        </is>
      </c>
      <c r="C21" s="6" t="inlineStr">
        <is>
          <t>Idle</t>
        </is>
      </c>
      <c r="D21" s="6">
        <v>133</v>
      </c>
    </row>
    <row r="22" ht="17" customHeight="1">
      <c r="A22" s="0">
        <v>130</v>
      </c>
      <c r="B22" s="0" t="inlineStr">
        <is>
          <t>2026-10-02 15:40:33.981</t>
        </is>
      </c>
      <c r="C22" s="0" t="inlineStr">
        <is>
          <t>Engaged</t>
        </is>
      </c>
      <c r="D22" s="0">
        <v>135</v>
      </c>
    </row>
    <row r="23" ht="17" customHeight="1">
      <c r="A23" s="6">
        <v>135</v>
      </c>
      <c r="B23" s="6" t="inlineStr">
        <is>
          <t>2026-10-02 15:40:42.977</t>
        </is>
      </c>
      <c r="C23" s="6" t="inlineStr">
        <is>
          <t>Overloaded</t>
        </is>
      </c>
      <c r="D23" s="6">
        <v>140</v>
      </c>
    </row>
    <row r="24" ht="17" customHeight="1">
      <c r="A24" s="0">
        <v>138</v>
      </c>
      <c r="B24" s="0" t="inlineStr">
        <is>
          <t>2026-10-02 15:40:50.216</t>
        </is>
      </c>
      <c r="C24" s="0" t="inlineStr">
        <is>
          <t>Idle</t>
        </is>
      </c>
      <c r="D24" s="0">
        <v>143</v>
      </c>
    </row>
  </sheetData>
  <autoFilter ref="A1:D24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39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15:37:46.189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15:37:46.189 | PlayerState: Idle</t>
        </is>
      </c>
    </row>
    <row r="3" ht="17" customHeight="1">
      <c r="A3" s="6">
        <v>2</v>
      </c>
      <c r="B3" s="6" t="inlineStr">
        <is>
          <t>2026-10-02 15:37:47.120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15:37:47.120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15:37:47.122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15:37:47.122 | PlayerState: Engaged</t>
        </is>
      </c>
    </row>
    <row r="5" ht="17" customHeight="1">
      <c r="A5" s="6">
        <v>4</v>
      </c>
      <c r="B5" s="6" t="inlineStr">
        <is>
          <t>2026-10-02 15:37:47.859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M5" s="6">
        <v>9</v>
      </c>
      <c r="N5" s="6" t="inlineStr">
        <is>
          <t>2026-10-02 15:37:47.859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15:37:47.873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15:37:47.873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15:37:48.930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M7" s="6">
        <v>11</v>
      </c>
      <c r="N7" s="6" t="inlineStr">
        <is>
          <t>2026-10-02 15:37:48.930 | Minigame: Alex | Type: HammerTouch | Outcome: Missed | Difficulty: Normal | ExpectedTime: 2.4320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15:37:49.390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Failed</t>
        </is>
      </c>
      <c r="G8" s="0" t="inlineStr">
        <is>
          <t>Normal</t>
        </is>
      </c>
      <c r="K8" s="4">
        <v>0.0155</v>
      </c>
      <c r="M8" s="0">
        <v>12</v>
      </c>
      <c r="N8" s="0" t="inlineStr">
        <is>
          <t>2026-10-02 15:37:49.390 | Minigame: Alex | Type: HammerHit | Outcome: Failed | Difficulty: Normal | ExpectedTime: 3.2000 | ActualTime: 3.2155 | TimingOffset: 0.0155 | TimingError: 0.0155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15:37:49.697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15:37:49.697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15:37:49.697</t>
        </is>
      </c>
      <c r="C10" s="0" t="inlineStr">
        <is>
          <t>PlayerState</t>
        </is>
      </c>
      <c r="H10" s="0" t="inlineStr">
        <is>
          <t>Overloaded</t>
        </is>
      </c>
      <c r="M10" s="0">
        <v>14</v>
      </c>
      <c r="N10" s="0" t="inlineStr">
        <is>
          <t>2026-10-02 15:37:49.697 | PlayerState: Overloaded</t>
        </is>
      </c>
    </row>
    <row r="11" ht="17" customHeight="1">
      <c r="A11" s="6">
        <v>10</v>
      </c>
      <c r="B11" s="6" t="inlineStr">
        <is>
          <t>2026-10-02 15:37:49.697</t>
        </is>
      </c>
      <c r="C11" s="6" t="inlineStr">
        <is>
          <t>DifficultyChanged</t>
        </is>
      </c>
      <c r="D11" s="6" t="inlineStr">
        <is>
          <t>Alex</t>
        </is>
      </c>
      <c r="I11" s="6" t="inlineStr">
        <is>
          <t>Normal -&gt; Easy</t>
        </is>
      </c>
      <c r="J11" s="6" t="inlineStr">
        <is>
          <t>PlayerState: Overloaded</t>
        </is>
      </c>
      <c r="M11" s="6">
        <v>15</v>
      </c>
      <c r="N11" s="6" t="inlineStr">
        <is>
          <t>2026-10-02 15:37:49.697 | DifficultyChanged: Normal -&gt; Easy | Reason: PlayerState: Overloaded | Minigame: Alex | RecentSuccessRate: 0.60</t>
        </is>
      </c>
    </row>
    <row r="12" ht="17" customHeight="1">
      <c r="A12" s="0">
        <v>11</v>
      </c>
      <c r="B12" s="0" t="inlineStr">
        <is>
          <t>2026-10-02 15:37:49.699</t>
        </is>
      </c>
      <c r="C12" s="0" t="inlineStr">
        <is>
          <t>PlayerState</t>
        </is>
      </c>
      <c r="H12" s="0" t="inlineStr">
        <is>
          <t>Engaged</t>
        </is>
      </c>
      <c r="M12" s="0">
        <v>16</v>
      </c>
      <c r="N12" s="0" t="inlineStr">
        <is>
          <t>2026-10-02 15:37:49.699 | PlayerState: Engaged</t>
        </is>
      </c>
    </row>
    <row r="13" ht="17" customHeight="1">
      <c r="A13" s="6">
        <v>12</v>
      </c>
      <c r="B13" s="6" t="inlineStr">
        <is>
          <t>2026-10-02 15:37:50.198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Easy</t>
        </is>
      </c>
      <c r="K13" s="4">
        <v>0.0413</v>
      </c>
      <c r="M13" s="6">
        <v>17</v>
      </c>
      <c r="N13" s="6" t="inlineStr">
        <is>
          <t>2026-10-02 15:37:50.198 | Minigame: Alex | Type: HammerHit | Outcome: Success | Difficulty: Easy | ExpectedTime: 3.9680 | ActualTime: 4.0093 | TimingOffset: 0.0413 | TimingError: 0.0413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15:37:51.716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Failed</t>
        </is>
      </c>
      <c r="G14" s="0" t="inlineStr">
        <is>
          <t>Easy</t>
        </is>
      </c>
      <c r="K14" s="4">
        <v>0.0367</v>
      </c>
      <c r="M14" s="0">
        <v>18</v>
      </c>
      <c r="N14" s="0" t="inlineStr">
        <is>
          <t>2026-10-02 15:37:51.716 | Minigame: Alex | Type: HammerHit | Outcome: Failed | Difficulty: Easy | ExpectedTime: 5.5040 | ActualTime: 5.5407 | TimingOffset: 0.0367 | TimingError: 0.0367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15:37:51.716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Easy</t>
        </is>
      </c>
      <c r="K15" s="4">
        <v>0.0367</v>
      </c>
      <c r="M15" s="6">
        <v>19</v>
      </c>
      <c r="N15" s="6" t="inlineStr">
        <is>
          <t>2026-10-02 15:37:51.716 | Minigame: Alex | Type: HammerHit | Outcome: Success | Difficulty: Easy | ExpectedTime: 5.5040 | ActualTime: 5.5407 | TimingOffset: 0.0367 | TimingError: 0.0367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15:37:53.234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Easy</t>
        </is>
      </c>
      <c r="K16" s="4">
        <v>0.0183</v>
      </c>
      <c r="M16" s="0">
        <v>20</v>
      </c>
      <c r="N16" s="0" t="inlineStr">
        <is>
          <t>2026-10-02 15:37:53.234 | Minigame: Alex | Type: HammerHit | Outcome: Success | Difficulty: Easy | ExpectedTime: 7.0400 | ActualTime: 7.0583 | TimingOffset: 0.0183 | TimingError: 0.0183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15:37:53.274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Failed</t>
        </is>
      </c>
      <c r="G17" s="6" t="inlineStr">
        <is>
          <t>Easy</t>
        </is>
      </c>
      <c r="M17" s="6">
        <v>21</v>
      </c>
      <c r="N17" s="6" t="inlineStr">
        <is>
          <t>2026-10-02 15:37:53.274 | Minigame: Alex | Type: HammerHit | Outcome: Failed | Difficulty: Easy | ExpectedTime: 7.0400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15:37:54.750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Failed</t>
        </is>
      </c>
      <c r="G18" s="0" t="inlineStr">
        <is>
          <t>Easy</t>
        </is>
      </c>
      <c r="K18" s="4">
        <v>0.0</v>
      </c>
      <c r="M18" s="0">
        <v>22</v>
      </c>
      <c r="N18" s="0" t="inlineStr">
        <is>
          <t>2026-10-02 15:37:54.750 | Minigame: Alex | Type: HammerHit | Outcome: Failed | Difficulty: Easy | ExpectedTime: 8.5760 | ActualTime: 8.5760 | TimingOffset: 0.0000 | TimingError: 0.0000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15:37:54.752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K19" s="4">
        <v>0.0</v>
      </c>
      <c r="M19" s="6">
        <v>23</v>
      </c>
      <c r="N19" s="6" t="inlineStr">
        <is>
          <t>2026-10-02 15:37:54.752 | Minigame: Alex | Type: HammerHit | Outcome: Success | Difficulty: Easy | ExpectedTime: 8.5760 | ActualTime: 8.5760 | TimingOffset: 0.0000 | TimingError: 0.0000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15:37:56.296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Easy</t>
        </is>
      </c>
      <c r="K20" s="4">
        <v>0.0094</v>
      </c>
      <c r="M20" s="0">
        <v>24</v>
      </c>
      <c r="N20" s="0" t="inlineStr">
        <is>
          <t>2026-10-02 15:37:56.296 | Minigame: Alex | Type: HammerHit | Outcome: Success | Difficulty: Easy | ExpectedTime: 10.1120 | ActualTime: 10.1214 | TimingOffset: 0.0094 | TimingError: 0.0094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15:37:56.323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Failed</t>
        </is>
      </c>
      <c r="G21" s="6" t="inlineStr">
        <is>
          <t>Easy</t>
        </is>
      </c>
      <c r="M21" s="6">
        <v>25</v>
      </c>
      <c r="N21" s="6" t="inlineStr">
        <is>
          <t>2026-10-02 15:37:56.323 | Minigame: Alex | Type: HammerHit | Outcome: Failed | Difficulty: Easy | ExpectedTime: 10.1120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15:37:57.814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Easy</t>
        </is>
      </c>
      <c r="K22" s="4">
        <v>0.0096</v>
      </c>
      <c r="M22" s="0">
        <v>26</v>
      </c>
      <c r="N22" s="0" t="inlineStr">
        <is>
          <t>2026-10-02 15:37:57.814 | Minigame: Alex | Type: HammerHit | Outcome: Failed | Difficulty: Easy | ExpectedTime: 11.6480 | ActualTime: 11.6384 | TimingOffset: -0.0096 | TimingError: 0.0096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15:37:57.842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Failed</t>
        </is>
      </c>
      <c r="G23" s="6" t="inlineStr">
        <is>
          <t>Easy</t>
        </is>
      </c>
      <c r="K23" s="4">
        <v>0.0184</v>
      </c>
      <c r="M23" s="6">
        <v>27</v>
      </c>
      <c r="N23" s="6" t="inlineStr">
        <is>
          <t>2026-10-02 15:37:57.842 | Minigame: Alex | Type: HammerHit | Outcome: Failed | Difficulty: Easy | ExpectedTime: 11.6480 | ActualTime: 11.6664 | TimingOffset: 0.0184 | TimingError: 0.0184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15:37:57.842</t>
        </is>
      </c>
      <c r="C24" s="0" t="inlineStr">
        <is>
          <t>PlayerState</t>
        </is>
      </c>
      <c r="H24" s="0" t="inlineStr">
        <is>
          <t>Overloaded</t>
        </is>
      </c>
      <c r="M24" s="0">
        <v>28</v>
      </c>
      <c r="N24" s="0" t="inlineStr">
        <is>
          <t>2026-10-02 15:37:57.842 | PlayerState: Overloaded</t>
        </is>
      </c>
    </row>
    <row r="25" ht="17" customHeight="1">
      <c r="A25" s="6">
        <v>24</v>
      </c>
      <c r="B25" s="6" t="inlineStr">
        <is>
          <t>2026-10-02 15:37:59.359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Easy</t>
        </is>
      </c>
      <c r="K25" s="4">
        <v>0.014</v>
      </c>
      <c r="M25" s="6">
        <v>29</v>
      </c>
      <c r="N25" s="6" t="inlineStr">
        <is>
          <t>2026-10-02 15:37:59.359 | Minigame: Alex | Type: HammerHit | Outcome: Success | Difficulty: Easy | ExpectedTime: 13.1840 | ActualTime: 13.1700 | TimingOffset: -0.0140 | TimingError: 0.0140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15:37:59.360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Failed</t>
        </is>
      </c>
      <c r="G26" s="0" t="inlineStr">
        <is>
          <t>Easy</t>
        </is>
      </c>
      <c r="M26" s="0">
        <v>30</v>
      </c>
      <c r="N26" s="0" t="inlineStr">
        <is>
          <t>2026-10-02 15:37:59.360 | Minigame: Alex | Type: HammerHit | Outcome: Failed | Difficulty: Easy | ExpectedTime: 13.1840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15:38:00.877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Easy</t>
        </is>
      </c>
      <c r="K27" s="4">
        <v>0.018</v>
      </c>
      <c r="M27" s="6">
        <v>31</v>
      </c>
      <c r="N27" s="6" t="inlineStr">
        <is>
          <t>2026-10-02 15:38:00.877 | Minigame: Alex | Type: HammerHit | Outcome: Success | Difficulty: Easy | ExpectedTime: 14.7200 | ActualTime: 14.7020 | TimingOffset: -0.0180 | TimingError: 0.0180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15:38:00.878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K28" s="4">
        <v>0.018</v>
      </c>
      <c r="M28" s="0">
        <v>32</v>
      </c>
      <c r="N28" s="0" t="inlineStr">
        <is>
          <t>2026-10-02 15:38:00.878 | Minigame: Alex | Type: HammerHit | Outcome: Failed | Difficulty: Easy | ExpectedTime: 14.7200 | ActualTime: 14.7020 | TimingOffset: -0.0180 | TimingError: 0.0180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15:38:02.436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Easy</t>
        </is>
      </c>
      <c r="K29" s="4">
        <v>0.0061</v>
      </c>
      <c r="M29" s="6">
        <v>33</v>
      </c>
      <c r="N29" s="6" t="inlineStr">
        <is>
          <t>2026-10-02 15:38:02.436 | Minigame: Alex | Type: HammerHit | Outcome: Success | Difficulty: Easy | ExpectedTime: 16.2560 | ActualTime: 16.2621 | TimingOffset: 0.0061 | TimingError: 0.0061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15:38:03.954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Easy</t>
        </is>
      </c>
      <c r="K30" s="4">
        <v>0.0121</v>
      </c>
      <c r="M30" s="0">
        <v>34</v>
      </c>
      <c r="N30" s="0" t="inlineStr">
        <is>
          <t>2026-10-02 15:38:03.954 | Minigame: Alex | Type: HammerHit | Outcome: Success | Difficulty: Easy | ExpectedTime: 17.7920 | ActualTime: 17.7799 | TimingOffset: -0.0121 | TimingError: 0.0121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15:38:03.956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Failed</t>
        </is>
      </c>
      <c r="G31" s="6" t="inlineStr">
        <is>
          <t>Easy</t>
        </is>
      </c>
      <c r="K31" s="4">
        <v>0.0121</v>
      </c>
      <c r="M31" s="6">
        <v>35</v>
      </c>
      <c r="N31" s="6" t="inlineStr">
        <is>
          <t>2026-10-02 15:38:03.956 | Minigame: Alex | Type: HammerHit | Outcome: Failed | Difficulty: Easy | ExpectedTime: 17.7920 | ActualTime: 17.7799 | TimingOffset: -0.0121 | TimingError: 0.0121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15:38:05.513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Easy</t>
        </is>
      </c>
      <c r="K32" s="4">
        <v>0.0107</v>
      </c>
      <c r="M32" s="0">
        <v>36</v>
      </c>
      <c r="N32" s="0" t="inlineStr">
        <is>
          <t>2026-10-02 15:38:05.513 | Minigame: Alex | Type: HammerHit | Outcome: Success | Difficulty: Easy | ExpectedTime: 19.3280 | ActualTime: 19.3387 | TimingOffset: 0.0107 | TimingError: 0.0107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15:38:07.018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Easy</t>
        </is>
      </c>
      <c r="K33" s="4">
        <v>0.0217</v>
      </c>
      <c r="M33" s="6">
        <v>37</v>
      </c>
      <c r="N33" s="6" t="inlineStr">
        <is>
          <t>2026-10-02 15:38:07.018 | Minigame: Alex | Type: HammerHit | Outcome: Success | Difficulty: Easy | ExpectedTime: 20.8640 | ActualTime: 20.8423 | TimingOffset: -0.0217 | TimingError: 0.0217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15:38:07.018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Failed</t>
        </is>
      </c>
      <c r="G34" s="0" t="inlineStr">
        <is>
          <t>Easy</t>
        </is>
      </c>
      <c r="K34" s="4">
        <v>0.0217</v>
      </c>
      <c r="M34" s="0">
        <v>38</v>
      </c>
      <c r="N34" s="0" t="inlineStr">
        <is>
          <t>2026-10-02 15:38:07.018 | Minigame: Alex | Type: HammerHit | Outcome: Failed | Difficulty: Easy | ExpectedTime: 20.8640 | ActualTime: 20.8423 | TimingOffset: -0.0217 | TimingError: 0.0217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15:38:08.591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K35" s="4">
        <v>0.0162</v>
      </c>
      <c r="M35" s="6">
        <v>39</v>
      </c>
      <c r="N35" s="6" t="inlineStr">
        <is>
          <t>2026-10-02 15:38:08.591 | Minigame: Alex | Type: HammerHit | Outcome: Success | Difficulty: Easy | ExpectedTime: 22.4000 | ActualTime: 22.4162 | TimingOffset: 0.0162 | TimingError: 0.0162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15:38:10.109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K36" s="4">
        <v>0.0026</v>
      </c>
      <c r="M36" s="0">
        <v>40</v>
      </c>
      <c r="N36" s="0" t="inlineStr">
        <is>
          <t>2026-10-02 15:38:10.109 | Minigame: Alex | Type: HammerHit | Outcome: Success | Difficulty: Easy | ExpectedTime: 23.9360 | ActualTime: 23.9334 | TimingOffset: -0.0026 | TimingError: 0.0026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15:38:10.110</t>
        </is>
      </c>
      <c r="C37" s="6" t="inlineStr">
        <is>
          <t>PlayerState</t>
        </is>
      </c>
      <c r="H37" s="6" t="inlineStr">
        <is>
          <t>Engaged</t>
        </is>
      </c>
      <c r="M37" s="6">
        <v>41</v>
      </c>
      <c r="N37" s="6" t="inlineStr">
        <is>
          <t>2026-10-02 15:38:10.110 | PlayerState: Engaged</t>
        </is>
      </c>
    </row>
    <row r="38" ht="17" customHeight="1">
      <c r="A38" s="0">
        <v>37</v>
      </c>
      <c r="B38" s="0" t="inlineStr">
        <is>
          <t>2026-10-02 15:38:10.110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Easy</t>
        </is>
      </c>
      <c r="K38" s="4">
        <v>0.0026</v>
      </c>
      <c r="M38" s="0">
        <v>42</v>
      </c>
      <c r="N38" s="0" t="inlineStr">
        <is>
          <t>2026-10-02 15:38:10.110 | Minigame: Alex | Type: HammerHit | Outcome: Failed | Difficulty: Easy | ExpectedTime: 23.9360 | ActualTime: 23.9334 | TimingOffset: -0.0026 | TimingError: 0.0026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15:38:11.667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K39" s="4">
        <v>0.0203</v>
      </c>
      <c r="M39" s="6">
        <v>43</v>
      </c>
      <c r="N39" s="6" t="inlineStr">
        <is>
          <t>2026-10-02 15:38:11.667 | Minigame: Alex | Type: HammerHit | Outcome: Success | Difficulty: Easy | ExpectedTime: 25.4720 | ActualTime: 25.4923 | TimingOffset: 0.0203 | TimingError: 0.0203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15:38:13.184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Failed</t>
        </is>
      </c>
      <c r="G40" s="0" t="inlineStr">
        <is>
          <t>Easy</t>
        </is>
      </c>
      <c r="K40" s="4">
        <v>0.0021</v>
      </c>
      <c r="M40" s="0">
        <v>44</v>
      </c>
      <c r="N40" s="0" t="inlineStr">
        <is>
          <t>2026-10-02 15:38:13.184 | Minigame: Alex | Type: HammerHit | Outcome: Failed | Difficulty: Easy | ExpectedTime: 27.0080 | ActualTime: 27.0101 | TimingOffset: 0.0021 | TimingError: 0.0021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15:38:13.199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Easy</t>
        </is>
      </c>
      <c r="K41" s="4">
        <v>0.0021</v>
      </c>
      <c r="M41" s="6">
        <v>45</v>
      </c>
      <c r="N41" s="6" t="inlineStr">
        <is>
          <t>2026-10-02 15:38:13.199 | Minigame: Alex | Type: HammerHit | Outcome: Success | Difficulty: Easy | ExpectedTime: 27.0080 | ActualTime: 27.0101 | TimingOffset: 0.0021 | TimingError: 0.0021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15:38:14.730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Easy</t>
        </is>
      </c>
      <c r="K42" s="4">
        <v>0.0023</v>
      </c>
      <c r="M42" s="0">
        <v>46</v>
      </c>
      <c r="N42" s="0" t="inlineStr">
        <is>
          <t>2026-10-02 15:38:14.730 | Minigame: Alex | Type: HammerHit | Outcome: Success | Difficulty: Easy | ExpectedTime: 28.5440 | ActualTime: 28.5417 | TimingOffset: -0.0023 | TimingError: 0.0023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15:38:14.771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Easy</t>
        </is>
      </c>
      <c r="M43" s="6">
        <v>47</v>
      </c>
      <c r="N43" s="6" t="inlineStr">
        <is>
          <t>2026-10-02 15:38:14.771 | Minigame: Alex | Type: HammerTouch | Outcome: Success | Difficulty: Easy | ExpectedTime: 28.5440 | ActualTime: N/A | TimingOffset: N/A | TimingError: N/A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15:38:16.248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Failed</t>
        </is>
      </c>
      <c r="G44" s="0" t="inlineStr">
        <is>
          <t>Easy</t>
        </is>
      </c>
      <c r="K44" s="4">
        <v>0.0065</v>
      </c>
      <c r="M44" s="0">
        <v>48</v>
      </c>
      <c r="N44" s="0" t="inlineStr">
        <is>
          <t>2026-10-02 15:38:16.248 | Minigame: Alex | Type: HammerHit | Outcome: Failed | Difficulty: Easy | ExpectedTime: 30.0800 | ActualTime: 30.0735 | TimingOffset: -0.0065 | TimingError: 0.0065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15:38:16.250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Easy</t>
        </is>
      </c>
      <c r="K45" s="4">
        <v>0.0065</v>
      </c>
      <c r="M45" s="6">
        <v>49</v>
      </c>
      <c r="N45" s="6" t="inlineStr">
        <is>
          <t>2026-10-02 15:38:16.250 | Minigame: Alex | Type: HammerHit | Outcome: Success | Difficulty: Easy | ExpectedTime: 30.0800 | ActualTime: 30.0735 | TimingOffset: -0.0065 | TimingError: 0.0065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15:38:20.521</t>
        </is>
      </c>
      <c r="C46" s="0" t="inlineStr">
        <is>
          <t>Interaction</t>
        </is>
      </c>
      <c r="D46" s="0" t="inlineStr">
        <is>
          <t>Joaquin</t>
        </is>
      </c>
      <c r="E46" s="0" t="inlineStr">
        <is>
          <t>GuitarHit</t>
        </is>
      </c>
      <c r="F46" s="0" t="inlineStr">
        <is>
          <t>Success</t>
        </is>
      </c>
      <c r="G46" s="0" t="inlineStr">
        <is>
          <t>Easy</t>
        </is>
      </c>
      <c r="K46" s="4">
        <v>0.0283</v>
      </c>
      <c r="M46" s="0">
        <v>50</v>
      </c>
      <c r="N46" s="0" t="inlineStr">
        <is>
          <t>2026-10-02 15:38:20.521 | Minigame: Joaquin | Type: GuitarHit | Outcome: Success | Difficulty: Easy | ExpectedTime: 34.3040 | ActualTime: 34.3323 | TimingOffset: 0.0283 | TimingError: 0.0283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15:38:22.790</t>
        </is>
      </c>
      <c r="C47" s="6" t="inlineStr">
        <is>
          <t>Interaction</t>
        </is>
      </c>
      <c r="D47" s="6" t="inlineStr">
        <is>
          <t>Joaquin</t>
        </is>
      </c>
      <c r="E47" s="6" t="inlineStr">
        <is>
          <t>GuitarHit</t>
        </is>
      </c>
      <c r="F47" s="6" t="inlineStr">
        <is>
          <t>Success</t>
        </is>
      </c>
      <c r="G47" s="6" t="inlineStr">
        <is>
          <t>Easy</t>
        </is>
      </c>
      <c r="K47" s="4">
        <v>0.0059</v>
      </c>
      <c r="M47" s="6">
        <v>51</v>
      </c>
      <c r="N47" s="6" t="inlineStr">
        <is>
          <t>2026-10-02 15:38:22.790 | Minigame: Joaquin | Type: GuitarHit | Outcome: Success | Difficulty: Easy | ExpectedTime: 36.6080 | ActualTime: 36.6021 | TimingOffset: -0.0059 | TimingError: 0.0059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15:38:25.060</t>
        </is>
      </c>
      <c r="C48" s="0" t="inlineStr">
        <is>
          <t>Interaction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Easy</t>
        </is>
      </c>
      <c r="K48" s="4">
        <v>0.0403</v>
      </c>
      <c r="M48" s="0">
        <v>52</v>
      </c>
      <c r="N48" s="0" t="inlineStr">
        <is>
          <t>2026-10-02 15:38:25.060 | Minigame: Joaquin | Type: GuitarHit | Outcome: Success | Difficulty: Easy | ExpectedTime: 38.9120 | ActualTime: 38.8717 | TimingOffset: -0.0403 | TimingError: 0.0403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15:38:27.315</t>
        </is>
      </c>
      <c r="C49" s="6" t="inlineStr">
        <is>
          <t>Interaction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Easy</t>
        </is>
      </c>
      <c r="K49" s="4">
        <v>0.0894</v>
      </c>
      <c r="M49" s="6">
        <v>53</v>
      </c>
      <c r="N49" s="6" t="inlineStr">
        <is>
          <t>2026-10-02 15:38:27.315 | Minigame: Joaquin | Type: GuitarHit | Outcome: Success | Difficulty: Easy | ExpectedTime: 41.2160 | ActualTime: 41.1266 | TimingOffset: -0.0894 | TimingError: 0.0894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15:38:29.809</t>
        </is>
      </c>
      <c r="C50" s="0" t="inlineStr">
        <is>
          <t>Interaction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Easy</t>
        </is>
      </c>
      <c r="K50" s="4">
        <v>0.0992</v>
      </c>
      <c r="M50" s="0">
        <v>54</v>
      </c>
      <c r="N50" s="0" t="inlineStr">
        <is>
          <t>2026-10-02 15:38:29.809 | Minigame: Joaquin | Type: GuitarHit | Outcome: Success | Difficulty: Easy | ExpectedTime: 43.5200 | ActualTime: 43.6192 | TimingOffset: 0.0992 | TimingError: 0.0992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15:38:32.035</t>
        </is>
      </c>
      <c r="C51" s="6" t="inlineStr">
        <is>
          <t>Interaction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Easy</t>
        </is>
      </c>
      <c r="K51" s="4">
        <v>0.0226</v>
      </c>
      <c r="M51" s="6">
        <v>55</v>
      </c>
      <c r="N51" s="6" t="inlineStr">
        <is>
          <t>2026-10-02 15:38:32.035 | Minigame: Joaquin | Type: GuitarHit | Outcome: Success | Difficulty: Easy | ExpectedTime: 45.8240 | ActualTime: 45.8466 | TimingOffset: 0.0226 | TimingError: 0.0226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15:38:34.138</t>
        </is>
      </c>
      <c r="C52" s="0" t="inlineStr">
        <is>
          <t>Interaction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Easy</t>
        </is>
      </c>
      <c r="K52" s="4">
        <v>0.1793</v>
      </c>
      <c r="M52" s="0">
        <v>56</v>
      </c>
      <c r="N52" s="0" t="inlineStr">
        <is>
          <t>2026-10-02 15:38:34.138 | Minigame: Joaquin | Type: GuitarHit | Outcome: Success | Difficulty: Easy | ExpectedTime: 48.1280 | ActualTime: 47.9487 | TimingOffset: -0.1793 | TimingError: 0.1793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15:38:36.615</t>
        </is>
      </c>
      <c r="C53" s="6" t="inlineStr">
        <is>
          <t>Interaction</t>
        </is>
      </c>
      <c r="D53" s="6" t="inlineStr">
        <is>
          <t>Joaquin</t>
        </is>
      </c>
      <c r="E53" s="6" t="inlineStr">
        <is>
          <t>GuitarHit</t>
        </is>
      </c>
      <c r="F53" s="6" t="inlineStr">
        <is>
          <t>Success</t>
        </is>
      </c>
      <c r="G53" s="6" t="inlineStr">
        <is>
          <t>Easy</t>
        </is>
      </c>
      <c r="K53" s="4">
        <v>0.0046</v>
      </c>
      <c r="M53" s="6">
        <v>57</v>
      </c>
      <c r="N53" s="6" t="inlineStr">
        <is>
          <t>2026-10-02 15:38:36.615 | Minigame: Joaquin | Type: GuitarHit | Outcome: Success | Difficulty: Easy | ExpectedTime: 50.4320 | ActualTime: 50.4274 | TimingOffset: -0.0046 | TimingError: 0.0046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15:38:36.617</t>
        </is>
      </c>
      <c r="C54" s="0" t="inlineStr">
        <is>
          <t>DifficultyChanged</t>
        </is>
      </c>
      <c r="D54" s="0" t="inlineStr">
        <is>
          <t>Joaquin</t>
        </is>
      </c>
      <c r="I54" s="0" t="inlineStr">
        <is>
          <t>Easy -&gt; Normal</t>
        </is>
      </c>
      <c r="J54" s="0" t="inlineStr">
        <is>
          <t>High recent performance</t>
        </is>
      </c>
      <c r="M54" s="0">
        <v>58</v>
      </c>
      <c r="N54" s="0" t="inlineStr">
        <is>
          <t>2026-10-02 15:38:36.617 | DifficultyChanged: Easy -&gt; Normal | Reason: High recent performance | Minigame: Joaquin | SuccessRate: 1.00</t>
        </is>
      </c>
    </row>
    <row r="55" ht="17" customHeight="1">
      <c r="A55" s="6">
        <v>54</v>
      </c>
      <c r="B55" s="6" t="inlineStr">
        <is>
          <t>2026-10-02 15:38:36.992</t>
        </is>
      </c>
      <c r="C55" s="6" t="inlineStr">
        <is>
          <t>Interaction</t>
        </is>
      </c>
      <c r="D55" s="6" t="inlineStr">
        <is>
          <t>Joaquin</t>
        </is>
      </c>
      <c r="E55" s="6" t="inlineStr">
        <is>
          <t>GuitarHit</t>
        </is>
      </c>
      <c r="F55" s="6" t="inlineStr">
        <is>
          <t>Success</t>
        </is>
      </c>
      <c r="G55" s="6" t="inlineStr">
        <is>
          <t>Normal</t>
        </is>
      </c>
      <c r="K55" s="4">
        <v>0.0129</v>
      </c>
      <c r="M55" s="6">
        <v>59</v>
      </c>
      <c r="N55" s="6" t="inlineStr">
        <is>
          <t>2026-10-02 15:38:36.992 | Minigame: Joaquin | Type: GuitarHit | Outcome: Success | Difficulty: Normal | ExpectedTime: 50.8160 | ActualTime: 50.8031 | TimingOffset: -0.0129 | TimingError: 0.0129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15:38:39.177</t>
        </is>
      </c>
      <c r="C56" s="0" t="inlineStr">
        <is>
          <t>Interaction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Normal</t>
        </is>
      </c>
      <c r="K56" s="4">
        <v>0.1309</v>
      </c>
      <c r="M56" s="0">
        <v>60</v>
      </c>
      <c r="N56" s="0" t="inlineStr">
        <is>
          <t>2026-10-02 15:38:39.177 | Minigame: Joaquin | Type: GuitarHit | Outcome: Success | Difficulty: Normal | ExpectedTime: 53.1200 | ActualTime: 52.9891 | TimingOffset: -0.1309 | TimingError: 0.1309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15:38:41.614</t>
        </is>
      </c>
      <c r="C57" s="6" t="inlineStr">
        <is>
          <t>Interaction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Normal</t>
        </is>
      </c>
      <c r="K57" s="4">
        <v>0.0015</v>
      </c>
      <c r="M57" s="6">
        <v>61</v>
      </c>
      <c r="N57" s="6" t="inlineStr">
        <is>
          <t>2026-10-02 15:38:41.614 | Minigame: Joaquin | Type: GuitarHit | Outcome: Success | Difficulty: Normal | ExpectedTime: 55.4240 | ActualTime: 55.4255 | TimingOffset: 0.0015 | TimingError: 0.0015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15:38:43.773</t>
        </is>
      </c>
      <c r="C58" s="0" t="inlineStr">
        <is>
          <t>Interaction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K58" s="4">
        <v>0.1444</v>
      </c>
      <c r="M58" s="0">
        <v>62</v>
      </c>
      <c r="N58" s="0" t="inlineStr">
        <is>
          <t>2026-10-02 15:38:43.773 | Minigame: Joaquin | Type: GuitarHit | Outcome: Success | Difficulty: Normal | ExpectedTime: 57.7280 | ActualTime: 57.5836 | TimingOffset: -0.1444 | TimingError: 0.1444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15:38:46.042</t>
        </is>
      </c>
      <c r="C59" s="6" t="inlineStr">
        <is>
          <t>Interaction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Normal</t>
        </is>
      </c>
      <c r="K59" s="4">
        <v>0.1793</v>
      </c>
      <c r="M59" s="6">
        <v>63</v>
      </c>
      <c r="N59" s="6" t="inlineStr">
        <is>
          <t>2026-10-02 15:38:46.042 | Minigame: Joaquin | Type: GuitarHit | Outcome: Success | Difficulty: Normal | ExpectedTime: 60.0320 | ActualTime: 59.8527 | TimingOffset: -0.1793 | TimingError: 0.1793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15:38:51.040</t>
        </is>
      </c>
      <c r="C60" s="0" t="inlineStr">
        <is>
          <t>PlayerState</t>
        </is>
      </c>
      <c r="H60" s="0" t="inlineStr">
        <is>
          <t>Idle</t>
        </is>
      </c>
      <c r="M60" s="0">
        <v>64</v>
      </c>
      <c r="N60" s="0" t="inlineStr">
        <is>
          <t>2026-10-02 15:38:51.040 | PlayerState: Idle</t>
        </is>
      </c>
    </row>
    <row r="61" ht="17" customHeight="1">
      <c r="A61" s="6">
        <v>60</v>
      </c>
      <c r="B61" s="6" t="inlineStr">
        <is>
          <t>2026-10-02 15:38:53.519</t>
        </is>
      </c>
      <c r="C61" s="6" t="inlineStr">
        <is>
          <t>Interaction</t>
        </is>
      </c>
      <c r="D61" s="6" t="inlineStr">
        <is>
          <t>Shipi</t>
        </is>
      </c>
      <c r="E61" s="6" t="inlineStr">
        <is>
          <t>FoodCut</t>
        </is>
      </c>
      <c r="F61" s="6" t="inlineStr">
        <is>
          <t>Missed</t>
        </is>
      </c>
      <c r="G61" s="6" t="inlineStr">
        <is>
          <t>Normal</t>
        </is>
      </c>
      <c r="M61" s="6">
        <v>65</v>
      </c>
      <c r="N61" s="6" t="inlineStr">
        <is>
          <t>2026-10-02 15:38:53.519 | Minigame: Shipi | Type: FoodCut | Outcome: Missed | Difficulty: Normal | ExpectedTime: 66.6368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15:38:55.063</t>
        </is>
      </c>
      <c r="C62" s="0" t="inlineStr">
        <is>
          <t>Interaction</t>
        </is>
      </c>
      <c r="D62" s="0" t="inlineStr">
        <is>
          <t>Shipi</t>
        </is>
      </c>
      <c r="E62" s="0" t="inlineStr">
        <is>
          <t>FoodClear</t>
        </is>
      </c>
      <c r="F62" s="0" t="inlineStr">
        <is>
          <t>Success</t>
        </is>
      </c>
      <c r="G62" s="0" t="inlineStr">
        <is>
          <t>Normal</t>
        </is>
      </c>
      <c r="M62" s="0">
        <v>66</v>
      </c>
      <c r="N62" s="0" t="inlineStr">
        <is>
          <t>2026-10-02 15:38:55.063 | Minigame: Shipi | Type: FoodClear | Outcome: Success | Difficulty: Normal | ExpectedTime: 68.1728 | ActualTime: N/A | TimingOffset: N/A | TimingError: N/A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15:38:55.078</t>
        </is>
      </c>
      <c r="C63" s="6" t="inlineStr">
        <is>
          <t>Interaction</t>
        </is>
      </c>
      <c r="D63" s="6" t="inlineStr">
        <is>
          <t>Shipi</t>
        </is>
      </c>
      <c r="E63" s="6" t="inlineStr">
        <is>
          <t>FoodCut</t>
        </is>
      </c>
      <c r="F63" s="6" t="inlineStr">
        <is>
          <t>Failed</t>
        </is>
      </c>
      <c r="G63" s="6" t="inlineStr">
        <is>
          <t>Normal</t>
        </is>
      </c>
      <c r="K63" s="4">
        <v>0.82</v>
      </c>
      <c r="L63" s="4">
        <v>0.0248</v>
      </c>
      <c r="M63" s="6">
        <v>67</v>
      </c>
      <c r="N63" s="6" t="inlineStr">
        <is>
          <t>2026-10-02 15:38:55.078 | Minigame: Shipi | Type: FoodCut | Outcome: Failed | Difficulty: Normal | ExpectedTime: 69.7088 | ActualTime: 68.8888 | TimingOffset: -0.8200 | TimingError: 0.8200 | ReactionTime: 0.0248 | SpatialAccuracy: N/A | DirectionAccuracy: 0.0000 | CorrectHand: N/A</t>
        </is>
      </c>
    </row>
    <row r="64" ht="17" customHeight="1">
      <c r="A64" s="0">
        <v>63</v>
      </c>
      <c r="B64" s="0" t="inlineStr">
        <is>
          <t>2026-10-02 15:38:55.079</t>
        </is>
      </c>
      <c r="C64" s="0" t="inlineStr">
        <is>
          <t>PlayerState</t>
        </is>
      </c>
      <c r="H64" s="0" t="inlineStr">
        <is>
          <t>Engaged</t>
        </is>
      </c>
      <c r="M64" s="0">
        <v>68</v>
      </c>
      <c r="N64" s="0" t="inlineStr">
        <is>
          <t>2026-10-02 15:38:55.079 | PlayerState: Engaged</t>
        </is>
      </c>
    </row>
    <row r="65" ht="17" customHeight="1">
      <c r="A65" s="6">
        <v>64</v>
      </c>
      <c r="B65" s="6" t="inlineStr">
        <is>
          <t>2026-10-02 15:38:57.639</t>
        </is>
      </c>
      <c r="C65" s="6" t="inlineStr">
        <is>
          <t>Interaction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Failed</t>
        </is>
      </c>
      <c r="G65" s="6" t="inlineStr">
        <is>
          <t>Normal</t>
        </is>
      </c>
      <c r="K65" s="4">
        <v>0.2055</v>
      </c>
      <c r="L65" s="4">
        <v>1.0503</v>
      </c>
      <c r="M65" s="6">
        <v>69</v>
      </c>
      <c r="N65" s="6" t="inlineStr">
        <is>
          <t>2026-10-02 15:38:57.639 | Minigame: Shipi | Type: FoodCut | Outcome: Failed | Difficulty: Normal | ExpectedTime: 71.2448 | ActualTime: 71.4503 | TimingOffset: 0.2055 | TimingError: 0.2055 | ReactionTime: 1.0503 | SpatialAccuracy: N/A | DirectionAccuracy: 0.0000 | CorrectHand: N/A</t>
        </is>
      </c>
    </row>
    <row r="66" ht="17" customHeight="1">
      <c r="A66" s="0">
        <v>65</v>
      </c>
      <c r="B66" s="0" t="inlineStr">
        <is>
          <t>2026-10-02 15:38:58.795</t>
        </is>
      </c>
      <c r="C66" s="0" t="inlineStr">
        <is>
          <t>Interaction</t>
        </is>
      </c>
      <c r="D66" s="0" t="inlineStr">
        <is>
          <t>Shipi</t>
        </is>
      </c>
      <c r="E66" s="0" t="inlineStr">
        <is>
          <t>FoodCut</t>
        </is>
      </c>
      <c r="F66" s="0" t="inlineStr">
        <is>
          <t>Failed</t>
        </is>
      </c>
      <c r="G66" s="0" t="inlineStr">
        <is>
          <t>Normal</t>
        </is>
      </c>
      <c r="K66" s="4">
        <v>0.175</v>
      </c>
      <c r="L66" s="4">
        <v>0.6698</v>
      </c>
      <c r="M66" s="0">
        <v>70</v>
      </c>
      <c r="N66" s="0" t="inlineStr">
        <is>
          <t>2026-10-02 15:38:58.795 | Minigame: Shipi | Type: FoodCut | Outcome: Failed | Difficulty: Normal | ExpectedTime: 72.7808 | ActualTime: 72.6058 | TimingOffset: -0.1750 | TimingError: 0.1750 | ReactionTime: 0.6698 | SpatialAccuracy: N/A | DirectionAccuracy: 0.0000 | CorrectHand: N/A</t>
        </is>
      </c>
    </row>
    <row r="67" ht="17" customHeight="1">
      <c r="A67" s="6">
        <v>66</v>
      </c>
      <c r="B67" s="6" t="inlineStr">
        <is>
          <t>2026-10-02 15:38:59.699</t>
        </is>
      </c>
      <c r="C67" s="6" t="inlineStr">
        <is>
          <t>Interaction</t>
        </is>
      </c>
      <c r="D67" s="6" t="inlineStr">
        <is>
          <t>Shipi</t>
        </is>
      </c>
      <c r="E67" s="6" t="inlineStr">
        <is>
          <t>FoodCut</t>
        </is>
      </c>
      <c r="F67" s="6" t="inlineStr">
        <is>
          <t>Failed</t>
        </is>
      </c>
      <c r="G67" s="6" t="inlineStr">
        <is>
          <t>Normal</t>
        </is>
      </c>
      <c r="M67" s="6">
        <v>71</v>
      </c>
      <c r="N67" s="6" t="inlineStr">
        <is>
          <t>2026-10-02 15:38:59.699 | Minigame: Shipi | Type: FoodCut | Outcome: Failed | Difficulty: Normal | ExpectedTime: 74.3168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15:39:02.135</t>
        </is>
      </c>
      <c r="C68" s="0" t="inlineStr">
        <is>
          <t>Interaction</t>
        </is>
      </c>
      <c r="D68" s="0" t="inlineStr">
        <is>
          <t>Shipi</t>
        </is>
      </c>
      <c r="E68" s="0" t="inlineStr">
        <is>
          <t>FoodCut</t>
        </is>
      </c>
      <c r="F68" s="0" t="inlineStr">
        <is>
          <t>Failed</t>
        </is>
      </c>
      <c r="G68" s="0" t="inlineStr">
        <is>
          <t>Normal</t>
        </is>
      </c>
      <c r="K68" s="4">
        <v>0.0938</v>
      </c>
      <c r="L68" s="4">
        <v>0.9386</v>
      </c>
      <c r="M68" s="0">
        <v>72</v>
      </c>
      <c r="N68" s="0" t="inlineStr">
        <is>
          <t>2026-10-02 15:39:02.135 | Minigame: Shipi | Type: FoodCut | Outcome: Failed | Difficulty: Normal | ExpectedTime: 75.8528 | ActualTime: 75.9466 | TimingOffset: 0.0938 | TimingError: 0.0938 | ReactionTime: 0.9386 | SpatialAccuracy: N/A | DirectionAccuracy: 0.0000 | CorrectHand: N/A</t>
        </is>
      </c>
    </row>
    <row r="69" ht="17" customHeight="1">
      <c r="A69" s="6">
        <v>68</v>
      </c>
      <c r="B69" s="6" t="inlineStr">
        <is>
          <t>2026-10-02 15:39:02.136</t>
        </is>
      </c>
      <c r="C69" s="6" t="inlineStr">
        <is>
          <t>PlayerState</t>
        </is>
      </c>
      <c r="H69" s="6" t="inlineStr">
        <is>
          <t>Overloaded</t>
        </is>
      </c>
      <c r="M69" s="6">
        <v>73</v>
      </c>
      <c r="N69" s="6" t="inlineStr">
        <is>
          <t>2026-10-02 15:39:02.136 | PlayerState: Overloaded</t>
        </is>
      </c>
    </row>
    <row r="70" ht="17" customHeight="1">
      <c r="A70" s="0">
        <v>69</v>
      </c>
      <c r="B70" s="0" t="inlineStr">
        <is>
          <t>2026-10-02 15:39:02.136</t>
        </is>
      </c>
      <c r="C70" s="0" t="inlineStr">
        <is>
          <t>DifficultyChanged</t>
        </is>
      </c>
      <c r="D70" s="0" t="inlineStr">
        <is>
          <t>Shipi</t>
        </is>
      </c>
      <c r="I70" s="0" t="inlineStr">
        <is>
          <t>Normal -&gt; Easy</t>
        </is>
      </c>
      <c r="J70" s="0" t="inlineStr">
        <is>
          <t>PlayerState: Overloaded</t>
        </is>
      </c>
      <c r="M70" s="0">
        <v>74</v>
      </c>
      <c r="N70" s="0" t="inlineStr">
        <is>
          <t>2026-10-02 15:39:02.136 | DifficultyChanged: Normal -&gt; Easy | Reason: PlayerState: Overloaded | Minigame: Shipi | RecentSuccessRate: 0.00</t>
        </is>
      </c>
    </row>
    <row r="71" ht="17" customHeight="1">
      <c r="A71" s="6">
        <v>70</v>
      </c>
      <c r="B71" s="6" t="inlineStr">
        <is>
          <t>2026-10-02 15:39:02.138</t>
        </is>
      </c>
      <c r="C71" s="6" t="inlineStr">
        <is>
          <t>PlayerState</t>
        </is>
      </c>
      <c r="H71" s="6" t="inlineStr">
        <is>
          <t>Engaged</t>
        </is>
      </c>
      <c r="M71" s="6">
        <v>75</v>
      </c>
      <c r="N71" s="6" t="inlineStr">
        <is>
          <t>2026-10-02 15:39:02.138 | PlayerState: Engaged</t>
        </is>
      </c>
    </row>
    <row r="72" ht="17" customHeight="1">
      <c r="A72" s="0">
        <v>71</v>
      </c>
      <c r="B72" s="0" t="inlineStr">
        <is>
          <t>2026-10-02 15:39:05.046</t>
        </is>
      </c>
      <c r="C72" s="0" t="inlineStr">
        <is>
          <t>Interaction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Missed</t>
        </is>
      </c>
      <c r="G72" s="0" t="inlineStr">
        <is>
          <t>Normal</t>
        </is>
      </c>
      <c r="M72" s="0">
        <v>76</v>
      </c>
      <c r="N72" s="0" t="inlineStr">
        <is>
          <t>2026-10-02 15:39:05.046 | Minigame: Shipi | Type: FoodCut | Outcome: Missed | Difficulty: Normal | ExpectedTime: 77.9840 | ActualTime: N/A | TimingOffset: N/A | TimingError: N/A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15:39:06.089</t>
        </is>
      </c>
      <c r="C73" s="6" t="inlineStr">
        <is>
          <t>Interaction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Success</t>
        </is>
      </c>
      <c r="G73" s="6" t="inlineStr">
        <is>
          <t>Normal</t>
        </is>
      </c>
      <c r="K73" s="4">
        <v>0.0026</v>
      </c>
      <c r="L73" s="4">
        <v>1.0534</v>
      </c>
      <c r="M73" s="6">
        <v>77</v>
      </c>
      <c r="N73" s="6" t="inlineStr">
        <is>
          <t>2026-10-02 15:39:06.089 | Minigame: Shipi | Type: FoodCut | Outcome: Success | Difficulty: Normal | ExpectedTime: 79.9040 | ActualTime: 79.9014 | TimingOffset: -0.0026 | TimingError: 0.0026 | ReactionTime: 1.0534 | SpatialAccuracy: N/A | DirectionAccuracy: 1.0000 | CorrectHand: N/A</t>
        </is>
      </c>
    </row>
    <row r="74" ht="17" customHeight="1">
      <c r="A74" s="0">
        <v>73</v>
      </c>
      <c r="B74" s="0" t="inlineStr">
        <is>
          <t>2026-10-02 15:39:07.134</t>
        </is>
      </c>
      <c r="C74" s="0" t="inlineStr">
        <is>
          <t>PlayerState</t>
        </is>
      </c>
      <c r="H74" s="0" t="inlineStr">
        <is>
          <t>Idle</t>
        </is>
      </c>
      <c r="M74" s="0">
        <v>78</v>
      </c>
      <c r="N74" s="0" t="inlineStr">
        <is>
          <t>2026-10-02 15:39:07.134 | PlayerState: Idle</t>
        </is>
      </c>
    </row>
    <row r="75" ht="17" customHeight="1">
      <c r="A75" s="6">
        <v>74</v>
      </c>
      <c r="B75" s="6" t="inlineStr">
        <is>
          <t>2026-10-02 15:39:08.889</t>
        </is>
      </c>
      <c r="C75" s="6" t="inlineStr">
        <is>
          <t>Interaction</t>
        </is>
      </c>
      <c r="D75" s="6" t="inlineStr">
        <is>
          <t>Shipi</t>
        </is>
      </c>
      <c r="E75" s="6" t="inlineStr">
        <is>
          <t>FoodClear</t>
        </is>
      </c>
      <c r="F75" s="6" t="inlineStr">
        <is>
          <t>Success</t>
        </is>
      </c>
      <c r="G75" s="6" t="inlineStr">
        <is>
          <t>Easy</t>
        </is>
      </c>
      <c r="M75" s="6">
        <v>79</v>
      </c>
      <c r="N75" s="6" t="inlineStr">
        <is>
          <t>2026-10-02 15:39:08.889 | Minigame: Shipi | Type: FoodClear | Outcome: Success | Difficulty: Easy | ExpectedTime: 81.8240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15:39:09.713</t>
        </is>
      </c>
      <c r="C76" s="0" t="inlineStr">
        <is>
          <t>Interaction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Success</t>
        </is>
      </c>
      <c r="G76" s="0" t="inlineStr">
        <is>
          <t>Easy</t>
        </is>
      </c>
      <c r="K76" s="4">
        <v>0.2224</v>
      </c>
      <c r="L76" s="4">
        <v>0.8336</v>
      </c>
      <c r="M76" s="0">
        <v>80</v>
      </c>
      <c r="N76" s="0" t="inlineStr">
        <is>
          <t>2026-10-02 15:39:09.713 | Minigame: Shipi | Type: FoodCut | Outcome: Success | Difficulty: Easy | ExpectedTime: 83.7440 | ActualTime: 83.5216 | TimingOffset: -0.2224 | TimingError: 0.2224 | ReactionTime: 0.8336 | SpatialAccuracy: N/A | DirectionAccuracy: 1.0000 | CorrectHand: N/A</t>
        </is>
      </c>
    </row>
    <row r="77" ht="17" customHeight="1">
      <c r="A77" s="6">
        <v>76</v>
      </c>
      <c r="B77" s="6" t="inlineStr">
        <is>
          <t>2026-10-02 15:39:09.713</t>
        </is>
      </c>
      <c r="C77" s="6" t="inlineStr">
        <is>
          <t>PlayerState</t>
        </is>
      </c>
      <c r="H77" s="6" t="inlineStr">
        <is>
          <t>Engaged</t>
        </is>
      </c>
      <c r="M77" s="6">
        <v>81</v>
      </c>
      <c r="N77" s="6" t="inlineStr">
        <is>
          <t>2026-10-02 15:39:09.713 | PlayerState: Engaged</t>
        </is>
      </c>
    </row>
    <row r="78" ht="17" customHeight="1">
      <c r="A78" s="0">
        <v>77</v>
      </c>
      <c r="B78" s="0" t="inlineStr">
        <is>
          <t>2026-10-02 15:39:12.118</t>
        </is>
      </c>
      <c r="C78" s="0" t="inlineStr">
        <is>
          <t>Interaction</t>
        </is>
      </c>
      <c r="D78" s="0" t="inlineStr">
        <is>
          <t>Shipi</t>
        </is>
      </c>
      <c r="E78" s="0" t="inlineStr">
        <is>
          <t>FoodCut</t>
        </is>
      </c>
      <c r="F78" s="0" t="inlineStr">
        <is>
          <t>Failed</t>
        </is>
      </c>
      <c r="G78" s="0" t="inlineStr">
        <is>
          <t>Easy</t>
        </is>
      </c>
      <c r="M78" s="0">
        <v>82</v>
      </c>
      <c r="N78" s="0" t="inlineStr">
        <is>
          <t>2026-10-02 15:39:12.118 | Minigame: Shipi | Type: FoodCut | Outcome: Failed | Difficulty: Easy | ExpectedTime: 85.6640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15:39:12.856</t>
        </is>
      </c>
      <c r="C79" s="6" t="inlineStr">
        <is>
          <t>Interaction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Failed</t>
        </is>
      </c>
      <c r="G79" s="6" t="inlineStr">
        <is>
          <t>Easy</t>
        </is>
      </c>
      <c r="K79" s="4">
        <v>0.9165</v>
      </c>
      <c r="L79" s="4">
        <v>0.1395</v>
      </c>
      <c r="M79" s="6">
        <v>83</v>
      </c>
      <c r="N79" s="6" t="inlineStr">
        <is>
          <t>2026-10-02 15:39:12.856 | Minigame: Shipi | Type: FoodCut | Outcome: Failed | Difficulty: Easy | ExpectedTime: 87.5840 | ActualTime: 86.6675 | TimingOffset: -0.9165 | TimingError: 0.9165 | ReactionTime: 0.1395 | SpatialAccuracy: N/A | DirectionAccuracy: 0.0000 | CorrectHand: N/A</t>
        </is>
      </c>
    </row>
    <row r="80" ht="17" customHeight="1">
      <c r="A80" s="0">
        <v>79</v>
      </c>
      <c r="B80" s="0" t="inlineStr">
        <is>
          <t>2026-10-02 15:39:15.599</t>
        </is>
      </c>
      <c r="C80" s="0" t="inlineStr">
        <is>
          <t>Interaction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Success</t>
        </is>
      </c>
      <c r="G80" s="0" t="inlineStr">
        <is>
          <t>Easy</t>
        </is>
      </c>
      <c r="K80" s="4">
        <v>0.0938</v>
      </c>
      <c r="L80" s="4">
        <v>0.9622</v>
      </c>
      <c r="M80" s="0">
        <v>84</v>
      </c>
      <c r="N80" s="0" t="inlineStr">
        <is>
          <t>2026-10-02 15:39:15.599 | Minigame: Shipi | Type: FoodCut | Outcome: Success | Difficulty: Easy | ExpectedTime: 89.5040 | ActualTime: 89.4102 | TimingOffset: -0.0938 | TimingError: 0.0938 | ReactionTime: 0.9622 | SpatialAccuracy: N/A | DirectionAccuracy: 1.0000 | CorrectHand: N/A</t>
        </is>
      </c>
    </row>
    <row r="81" ht="17" customHeight="1">
      <c r="A81" s="6">
        <v>80</v>
      </c>
      <c r="B81" s="6" t="inlineStr">
        <is>
          <t>2026-10-02 15:39:17.549</t>
        </is>
      </c>
      <c r="C81" s="6" t="inlineStr">
        <is>
          <t>Interaction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Success</t>
        </is>
      </c>
      <c r="G81" s="6" t="inlineStr">
        <is>
          <t>Easy</t>
        </is>
      </c>
      <c r="K81" s="4">
        <v>0.0642</v>
      </c>
      <c r="L81" s="4">
        <v>0.9918</v>
      </c>
      <c r="M81" s="6">
        <v>85</v>
      </c>
      <c r="N81" s="6" t="inlineStr">
        <is>
          <t>2026-10-02 15:39:17.549 | Minigame: Shipi | Type: FoodCut | Outcome: Success | Difficulty: Easy | ExpectedTime: 91.4240 | ActualTime: 91.3598 | TimingOffset: -0.0642 | TimingError: 0.0642 | ReactionTime: 0.9918 | SpatialAccuracy: N/A | DirectionAccuracy: 1.0000 | CorrectHand: N/A</t>
        </is>
      </c>
    </row>
    <row r="82" ht="17" customHeight="1">
      <c r="A82" s="0">
        <v>81</v>
      </c>
      <c r="B82" s="0" t="inlineStr">
        <is>
          <t>2026-10-02 15:39:19.233</t>
        </is>
      </c>
      <c r="C82" s="0" t="inlineStr">
        <is>
          <t>Interaction</t>
        </is>
      </c>
      <c r="D82" s="0" t="inlineStr">
        <is>
          <t>Shipi</t>
        </is>
      </c>
      <c r="E82" s="0" t="inlineStr">
        <is>
          <t>FoodCut</t>
        </is>
      </c>
      <c r="F82" s="0" t="inlineStr">
        <is>
          <t>Success</t>
        </is>
      </c>
      <c r="G82" s="0" t="inlineStr">
        <is>
          <t>Easy</t>
        </is>
      </c>
      <c r="K82" s="4">
        <v>0.2995</v>
      </c>
      <c r="L82" s="4">
        <v>0.7565</v>
      </c>
      <c r="M82" s="0">
        <v>86</v>
      </c>
      <c r="N82" s="0" t="inlineStr">
        <is>
          <t>2026-10-02 15:39:19.233 | Minigame: Shipi | Type: FoodCut | Outcome: Success | Difficulty: Easy | ExpectedTime: 93.3440 | ActualTime: 93.0445 | TimingOffset: -0.2995 | TimingError: 0.2995 | ReactionTime: 0.7565 | SpatialAccuracy: N/A | DirectionAccuracy: 1.0000 | CorrectHand: N/A</t>
        </is>
      </c>
    </row>
    <row r="83" ht="17" customHeight="1">
      <c r="A83" s="6">
        <v>82</v>
      </c>
      <c r="B83" s="6" t="inlineStr">
        <is>
          <t>2026-10-02 15:39:22.838</t>
        </is>
      </c>
      <c r="C83" s="6" t="inlineStr">
        <is>
          <t>Interaction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Failed</t>
        </is>
      </c>
      <c r="G83" s="6" t="inlineStr">
        <is>
          <t>Easy</t>
        </is>
      </c>
      <c r="K83" s="4">
        <v>1.548</v>
      </c>
      <c r="M83" s="6">
        <v>87</v>
      </c>
      <c r="N83" s="6" t="inlineStr">
        <is>
          <t>2026-10-02 15:39:22.838 | Minigame: JuanAndres | Type: GroomStroke | Outcome: Failed | Difficulty: Easy | ExpectedTime: 94.9760 | ActualTime: 96.5240 | TimingOffset: 1.5480 | TimingError: 1.5480 | ReactionTime: N/A | SpatialAccuracy: N/A | DirectionAccuracy: 0.0000 | CorrectHand: False</t>
        </is>
      </c>
    </row>
    <row r="84" ht="17" customHeight="1">
      <c r="A84" s="0">
        <v>83</v>
      </c>
      <c r="B84" s="0" t="inlineStr">
        <is>
          <t>2026-10-02 15:39:23.479</t>
        </is>
      </c>
      <c r="C84" s="0" t="inlineStr">
        <is>
          <t>Interaction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Success</t>
        </is>
      </c>
      <c r="G84" s="0" t="inlineStr">
        <is>
          <t>Easy</t>
        </is>
      </c>
      <c r="K84" s="4">
        <v>0.4576</v>
      </c>
      <c r="M84" s="0">
        <v>88</v>
      </c>
      <c r="N84" s="0" t="inlineStr">
        <is>
          <t>2026-10-02 15:39:23.479 | Minigame: JuanAndres | Type: GroomStroke | Outcome: Success | Difficulty: Easy | ExpectedTime: 97.6640 | ActualTime: 97.2064 | TimingOffset: -0.4576 | TimingError: 0.4576 | ReactionTime: N/A | SpatialAccuracy: N/A | DirectionAccuracy: 1.0000 | CorrectHand: True</t>
        </is>
      </c>
    </row>
    <row r="85" ht="17" customHeight="1">
      <c r="A85" s="6">
        <v>84</v>
      </c>
      <c r="B85" s="6" t="inlineStr">
        <is>
          <t>2026-10-02 15:39:25.776</t>
        </is>
      </c>
      <c r="C85" s="6" t="inlineStr">
        <is>
          <t>Interaction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Success</t>
        </is>
      </c>
      <c r="G85" s="6" t="inlineStr">
        <is>
          <t>Easy</t>
        </is>
      </c>
      <c r="K85" s="4">
        <v>0.0003</v>
      </c>
      <c r="M85" s="6">
        <v>89</v>
      </c>
      <c r="N85" s="6" t="inlineStr">
        <is>
          <t>2026-10-02 15:39:25.776 | Minigame: JuanAndres | Type: GroomStroke | Outcome: Success | Difficulty: Easy | ExpectedTime: 98.4320 | ActualTime: 98.4317 | TimingOffset: -0.0003 | TimingError: 0.0003 | ReactionTime: N/A | SpatialAccuracy: N/A | DirectionAccuracy: 1.0000 | CorrectHand: True</t>
        </is>
      </c>
    </row>
    <row r="86" ht="17" customHeight="1">
      <c r="A86" s="0">
        <v>85</v>
      </c>
      <c r="B86" s="0" t="inlineStr">
        <is>
          <t>2026-10-02 15:39:28.323</t>
        </is>
      </c>
      <c r="C86" s="0" t="inlineStr">
        <is>
          <t>Interaction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Missed</t>
        </is>
      </c>
      <c r="G86" s="0" t="inlineStr">
        <is>
          <t>Easy</t>
        </is>
      </c>
      <c r="M86" s="0">
        <v>90</v>
      </c>
      <c r="N86" s="0" t="inlineStr">
        <is>
          <t>2026-10-02 15:39:28.323 | Minigame: JuanAndres | Type: GroomStroke | Outcome: Missed | Difficulty: Easy | ExpectedTime: 96.1280 | ActualTime: N/A | TimingOffset: N/A | TimingError: N/A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15:39:28.533</t>
        </is>
      </c>
      <c r="C87" s="6" t="inlineStr">
        <is>
          <t>Interaction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Failed</t>
        </is>
      </c>
      <c r="G87" s="6" t="inlineStr">
        <is>
          <t>Easy</t>
        </is>
      </c>
      <c r="K87" s="4">
        <v>1.1264</v>
      </c>
      <c r="M87" s="6">
        <v>91</v>
      </c>
      <c r="N87" s="6" t="inlineStr">
        <is>
          <t>2026-10-02 15:39:28.533 | Minigame: JuanAndres | Type: GroomStroke | Outcome: Failed | Difficulty: Easy | ExpectedTime: 101.1200 | ActualTime: 102.2464 | TimingOffset: 1.1264 | TimingError: 1.1264 | ReactionTime: N/A | SpatialAccuracy: N/A | DirectionAccuracy: 0.0000 | CorrectHand: False</t>
        </is>
      </c>
    </row>
    <row r="88" ht="17" customHeight="1">
      <c r="A88" s="0">
        <v>87</v>
      </c>
      <c r="B88" s="0" t="inlineStr">
        <is>
          <t>2026-10-02 15:39:28.533</t>
        </is>
      </c>
      <c r="C88" s="0" t="inlineStr">
        <is>
          <t>PlayerState</t>
        </is>
      </c>
      <c r="H88" s="0" t="inlineStr">
        <is>
          <t>Overloaded</t>
        </is>
      </c>
      <c r="M88" s="0">
        <v>92</v>
      </c>
      <c r="N88" s="0" t="inlineStr">
        <is>
          <t>2026-10-02 15:39:28.533 | PlayerState: Overloaded</t>
        </is>
      </c>
    </row>
    <row r="89" ht="17" customHeight="1">
      <c r="A89" s="6">
        <v>88</v>
      </c>
      <c r="B89" s="6" t="inlineStr">
        <is>
          <t>2026-10-02 15:39:29.216</t>
        </is>
      </c>
      <c r="C89" s="6" t="inlineStr">
        <is>
          <t>Interaction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Failed</t>
        </is>
      </c>
      <c r="G89" s="6" t="inlineStr">
        <is>
          <t>Easy</t>
        </is>
      </c>
      <c r="K89" s="4">
        <v>0.2726</v>
      </c>
      <c r="M89" s="6">
        <v>93</v>
      </c>
      <c r="N89" s="6" t="inlineStr">
        <is>
          <t>2026-10-02 15:39:29.216 | Minigame: JuanAndres | Type: GroomStroke | Outcome: Failed | Difficulty: Easy | ExpectedTime: 102.6560 | ActualTime: 102.9286 | TimingOffset: 0.2726 | TimingError: 0.2726 | ReactionTime: N/A | SpatialAccuracy: N/A | DirectionAccuracy: 1.0000 | CorrectHand: False</t>
        </is>
      </c>
    </row>
    <row r="90" ht="17" customHeight="1">
      <c r="A90" s="0">
        <v>89</v>
      </c>
      <c r="B90" s="0" t="inlineStr">
        <is>
          <t>2026-10-02 15:39:30.398</t>
        </is>
      </c>
      <c r="C90" s="0" t="inlineStr">
        <is>
          <t>Interaction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Failed</t>
        </is>
      </c>
      <c r="G90" s="0" t="inlineStr">
        <is>
          <t>Easy</t>
        </is>
      </c>
      <c r="K90" s="4">
        <v>0.0522</v>
      </c>
      <c r="M90" s="0">
        <v>94</v>
      </c>
      <c r="N90" s="0" t="inlineStr">
        <is>
          <t>2026-10-02 15:39:30.398 | Minigame: JuanAndres | Type: GroomStroke | Outcome: Failed | Difficulty: Easy | ExpectedTime: 104.1920 | ActualTime: 104.1398 | TimingOffset: -0.0522 | TimingError: 0.0522 | ReactionTime: N/A | SpatialAccuracy: N/A | DirectionAccuracy: 1.0000 | CorrectHand: False</t>
        </is>
      </c>
    </row>
    <row r="91" ht="17" customHeight="1">
      <c r="A91" s="6">
        <v>90</v>
      </c>
      <c r="B91" s="6" t="inlineStr">
        <is>
          <t>2026-10-02 15:39:31.470</t>
        </is>
      </c>
      <c r="C91" s="6" t="inlineStr">
        <is>
          <t>Interaction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Failed</t>
        </is>
      </c>
      <c r="G91" s="6" t="inlineStr">
        <is>
          <t>Easy</t>
        </is>
      </c>
      <c r="K91" s="4">
        <v>0.224</v>
      </c>
      <c r="M91" s="6">
        <v>95</v>
      </c>
      <c r="N91" s="6" t="inlineStr">
        <is>
          <t>2026-10-02 15:39:31.470 | Minigame: JuanAndres | Type: GroomStroke | Outcome: Failed | Difficulty: Easy | ExpectedTime: 104.9600 | ActualTime: 105.1840 | TimingOffset: 0.2240 | TimingError: 0.2240 | ReactionTime: N/A | SpatialAccuracy: N/A | DirectionAccuracy: 0.0000 | CorrectHand: True</t>
        </is>
      </c>
    </row>
    <row r="92" ht="17" customHeight="1">
      <c r="A92" s="0">
        <v>91</v>
      </c>
      <c r="B92" s="0" t="inlineStr">
        <is>
          <t>2026-10-02 15:39:33.237</t>
        </is>
      </c>
      <c r="C92" s="0" t="inlineStr">
        <is>
          <t>Interaction</t>
        </is>
      </c>
      <c r="D92" s="0" t="inlineStr">
        <is>
          <t>JuanAndres</t>
        </is>
      </c>
      <c r="E92" s="0" t="inlineStr">
        <is>
          <t>GroomStroke</t>
        </is>
      </c>
      <c r="F92" s="0" t="inlineStr">
        <is>
          <t>Failed</t>
        </is>
      </c>
      <c r="G92" s="0" t="inlineStr">
        <is>
          <t>Easy</t>
        </is>
      </c>
      <c r="K92" s="4">
        <v>0.0724</v>
      </c>
      <c r="M92" s="0">
        <v>96</v>
      </c>
      <c r="N92" s="0" t="inlineStr">
        <is>
          <t>2026-10-02 15:39:33.237 | Minigame: JuanAndres | Type: GroomStroke | Outcome: Failed | Difficulty: Easy | ExpectedTime: 106.8800 | ActualTime: 106.9524 | TimingOffset: 0.0724 | TimingError: 0.0724 | ReactionTime: N/A | SpatialAccuracy: N/A | DirectionAccuracy: 1.0000 | CorrectHand: False</t>
        </is>
      </c>
    </row>
    <row r="93" ht="17" customHeight="1">
      <c r="A93" s="6">
        <v>92</v>
      </c>
      <c r="B93" s="6" t="inlineStr">
        <is>
          <t>2026-10-02 15:39:34.797</t>
        </is>
      </c>
      <c r="C93" s="6" t="inlineStr">
        <is>
          <t>Interaction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Success</t>
        </is>
      </c>
      <c r="G93" s="6" t="inlineStr">
        <is>
          <t>Easy</t>
        </is>
      </c>
      <c r="K93" s="4">
        <v>0.4936</v>
      </c>
      <c r="M93" s="6">
        <v>97</v>
      </c>
      <c r="N93" s="6" t="inlineStr">
        <is>
          <t>2026-10-02 15:39:34.797 | Minigame: JuanAndres | Type: GroomStroke | Outcome: Success | Difficulty: Easy | ExpectedTime: 108.0320 | ActualTime: 108.5256 | TimingOffset: 0.4936 | TimingError: 0.4936 | ReactionTime: N/A | SpatialAccuracy: N/A | DirectionAccuracy: 1.0000 | CorrectHand: True</t>
        </is>
      </c>
    </row>
    <row r="94" ht="17" customHeight="1">
      <c r="A94" s="0">
        <v>93</v>
      </c>
      <c r="B94" s="0" t="inlineStr">
        <is>
          <t>2026-10-02 15:39:37.498</t>
        </is>
      </c>
      <c r="C94" s="0" t="inlineStr">
        <is>
          <t>Interaction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Failed</t>
        </is>
      </c>
      <c r="G94" s="0" t="inlineStr">
        <is>
          <t>Easy</t>
        </is>
      </c>
      <c r="K94" s="4">
        <v>0.1085</v>
      </c>
      <c r="M94" s="0">
        <v>98</v>
      </c>
      <c r="N94" s="0" t="inlineStr">
        <is>
          <t>2026-10-02 15:39:37.498 | Minigame: JuanAndres | Type: GroomStroke | Outcome: Failed | Difficulty: Easy | ExpectedTime: 111.1040 | ActualTime: 111.2125 | TimingOffset: 0.1085 | TimingError: 0.1085 | ReactionTime: N/A | SpatialAccuracy: N/A | DirectionAccuracy: 0.0000 | CorrectHand: False</t>
        </is>
      </c>
    </row>
    <row r="95" ht="17" customHeight="1">
      <c r="A95" s="6">
        <v>94</v>
      </c>
      <c r="B95" s="6" t="inlineStr">
        <is>
          <t>2026-10-02 15:39:38.877</t>
        </is>
      </c>
      <c r="C95" s="6" t="inlineStr">
        <is>
          <t>Interaction</t>
        </is>
      </c>
      <c r="D95" s="6" t="inlineStr">
        <is>
          <t>JuanAndres</t>
        </is>
      </c>
      <c r="E95" s="6" t="inlineStr">
        <is>
          <t>GroomStroke</t>
        </is>
      </c>
      <c r="F95" s="6" t="inlineStr">
        <is>
          <t>Success</t>
        </is>
      </c>
      <c r="G95" s="6" t="inlineStr">
        <is>
          <t>Easy</t>
        </is>
      </c>
      <c r="K95" s="4">
        <v>3.3374</v>
      </c>
      <c r="M95" s="6">
        <v>99</v>
      </c>
      <c r="N95" s="6" t="inlineStr">
        <is>
          <t>2026-10-02 15:39:38.877 | Minigame: JuanAndres | Type: GroomStroke | Outcome: Success | Difficulty: Easy | ExpectedTime: 109.1840 | ActualTime: 112.5214 | TimingOffset: 3.3374 | TimingError: 3.3374 | ReactionTime: N/A | SpatialAccuracy: N/A | DirectionAccuracy: 1.0000 | CorrectHand: True</t>
        </is>
      </c>
    </row>
    <row r="96" ht="17" customHeight="1">
      <c r="A96" s="0">
        <v>95</v>
      </c>
      <c r="B96" s="0" t="inlineStr">
        <is>
          <t>2026-10-02 15:39:40.117</t>
        </is>
      </c>
      <c r="C96" s="0" t="inlineStr">
        <is>
          <t>Interaction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Failed</t>
        </is>
      </c>
      <c r="G96" s="0" t="inlineStr">
        <is>
          <t>Easy</t>
        </is>
      </c>
      <c r="K96" s="4">
        <v>0.0386</v>
      </c>
      <c r="M96" s="0">
        <v>100</v>
      </c>
      <c r="N96" s="0" t="inlineStr">
        <is>
          <t>2026-10-02 15:39:40.117 | Minigame: JuanAndres | Type: GroomStroke | Outcome: Failed | Difficulty: Easy | ExpectedTime: 113.7920 | ActualTime: 113.8306 | TimingOffset: 0.0386 | TimingError: 0.0386 | ReactionTime: N/A | SpatialAccuracy: N/A | DirectionAccuracy: 0.0000 | CorrectHand: False</t>
        </is>
      </c>
    </row>
    <row r="97" ht="17" customHeight="1">
      <c r="A97" s="6">
        <v>96</v>
      </c>
      <c r="B97" s="6" t="inlineStr">
        <is>
          <t>2026-10-02 15:39:41.313</t>
        </is>
      </c>
      <c r="C97" s="6" t="inlineStr">
        <is>
          <t>Interaction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Failed</t>
        </is>
      </c>
      <c r="G97" s="6" t="inlineStr">
        <is>
          <t>Easy</t>
        </is>
      </c>
      <c r="K97" s="4">
        <v>2.0176</v>
      </c>
      <c r="M97" s="6">
        <v>101</v>
      </c>
      <c r="N97" s="6" t="inlineStr">
        <is>
          <t>2026-10-02 15:39:41.313 | Minigame: JuanAndres | Type: GroomStroke | Outcome: Failed | Difficulty: Easy | ExpectedTime: 113.0240 | ActualTime: 115.0416 | TimingOffset: 2.0176 | TimingError: 2.0176 | ReactionTime: N/A | SpatialAccuracy: N/A | DirectionAccuracy: 0.0000 | CorrectHand: False</t>
        </is>
      </c>
    </row>
    <row r="98" ht="17" customHeight="1">
      <c r="A98" s="0">
        <v>97</v>
      </c>
      <c r="B98" s="0" t="inlineStr">
        <is>
          <t>2026-10-02 15:39:42.539</t>
        </is>
      </c>
      <c r="C98" s="0" t="inlineStr">
        <is>
          <t>Interaction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Failed</t>
        </is>
      </c>
      <c r="G98" s="0" t="inlineStr">
        <is>
          <t>Easy</t>
        </is>
      </c>
      <c r="K98" s="4">
        <v>0.1292</v>
      </c>
      <c r="M98" s="0">
        <v>102</v>
      </c>
      <c r="N98" s="0" t="inlineStr">
        <is>
          <t>2026-10-02 15:39:42.539 | Minigame: JuanAndres | Type: GroomStroke | Outcome: Failed | Difficulty: Easy | ExpectedTime: 116.0960 | ActualTime: 116.2252 | TimingOffset: 0.1292 | TimingError: 0.1292 | ReactionTime: N/A | SpatialAccuracy: N/A | DirectionAccuracy: 1.0000 | CorrectHand: False</t>
        </is>
      </c>
    </row>
    <row r="99" ht="17" customHeight="1">
      <c r="A99" s="6">
        <v>98</v>
      </c>
      <c r="B99" s="6" t="inlineStr">
        <is>
          <t>2026-10-02 15:39:44.656</t>
        </is>
      </c>
      <c r="C99" s="6" t="inlineStr">
        <is>
          <t>Interaction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Failed</t>
        </is>
      </c>
      <c r="G99" s="6" t="inlineStr">
        <is>
          <t>Easy</t>
        </is>
      </c>
      <c r="K99" s="4">
        <v>1.1355</v>
      </c>
      <c r="M99" s="6">
        <v>103</v>
      </c>
      <c r="N99" s="6" t="inlineStr">
        <is>
          <t>2026-10-02 15:39:44.656 | Minigame: JuanAndres | Type: GroomStroke | Outcome: Failed | Difficulty: Easy | ExpectedTime: 117.2480 | ActualTime: 118.3835 | TimingOffset: 1.1355 | TimingError: 1.1355 | ReactionTime: N/A | SpatialAccuracy: N/A | DirectionAccuracy: 1.0000 | CorrectHand: False</t>
        </is>
      </c>
    </row>
    <row r="100" ht="17" customHeight="1">
      <c r="A100" s="0">
        <v>99</v>
      </c>
      <c r="B100" s="0" t="inlineStr">
        <is>
          <t>2026-10-02 15:39:46.438</t>
        </is>
      </c>
      <c r="C100" s="0" t="inlineStr">
        <is>
          <t>Interaction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Success</t>
        </is>
      </c>
      <c r="G100" s="0" t="inlineStr">
        <is>
          <t>Easy</t>
        </is>
      </c>
      <c r="K100" s="4">
        <v>1.6261</v>
      </c>
      <c r="M100" s="0">
        <v>104</v>
      </c>
      <c r="N100" s="0" t="inlineStr">
        <is>
          <t>2026-10-02 15:39:46.438 | Minigame: JuanAndres | Type: GroomStroke | Outcome: Success | Difficulty: Easy | ExpectedTime: 118.4000 | ActualTime: 120.0261 | TimingOffset: 1.6261 | TimingError: 1.6261 | ReactionTime: N/A | SpatialAccuracy: N/A | DirectionAccuracy: 1.0000 | CorrectHand: True</t>
        </is>
      </c>
    </row>
    <row r="101" ht="17" customHeight="1">
      <c r="A101" s="6">
        <v>100</v>
      </c>
      <c r="B101" s="6" t="inlineStr">
        <is>
          <t>2026-10-02 15:39:47.468</t>
        </is>
      </c>
      <c r="C101" s="6" t="inlineStr">
        <is>
          <t>Interaction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Success</t>
        </is>
      </c>
      <c r="G101" s="6" t="inlineStr">
        <is>
          <t>Easy</t>
        </is>
      </c>
      <c r="K101" s="4">
        <v>1.2458</v>
      </c>
      <c r="M101" s="6">
        <v>105</v>
      </c>
      <c r="N101" s="6" t="inlineStr">
        <is>
          <t>2026-10-02 15:39:47.468 | Minigame: JuanAndres | Type: GroomStroke | Outcome: Success | Difficulty: Easy | ExpectedTime: 119.9360 | ActualTime: 121.1818 | TimingOffset: 1.2458 | TimingError: 1.2458 | ReactionTime: N/A | SpatialAccuracy: N/A | DirectionAccuracy: 1.0000 | CorrectHand: True</t>
        </is>
      </c>
    </row>
    <row r="102" ht="17" customHeight="1">
      <c r="A102" s="0">
        <v>101</v>
      </c>
      <c r="B102" s="0" t="inlineStr">
        <is>
          <t>2026-10-02 15:39:48.360</t>
        </is>
      </c>
      <c r="C102" s="0" t="inlineStr">
        <is>
          <t>Interaction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Failed</t>
        </is>
      </c>
      <c r="G102" s="0" t="inlineStr">
        <is>
          <t>Easy</t>
        </is>
      </c>
      <c r="K102" s="4">
        <v>0.5873</v>
      </c>
      <c r="M102" s="0">
        <v>106</v>
      </c>
      <c r="N102" s="0" t="inlineStr">
        <is>
          <t>2026-10-02 15:39:48.360 | Minigame: JuanAndres | Type: GroomStroke | Outcome: Failed | Difficulty: Easy | ExpectedTime: 121.4720 | ActualTime: 122.0593 | TimingOffset: 0.5873 | TimingError: 0.5873 | ReactionTime: N/A | SpatialAccuracy: N/A | DirectionAccuracy: 0.0000 | CorrectHand: True</t>
        </is>
      </c>
    </row>
    <row r="103" ht="17" customHeight="1">
      <c r="A103" s="6">
        <v>102</v>
      </c>
      <c r="B103" s="6" t="inlineStr">
        <is>
          <t>2026-10-02 15:39:50.030</t>
        </is>
      </c>
      <c r="C103" s="6" t="inlineStr">
        <is>
          <t>Interaction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Success</t>
        </is>
      </c>
      <c r="G103" s="6" t="inlineStr">
        <is>
          <t>Easy</t>
        </is>
      </c>
      <c r="K103" s="4">
        <v>0.3438</v>
      </c>
      <c r="M103" s="6">
        <v>107</v>
      </c>
      <c r="N103" s="6" t="inlineStr">
        <is>
          <t>2026-10-02 15:39:50.030 | Minigame: JuanAndres | Type: GroomStroke | Outcome: Success | Difficulty: Easy | ExpectedTime: 123.3920 | ActualTime: 123.0482 | TimingOffset: -0.3438 | TimingError: 0.3438 | ReactionTime: N/A | SpatialAccuracy: N/A | DirectionAccuracy: 1.0000 | CorrectHand: True</t>
        </is>
      </c>
    </row>
    <row r="104" ht="17" customHeight="1">
      <c r="A104" s="0">
        <v>103</v>
      </c>
      <c r="B104" s="0" t="inlineStr">
        <is>
          <t>2026-10-02 15:39:54.775</t>
        </is>
      </c>
      <c r="C104" s="0" t="inlineStr">
        <is>
          <t>Interaction</t>
        </is>
      </c>
      <c r="D104" s="0" t="inlineStr">
        <is>
          <t>Danniel</t>
        </is>
      </c>
      <c r="E104" s="0" t="inlineStr">
        <is>
          <t>PlayerHit</t>
        </is>
      </c>
      <c r="F104" s="0" t="inlineStr">
        <is>
          <t>Failed</t>
        </is>
      </c>
      <c r="G104" s="0" t="inlineStr">
        <is>
          <t>Easy</t>
        </is>
      </c>
      <c r="M104" s="0">
        <v>108</v>
      </c>
      <c r="N104" s="0" t="inlineStr">
        <is>
          <t>2026-10-02 15:39:54.775 | Minigame: Danniel | Type: PlayerHit | Outcome: Failed | Difficulty: Easy | ExpectedTime: 128.5863 | ActualTime: N/A | TimingOffset: N/A | TimingError: N/A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15:39:54.775</t>
        </is>
      </c>
      <c r="C105" s="6" t="inlineStr">
        <is>
          <t>PlayerState</t>
        </is>
      </c>
      <c r="H105" s="6" t="inlineStr">
        <is>
          <t>Idle</t>
        </is>
      </c>
      <c r="M105" s="6">
        <v>109</v>
      </c>
      <c r="N105" s="6" t="inlineStr">
        <is>
          <t>2026-10-02 15:39:54.775 | PlayerState: Idle</t>
        </is>
      </c>
    </row>
    <row r="106" ht="17" customHeight="1">
      <c r="A106" s="0">
        <v>105</v>
      </c>
      <c r="B106" s="0" t="inlineStr">
        <is>
          <t>2026-10-02 15:39:56.960</t>
        </is>
      </c>
      <c r="C106" s="0" t="inlineStr">
        <is>
          <t>Interaction</t>
        </is>
      </c>
      <c r="D106" s="0" t="inlineStr">
        <is>
          <t>Danniel</t>
        </is>
      </c>
      <c r="E106" s="0" t="inlineStr">
        <is>
          <t>PlayerHit</t>
        </is>
      </c>
      <c r="F106" s="0" t="inlineStr">
        <is>
          <t>Failed</t>
        </is>
      </c>
      <c r="G106" s="0" t="inlineStr">
        <is>
          <t>Easy</t>
        </is>
      </c>
      <c r="M106" s="0">
        <v>110</v>
      </c>
      <c r="N106" s="0" t="inlineStr">
        <is>
          <t>2026-10-02 15:39:56.960 | Minigame: Danniel | Type: PlayerHit | Outcome: Failed | Difficulty: Easy | ExpectedTime: 130.7716 | ActualTime: N/A | TimingOffset: N/A | TimingError: N/A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15:39:57.476</t>
        </is>
      </c>
      <c r="C107" s="6" t="inlineStr">
        <is>
          <t>Interaction</t>
        </is>
      </c>
      <c r="D107" s="6" t="inlineStr">
        <is>
          <t>Danniel</t>
        </is>
      </c>
      <c r="E107" s="6" t="inlineStr">
        <is>
          <t>GunShoot</t>
        </is>
      </c>
      <c r="F107" s="6" t="inlineStr">
        <is>
          <t>Success</t>
        </is>
      </c>
      <c r="G107" s="6" t="inlineStr">
        <is>
          <t>Easy</t>
        </is>
      </c>
      <c r="K107" s="4">
        <v>0.05</v>
      </c>
      <c r="M107" s="6">
        <v>111</v>
      </c>
      <c r="N107" s="6" t="inlineStr">
        <is>
          <t>2026-10-02 15:39:57.476 | Minigame: Danniel | Type: GunShoot | Outcome: Success | Difficulty: Easy | ExpectedTime: 131.0720 | ActualTime: 131.0220 | TimingOffset: -0.0500 | TimingError: 0.0500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15:39:57.477</t>
        </is>
      </c>
      <c r="C108" s="0" t="inlineStr">
        <is>
          <t>PlayerState</t>
        </is>
      </c>
      <c r="H108" s="0" t="inlineStr">
        <is>
          <t>Engaged</t>
        </is>
      </c>
      <c r="M108" s="0">
        <v>112</v>
      </c>
      <c r="N108" s="0" t="inlineStr">
        <is>
          <t>2026-10-02 15:39:57.477 | PlayerState: Engaged</t>
        </is>
      </c>
    </row>
    <row r="109" ht="17" customHeight="1">
      <c r="A109" s="6">
        <v>108</v>
      </c>
      <c r="B109" s="6" t="inlineStr">
        <is>
          <t>2026-10-02 15:39:58.533</t>
        </is>
      </c>
      <c r="C109" s="6" t="inlineStr">
        <is>
          <t>Interaction</t>
        </is>
      </c>
      <c r="D109" s="6" t="inlineStr">
        <is>
          <t>Danniel</t>
        </is>
      </c>
      <c r="E109" s="6" t="inlineStr">
        <is>
          <t>PlayerHit</t>
        </is>
      </c>
      <c r="F109" s="6" t="inlineStr">
        <is>
          <t>Failed</t>
        </is>
      </c>
      <c r="G109" s="6" t="inlineStr">
        <is>
          <t>Easy</t>
        </is>
      </c>
      <c r="M109" s="6">
        <v>113</v>
      </c>
      <c r="N109" s="6" t="inlineStr">
        <is>
          <t>2026-10-02 15:39:58.533 | Minigame: Danniel | Type: PlayerHit | Outcome: Failed | Difficulty: Easy | ExpectedTime: 132.3440 | ActualTime: N/A | TimingOffset: N/A | TimingError: N/A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15:39:59.897</t>
        </is>
      </c>
      <c r="C110" s="0" t="inlineStr">
        <is>
          <t>Interaction</t>
        </is>
      </c>
      <c r="D110" s="0" t="inlineStr">
        <is>
          <t>Danniel</t>
        </is>
      </c>
      <c r="E110" s="0" t="inlineStr">
        <is>
          <t>GunShoot</t>
        </is>
      </c>
      <c r="F110" s="0" t="inlineStr">
        <is>
          <t>Success</t>
        </is>
      </c>
      <c r="G110" s="0" t="inlineStr">
        <is>
          <t>Easy</t>
        </is>
      </c>
      <c r="K110" s="4">
        <v>0.0431</v>
      </c>
      <c r="M110" s="0">
        <v>114</v>
      </c>
      <c r="N110" s="0" t="inlineStr">
        <is>
          <t>2026-10-02 15:39:59.897 | Minigame: Danniel | Type: GunShoot | Outcome: Success | Difficulty: Easy | ExpectedTime: 133.3760 | ActualTime: 133.3329 | TimingOffset: -0.0431 | TimingError: 0.0431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15:40:01.457</t>
        </is>
      </c>
      <c r="C111" s="6" t="inlineStr">
        <is>
          <t>Interaction</t>
        </is>
      </c>
      <c r="D111" s="6" t="inlineStr">
        <is>
          <t>Danniel</t>
        </is>
      </c>
      <c r="E111" s="6" t="inlineStr">
        <is>
          <t>PlayerHit</t>
        </is>
      </c>
      <c r="F111" s="6" t="inlineStr">
        <is>
          <t>Failed</t>
        </is>
      </c>
      <c r="G111" s="6" t="inlineStr">
        <is>
          <t>Easy</t>
        </is>
      </c>
      <c r="M111" s="6">
        <v>115</v>
      </c>
      <c r="N111" s="6" t="inlineStr">
        <is>
          <t>2026-10-02 15:40:01.457 | Minigame: Danniel | Type: PlayerHit | Outcome: Failed | Difficulty: Easy | ExpectedTime: 135.2683 | ActualTime: N/A | TimingOffset: N/A | TimingError: N/A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15:40:01.637</t>
        </is>
      </c>
      <c r="C112" s="0" t="inlineStr">
        <is>
          <t>Interaction</t>
        </is>
      </c>
      <c r="D112" s="0" t="inlineStr">
        <is>
          <t>Danniel</t>
        </is>
      </c>
      <c r="E112" s="0" t="inlineStr">
        <is>
          <t>GunShoot</t>
        </is>
      </c>
      <c r="F112" s="0" t="inlineStr">
        <is>
          <t>Failed</t>
        </is>
      </c>
      <c r="G112" s="0" t="inlineStr">
        <is>
          <t>Easy</t>
        </is>
      </c>
      <c r="M112" s="0">
        <v>116</v>
      </c>
      <c r="N112" s="0" t="inlineStr">
        <is>
          <t>2026-10-02 15:40:01.637 | Minigame: Danniel | Type: GunShoot | Outcome: Failed | Difficulty: Easy | ExpectedTime: 135.4490 | ActualTime: N/A | TimingOffset: N/A | TimingError: N/A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15:40:01.638</t>
        </is>
      </c>
      <c r="C113" s="6" t="inlineStr">
        <is>
          <t>PlayerState</t>
        </is>
      </c>
      <c r="H113" s="6" t="inlineStr">
        <is>
          <t>Overloaded</t>
        </is>
      </c>
      <c r="M113" s="6">
        <v>117</v>
      </c>
      <c r="N113" s="6" t="inlineStr">
        <is>
          <t>2026-10-02 15:40:01.638 | PlayerState: Overloaded</t>
        </is>
      </c>
    </row>
    <row r="114" ht="17" customHeight="1">
      <c r="A114" s="0">
        <v>113</v>
      </c>
      <c r="B114" s="0" t="inlineStr">
        <is>
          <t>2026-10-02 15:40:03.879</t>
        </is>
      </c>
      <c r="C114" s="0" t="inlineStr">
        <is>
          <t>Interaction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Success</t>
        </is>
      </c>
      <c r="G114" s="0" t="inlineStr">
        <is>
          <t>Easy</t>
        </is>
      </c>
      <c r="K114" s="4">
        <v>0.0134</v>
      </c>
      <c r="M114" s="0">
        <v>118</v>
      </c>
      <c r="N114" s="0" t="inlineStr">
        <is>
          <t>2026-10-02 15:40:03.879 | Minigame: Danniel | Type: GunShoot | Outcome: Success | Difficulty: Easy | ExpectedTime: 137.2160 | ActualTime: 137.2026 | TimingOffset: -0.0134 | TimingError: 0.0134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15:40:04.785</t>
        </is>
      </c>
      <c r="C115" s="6" t="inlineStr">
        <is>
          <t>Interaction</t>
        </is>
      </c>
      <c r="D115" s="6" t="inlineStr">
        <is>
          <t>Danniel</t>
        </is>
      </c>
      <c r="E115" s="6" t="inlineStr">
        <is>
          <t>GunShoot</t>
        </is>
      </c>
      <c r="F115" s="6" t="inlineStr">
        <is>
          <t>Failed</t>
        </is>
      </c>
      <c r="G115" s="6" t="inlineStr">
        <is>
          <t>Easy</t>
        </is>
      </c>
      <c r="M115" s="6">
        <v>119</v>
      </c>
      <c r="N115" s="6" t="inlineStr">
        <is>
          <t>2026-10-02 15:40:04.785 | Minigame: Danniel | Type: GunShoot | Outcome: Failed | Difficulty: Easy | ExpectedTime: 138.5954 | ActualTime: N/A | TimingOffset: N/A | TimingError: N/A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15:40:05.620</t>
        </is>
      </c>
      <c r="C116" s="0" t="inlineStr">
        <is>
          <t>Interaction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Success</t>
        </is>
      </c>
      <c r="G116" s="0" t="inlineStr">
        <is>
          <t>Easy</t>
        </is>
      </c>
      <c r="K116" s="4">
        <v>0.0391</v>
      </c>
      <c r="M116" s="0">
        <v>120</v>
      </c>
      <c r="N116" s="0" t="inlineStr">
        <is>
          <t>2026-10-02 15:40:05.620 | Minigame: Danniel | Type: GunShoot | Outcome: Success | Difficulty: Easy | ExpectedTime: 139.1360 | ActualTime: 139.0969 | TimingOffset: -0.0391 | TimingError: 0.0391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15:40:06.970</t>
        </is>
      </c>
      <c r="C117" s="6" t="inlineStr">
        <is>
          <t>Interaction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Success</t>
        </is>
      </c>
      <c r="G117" s="6" t="inlineStr">
        <is>
          <t>Easy</t>
        </is>
      </c>
      <c r="K117" s="4">
        <v>0.1321</v>
      </c>
      <c r="M117" s="6">
        <v>121</v>
      </c>
      <c r="N117" s="6" t="inlineStr">
        <is>
          <t>2026-10-02 15:40:06.970 | Minigame: Danniel | Type: GunShoot | Outcome: Success | Difficulty: Easy | ExpectedTime: 140.2880 | ActualTime: 140.4201 | TimingOffset: 0.1321 | TimingError: 0.1321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15:40:08.140</t>
        </is>
      </c>
      <c r="C118" s="0" t="inlineStr">
        <is>
          <t>Interaction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Failed</t>
        </is>
      </c>
      <c r="G118" s="0" t="inlineStr">
        <is>
          <t>Easy</t>
        </is>
      </c>
      <c r="M118" s="0">
        <v>122</v>
      </c>
      <c r="N118" s="0" t="inlineStr">
        <is>
          <t>2026-10-02 15:40:08.140 | Minigame: Danniel | Type: GunShoot | Outcome: Failed | Difficulty: Easy | ExpectedTime: 141.9515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15:40:08.390</t>
        </is>
      </c>
      <c r="C119" s="6" t="inlineStr">
        <is>
          <t>Interaction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Success</t>
        </is>
      </c>
      <c r="G119" s="6" t="inlineStr">
        <is>
          <t>Easy</t>
        </is>
      </c>
      <c r="K119" s="4">
        <v>0.03</v>
      </c>
      <c r="M119" s="6">
        <v>123</v>
      </c>
      <c r="N119" s="6" t="inlineStr">
        <is>
          <t>2026-10-02 15:40:08.390 | Minigame: Danniel | Type: GunShoot | Outcome: Success | Difficulty: Easy | ExpectedTime: 141.8240 | ActualTime: 141.8540 | TimingOffset: 0.0300 | TimingError: 0.0300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15:40:13.390</t>
        </is>
      </c>
      <c r="C120" s="0" t="inlineStr">
        <is>
          <t>PlayerState</t>
        </is>
      </c>
      <c r="H120" s="0" t="inlineStr">
        <is>
          <t>Idle</t>
        </is>
      </c>
      <c r="M120" s="0">
        <v>124</v>
      </c>
      <c r="N120" s="0" t="inlineStr">
        <is>
          <t>2026-10-02 15:40:13.390 | PlayerState: Idle</t>
        </is>
      </c>
    </row>
    <row r="121" ht="17" customHeight="1">
      <c r="A121" s="6">
        <v>120</v>
      </c>
      <c r="B121" s="6" t="inlineStr">
        <is>
          <t>2026-10-02 15:40:17.510</t>
        </is>
      </c>
      <c r="C121" s="6" t="inlineStr">
        <is>
          <t>Interaction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Success</t>
        </is>
      </c>
      <c r="G121" s="6" t="inlineStr">
        <is>
          <t>Easy</t>
        </is>
      </c>
      <c r="K121" s="4">
        <v>0.151</v>
      </c>
      <c r="M121" s="6">
        <v>125</v>
      </c>
      <c r="N121" s="6" t="inlineStr">
        <is>
          <t>2026-10-02 15:40:17.510 | Minigame: Danniel | Type: GunShoot | Outcome: Success | Difficulty: Easy | ExpectedTime: 150.6560 | ActualTime: 150.8070 | TimingOffset: 0.1510 | TimingError: 0.1510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15:40:17.512</t>
        </is>
      </c>
      <c r="C122" s="0" t="inlineStr">
        <is>
          <t>PlayerState</t>
        </is>
      </c>
      <c r="H122" s="0" t="inlineStr">
        <is>
          <t>Engaged</t>
        </is>
      </c>
      <c r="M122" s="0">
        <v>126</v>
      </c>
      <c r="N122" s="0" t="inlineStr">
        <is>
          <t>2026-10-02 15:40:17.512 | PlayerState: Engaged</t>
        </is>
      </c>
    </row>
    <row r="123" ht="17" customHeight="1">
      <c r="A123" s="6">
        <v>122</v>
      </c>
      <c r="B123" s="6" t="inlineStr">
        <is>
          <t>2026-10-02 15:40:17.692</t>
        </is>
      </c>
      <c r="C123" s="6" t="inlineStr">
        <is>
          <t>Interaction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Failed</t>
        </is>
      </c>
      <c r="G123" s="6" t="inlineStr">
        <is>
          <t>Easy</t>
        </is>
      </c>
      <c r="M123" s="6">
        <v>127</v>
      </c>
      <c r="N123" s="6" t="inlineStr">
        <is>
          <t>2026-10-02 15:40:17.692 | Minigame: Danniel | Type: GunShoot | Outcome: Failed | Difficulty: Easy | ExpectedTime: 151.5032 | ActualTime: N/A | TimingOffset: N/A | TimingError: N/A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15:40:19.099</t>
        </is>
      </c>
      <c r="C124" s="0" t="inlineStr">
        <is>
          <t>Interaction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Missed</t>
        </is>
      </c>
      <c r="G124" s="0" t="inlineStr">
        <is>
          <t>Easy</t>
        </is>
      </c>
      <c r="M124" s="0">
        <v>128</v>
      </c>
      <c r="N124" s="0" t="inlineStr">
        <is>
          <t>2026-10-02 15:40:19.099 | Minigame: Danniel | Type: GunShoot | Outcome: Missed | Difficulty: Easy | ExpectedTime: 152.9095 | ActualTime: N/A | TimingOffset: N/A | TimingError: N/A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15:40:19.099</t>
        </is>
      </c>
      <c r="C125" s="6" t="inlineStr">
        <is>
          <t>Interaction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Missed</t>
        </is>
      </c>
      <c r="G125" s="6" t="inlineStr">
        <is>
          <t>Easy</t>
        </is>
      </c>
      <c r="M125" s="6">
        <v>129</v>
      </c>
      <c r="N125" s="6" t="inlineStr">
        <is>
          <t>2026-10-02 15:40:19.099 | Minigame: Danniel | Type: GunShoot | Outcome: Missed | Difficulty: Easy | ExpectedTime: 152.9095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15:40:20.127</t>
        </is>
      </c>
      <c r="C126" s="0" t="inlineStr">
        <is>
          <t>Interaction</t>
        </is>
      </c>
      <c r="D126" s="0" t="inlineStr">
        <is>
          <t>Danniel</t>
        </is>
      </c>
      <c r="E126" s="0" t="inlineStr">
        <is>
          <t>GunShoot</t>
        </is>
      </c>
      <c r="F126" s="0" t="inlineStr">
        <is>
          <t>Success</t>
        </is>
      </c>
      <c r="G126" s="0" t="inlineStr">
        <is>
          <t>Easy</t>
        </is>
      </c>
      <c r="K126" s="4">
        <v>0.1088</v>
      </c>
      <c r="M126" s="0">
        <v>130</v>
      </c>
      <c r="N126" s="0" t="inlineStr">
        <is>
          <t>2026-10-02 15:40:20.127 | Minigame: Danniel | Type: GunShoot | Outcome: Success | Difficulty: Easy | ExpectedTime: 153.7280 | ActualTime: 153.6192 | TimingOffset: -0.1088 | TimingError: 0.1088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15:40:20.129</t>
        </is>
      </c>
      <c r="C127" s="6" t="inlineStr">
        <is>
          <t>PlayerState</t>
        </is>
      </c>
      <c r="H127" s="6" t="inlineStr">
        <is>
          <t>Overloaded</t>
        </is>
      </c>
      <c r="M127" s="6">
        <v>131</v>
      </c>
      <c r="N127" s="6" t="inlineStr">
        <is>
          <t>2026-10-02 15:40:20.129 | PlayerState: Overloaded</t>
        </is>
      </c>
    </row>
    <row r="128" ht="17" customHeight="1">
      <c r="A128" s="0">
        <v>127</v>
      </c>
      <c r="B128" s="0" t="inlineStr">
        <is>
          <t>2026-10-02 15:40:20.448</t>
        </is>
      </c>
      <c r="C128" s="0" t="inlineStr">
        <is>
          <t>Interaction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Failed</t>
        </is>
      </c>
      <c r="G128" s="0" t="inlineStr">
        <is>
          <t>Easy</t>
        </is>
      </c>
      <c r="M128" s="0">
        <v>132</v>
      </c>
      <c r="N128" s="0" t="inlineStr">
        <is>
          <t>2026-10-02 15:40:20.448 | Minigame: Danniel | Type: GunShoot | Outcome: Failed | Difficulty: Easy | ExpectedTime: 154.2597 | ActualTime: N/A | TimingOffset: N/A | TimingError: N/A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15:40:25.449</t>
        </is>
      </c>
      <c r="C129" s="6" t="inlineStr">
        <is>
          <t>PlayerState</t>
        </is>
      </c>
      <c r="H129" s="6" t="inlineStr">
        <is>
          <t>Idle</t>
        </is>
      </c>
      <c r="M129" s="6">
        <v>133</v>
      </c>
      <c r="N129" s="6" t="inlineStr">
        <is>
          <t>2026-10-02 15:40:25.449 | PlayerState: Idle</t>
        </is>
      </c>
    </row>
    <row r="130" ht="17" customHeight="1">
      <c r="A130" s="0">
        <v>129</v>
      </c>
      <c r="B130" s="0" t="inlineStr">
        <is>
          <t>2026-10-02 15:40:33.981</t>
        </is>
      </c>
      <c r="C130" s="0" t="inlineStr">
        <is>
          <t>Interaction</t>
        </is>
      </c>
      <c r="D130" s="0" t="inlineStr">
        <is>
          <t>Jeremy</t>
        </is>
      </c>
      <c r="E130" s="0" t="inlineStr">
        <is>
          <t>SwordCut</t>
        </is>
      </c>
      <c r="F130" s="0" t="inlineStr">
        <is>
          <t>Failed</t>
        </is>
      </c>
      <c r="G130" s="0" t="inlineStr">
        <is>
          <t>Easy</t>
        </is>
      </c>
      <c r="K130" s="4">
        <v>0.0862</v>
      </c>
      <c r="M130" s="0">
        <v>134</v>
      </c>
      <c r="N130" s="0" t="inlineStr">
        <is>
          <t>2026-10-02 15:40:33.981 | Minigame: Jeremy | Type: SwordCut | Outcome: Failed | Difficulty: Easy | ExpectedTime: 167.7061 | ActualTime: 167.7923 | TimingOffset: 0.0862 | TimingError: 0.0862 | ReactionTime: N/A | SpatialAccuracy: N/A | DirectionAccuracy: 0.0000 | CorrectHand: True</t>
        </is>
      </c>
    </row>
    <row r="131" ht="17" customHeight="1">
      <c r="A131" s="6">
        <v>130</v>
      </c>
      <c r="B131" s="6" t="inlineStr">
        <is>
          <t>2026-10-02 15:40:33.981</t>
        </is>
      </c>
      <c r="C131" s="6" t="inlineStr">
        <is>
          <t>PlayerState</t>
        </is>
      </c>
      <c r="H131" s="6" t="inlineStr">
        <is>
          <t>Engaged</t>
        </is>
      </c>
      <c r="M131" s="6">
        <v>135</v>
      </c>
      <c r="N131" s="6" t="inlineStr">
        <is>
          <t>2026-10-02 15:40:33.981 | PlayerState: Engaged</t>
        </is>
      </c>
    </row>
    <row r="132" ht="17" customHeight="1">
      <c r="A132" s="0">
        <v>131</v>
      </c>
      <c r="B132" s="0" t="inlineStr">
        <is>
          <t>2026-10-02 15:40:36.112</t>
        </is>
      </c>
      <c r="C132" s="0" t="inlineStr">
        <is>
          <t>Interaction</t>
        </is>
      </c>
      <c r="D132" s="0" t="inlineStr">
        <is>
          <t>Jeremy</t>
        </is>
      </c>
      <c r="E132" s="0" t="inlineStr">
        <is>
          <t>SwordCut</t>
        </is>
      </c>
      <c r="F132" s="0" t="inlineStr">
        <is>
          <t>Failed</t>
        </is>
      </c>
      <c r="G132" s="0" t="inlineStr">
        <is>
          <t>Easy</t>
        </is>
      </c>
      <c r="K132" s="4">
        <v>0.0818</v>
      </c>
      <c r="M132" s="0">
        <v>136</v>
      </c>
      <c r="N132" s="0" t="inlineStr">
        <is>
          <t>2026-10-02 15:40:36.112 | Minigame: Jeremy | Type: SwordCut | Outcome: Failed | Difficulty: Easy | ExpectedTime: 170.0049 | ActualTime: 169.9231 | TimingOffset: -0.0818 | TimingError: 0.0818 | ReactionTime: N/A | SpatialAccuracy: N/A | DirectionAccuracy: 0.0000 | CorrectHand: True</t>
        </is>
      </c>
    </row>
    <row r="133" ht="17" customHeight="1">
      <c r="A133" s="6">
        <v>132</v>
      </c>
      <c r="B133" s="6" t="inlineStr">
        <is>
          <t>2026-10-02 15:40:38.200</t>
        </is>
      </c>
      <c r="C133" s="6" t="inlineStr">
        <is>
          <t>Interaction</t>
        </is>
      </c>
      <c r="D133" s="6" t="inlineStr">
        <is>
          <t>Jeremy</t>
        </is>
      </c>
      <c r="E133" s="6" t="inlineStr">
        <is>
          <t>SwordCut</t>
        </is>
      </c>
      <c r="F133" s="6" t="inlineStr">
        <is>
          <t>Failed</t>
        </is>
      </c>
      <c r="G133" s="6" t="inlineStr">
        <is>
          <t>Easy</t>
        </is>
      </c>
      <c r="K133" s="4">
        <v>0.2915</v>
      </c>
      <c r="M133" s="6">
        <v>137</v>
      </c>
      <c r="N133" s="6" t="inlineStr">
        <is>
          <t>2026-10-02 15:40:38.200 | Minigame: Jeremy | Type: SwordCut | Outcome: Failed | Difficulty: Easy | ExpectedTime: 172.3037 | ActualTime: 172.0122 | TimingOffset: -0.2915 | TimingError: 0.2915 | ReactionTime: N/A | SpatialAccuracy: N/A | DirectionAccuracy: 0.0000 | CorrectHand: False</t>
        </is>
      </c>
    </row>
    <row r="134" ht="17" customHeight="1">
      <c r="A134" s="0">
        <v>133</v>
      </c>
      <c r="B134" s="0" t="inlineStr">
        <is>
          <t>2026-10-02 15:40:40.833</t>
        </is>
      </c>
      <c r="C134" s="0" t="inlineStr">
        <is>
          <t>Interaction</t>
        </is>
      </c>
      <c r="D134" s="0" t="inlineStr">
        <is>
          <t>Jeremy</t>
        </is>
      </c>
      <c r="E134" s="0" t="inlineStr">
        <is>
          <t>SwordCut</t>
        </is>
      </c>
      <c r="F134" s="0" t="inlineStr">
        <is>
          <t>Failed</t>
        </is>
      </c>
      <c r="G134" s="0" t="inlineStr">
        <is>
          <t>Easy</t>
        </is>
      </c>
      <c r="K134" s="4">
        <v>0.0414</v>
      </c>
      <c r="M134" s="0">
        <v>138</v>
      </c>
      <c r="N134" s="0" t="inlineStr">
        <is>
          <t>2026-10-02 15:40:40.833 | Minigame: Jeremy | Type: SwordCut | Outcome: Failed | Difficulty: Easy | ExpectedTime: 174.6024 | ActualTime: 174.6438 | TimingOffset: 0.0414 | TimingError: 0.0414 | ReactionTime: N/A | SpatialAccuracy: N/A | DirectionAccuracy: 0.0000 | CorrectHand: True</t>
        </is>
      </c>
    </row>
    <row r="135" ht="17" customHeight="1">
      <c r="A135" s="6">
        <v>134</v>
      </c>
      <c r="B135" s="6" t="inlineStr">
        <is>
          <t>2026-10-02 15:40:42.977</t>
        </is>
      </c>
      <c r="C135" s="6" t="inlineStr">
        <is>
          <t>Interaction</t>
        </is>
      </c>
      <c r="D135" s="6" t="inlineStr">
        <is>
          <t>Jeremy</t>
        </is>
      </c>
      <c r="E135" s="6" t="inlineStr">
        <is>
          <t>SwordCut</t>
        </is>
      </c>
      <c r="F135" s="6" t="inlineStr">
        <is>
          <t>Success</t>
        </is>
      </c>
      <c r="G135" s="6" t="inlineStr">
        <is>
          <t>Easy</t>
        </is>
      </c>
      <c r="K135" s="4">
        <v>0.1126</v>
      </c>
      <c r="M135" s="6">
        <v>139</v>
      </c>
      <c r="N135" s="6" t="inlineStr">
        <is>
          <t>2026-10-02 15:40:42.977 | Minigame: Jeremy | Type: SwordCut | Outcome: Success | Difficulty: Easy | ExpectedTime: 176.9012 | ActualTime: 176.7886 | TimingOffset: -0.1126 | TimingError: 0.1126 | ReactionTime: N/A | SpatialAccuracy: N/A | DirectionAccuracy: 1.0000 | CorrectHand: True</t>
        </is>
      </c>
    </row>
    <row r="136" ht="17" customHeight="1">
      <c r="A136" s="0">
        <v>135</v>
      </c>
      <c r="B136" s="0" t="inlineStr">
        <is>
          <t>2026-10-02 15:40:42.977</t>
        </is>
      </c>
      <c r="C136" s="0" t="inlineStr">
        <is>
          <t>PlayerState</t>
        </is>
      </c>
      <c r="H136" s="0" t="inlineStr">
        <is>
          <t>Overloaded</t>
        </is>
      </c>
      <c r="M136" s="0">
        <v>140</v>
      </c>
      <c r="N136" s="0" t="inlineStr">
        <is>
          <t>2026-10-02 15:40:42.977 | PlayerState: Overloaded</t>
        </is>
      </c>
    </row>
    <row r="137" ht="17" customHeight="1">
      <c r="A137" s="6">
        <v>136</v>
      </c>
      <c r="B137" s="6" t="inlineStr">
        <is>
          <t>2026-10-02 15:40:45.219</t>
        </is>
      </c>
      <c r="C137" s="6" t="inlineStr">
        <is>
          <t>Interaction</t>
        </is>
      </c>
      <c r="D137" s="6" t="inlineStr">
        <is>
          <t>Jeremy</t>
        </is>
      </c>
      <c r="E137" s="6" t="inlineStr">
        <is>
          <t>SwordCut</t>
        </is>
      </c>
      <c r="F137" s="6" t="inlineStr">
        <is>
          <t>Success</t>
        </is>
      </c>
      <c r="G137" s="6" t="inlineStr">
        <is>
          <t>Easy</t>
        </is>
      </c>
      <c r="K137" s="4">
        <v>0.17</v>
      </c>
      <c r="M137" s="6">
        <v>141</v>
      </c>
      <c r="N137" s="6" t="inlineStr">
        <is>
          <t>2026-10-02 15:40:45.219 | Minigame: Jeremy | Type: SwordCut | Outcome: Success | Difficulty: Easy | ExpectedTime: 179.2000 | ActualTime: 179.0300 | TimingOffset: -0.1700 | TimingError: 0.1700 | ReactionTime: N/A | SpatialAccuracy: N/A | DirectionAccuracy: 1.0000 | CorrectHand: True</t>
        </is>
      </c>
    </row>
    <row r="138" ht="17" customHeight="1">
      <c r="A138" s="0">
        <v>137</v>
      </c>
      <c r="B138" s="0" t="inlineStr">
        <is>
          <t>2026-10-02 15:40:48.323</t>
        </is>
      </c>
      <c r="C138" s="0" t="inlineStr">
        <is>
          <t>Interaction</t>
        </is>
      </c>
      <c r="D138" s="0" t="inlineStr">
        <is>
          <t>Jeremy</t>
        </is>
      </c>
      <c r="E138" s="0" t="inlineStr">
        <is>
          <t>SwordCut</t>
        </is>
      </c>
      <c r="F138" s="0" t="inlineStr">
        <is>
          <t>Missed</t>
        </is>
      </c>
      <c r="G138" s="0" t="inlineStr">
        <is>
          <t>Easy</t>
        </is>
      </c>
      <c r="M138" s="0">
        <v>142</v>
      </c>
      <c r="N138" s="0" t="inlineStr">
        <is>
          <t>2026-10-02 15:40:48.323 | Minigame: Jeremy | Type: SwordCut | Outcome: Missed | Difficulty: Easy | ExpectedTime: 181.4988 | ActualTime: N/A | TimingOffset: N/A | TimingError: N/A | ReactionTime: N/A | SpatialAccuracy: N/A | DirectionAccuracy: N/A | CorrectHand: N/A</t>
        </is>
      </c>
    </row>
    <row r="139" ht="17" customHeight="1">
      <c r="A139" s="6">
        <v>138</v>
      </c>
      <c r="B139" s="6" t="inlineStr">
        <is>
          <t>2026-10-02 15:40:50.216</t>
        </is>
      </c>
      <c r="C139" s="6" t="inlineStr">
        <is>
          <t>PlayerState</t>
        </is>
      </c>
      <c r="H139" s="6" t="inlineStr">
        <is>
          <t>Idle</t>
        </is>
      </c>
      <c r="M139" s="6">
        <v>143</v>
      </c>
      <c r="N139" s="6" t="inlineStr">
        <is>
          <t>2026-10-02 15:40:50.216 | PlayerState: Idle</t>
        </is>
      </c>
    </row>
  </sheetData>
  <autoFilter ref="A1:N139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