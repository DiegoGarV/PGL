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P017</t>
        </is>
      </c>
    </row>
    <row r="2" ht="17" customHeight="1"/>
    <row r="3" ht="17" customHeight="1">
      <c r="A3" s="6" t="inlineStr">
        <is>
          <t>Inicio: 2026-10-02 14:45:57     |     Fuente: Metrics_P017_2026-10-02_14-45-57.txt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138.0</v>
      </c>
      <c r="C6" s="0">
        <f>COUNTA('Interacciones'!$A$2:$A$139)</f>
        <v>138</v>
      </c>
      <c r="E6" s="0" t="inlineStr">
        <is>
          <t>Cambios de dificultad</t>
        </is>
      </c>
      <c r="F6" s="0">
        <v>5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70.0</v>
      </c>
      <c r="C7" s="6">
        <f>COUNTIF('Interacciones'!$F$2:$F$139,"Success")</f>
        <v>70</v>
      </c>
      <c r="E7" s="6" t="inlineStr">
        <is>
          <t>Estados del jugador</t>
        </is>
      </c>
      <c r="F7" s="6">
        <v>23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60.0</v>
      </c>
      <c r="C8" s="0">
        <f>COUNTIF('Interacciones'!$F$2:$F$139,"Failed")</f>
        <v>60</v>
      </c>
      <c r="E8" s="0" t="inlineStr">
        <is>
          <t>Eventos totales</t>
        </is>
      </c>
      <c r="F8" s="0">
        <v>166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8.0</v>
      </c>
      <c r="C9" s="6">
        <f>COUNTIF('Interacciones'!$F$2:$F$139,"Missed")</f>
        <v>8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0.5072</v>
      </c>
      <c r="C10" s="0">
        <f>IFERROR(C7/C6,0)</f>
        <v>0.5072463768115942</v>
      </c>
    </row>
    <row r="11" ht="17" customHeight="1">
      <c r="A11" s="6" t="inlineStr">
        <is>
          <t>Error timing medio (s)</t>
        </is>
      </c>
      <c r="B11" s="6">
        <v>0.2464</v>
      </c>
      <c r="C11" s="6">
        <f>IFERROR(AVERAGE('Interacciones'!$K$2:$K$139),"")</f>
        <v>0.24636129032258064</v>
      </c>
    </row>
    <row r="12" ht="17" customHeight="1">
      <c r="A12" s="0" t="inlineStr">
        <is>
          <t>Reacción media (s)</t>
        </is>
      </c>
      <c r="B12" s="0">
        <v>0.6126</v>
      </c>
      <c r="C12" s="0">
        <f>IFERROR(AVERAGE('Interacciones'!$L$2:$L$139),"")</f>
        <v>0.6125615384615385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IFERROR(AVERAGE('Interacciones'!$M$2:$M$139),"")</f>
        <v/>
      </c>
    </row>
    <row r="14" ht="17" customHeight="1">
      <c r="A14" s="0" t="inlineStr">
        <is>
          <t>Precisión dirección media</t>
        </is>
      </c>
      <c r="B14" s="0">
        <v>0.5405</v>
      </c>
      <c r="C14" s="0">
        <f>IFERROR(AVERAGE('Interacciones'!$N$2:$N$139),"")</f>
        <v>0.5405405405405406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COUNTIF('Interacciones'!$D$2:$D$139,$A5)</f>
        <v>47</v>
      </c>
      <c r="C5" s="6">
        <f>COUNTIFS('Interacciones'!$D$2:$D$139,$A5,'Interacciones'!$F$2:$F$139,"Success")</f>
        <v>29</v>
      </c>
      <c r="D5" s="6">
        <f>COUNTIFS('Interacciones'!$D$2:$D$139,$A5,'Interacciones'!$F$2:$F$139,"Failed")</f>
        <v>14</v>
      </c>
      <c r="E5" s="6">
        <f>COUNTIFS('Interacciones'!$D$2:$D$139,$A5,'Interacciones'!$F$2:$F$139,"Missed")</f>
        <v>4</v>
      </c>
      <c r="F5" s="3">
        <f>IFERROR(C5/B5,0)</f>
        <v>0.6170212765957447</v>
      </c>
      <c r="G5" s="4">
        <f>IFERROR(AVERAGEIF('Interacciones'!$D$2:$D$139,$A5,'Interacciones'!$K$2:$K$139),"")</f>
        <v>0.012225</v>
      </c>
      <c r="H5" s="4" t="str">
        <f>IFERROR(AVERAGEIF('Interacciones'!$D$2:$D$139,$A5,'Interacciones'!$L$2:$L$139),"")</f>
        <v/>
      </c>
      <c r="I5" s="6">
        <f>COUNTIF('Adaptaciones'!$C$2:$C$6,$A5)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COUNTIF('Interacciones'!$D$2:$D$139,$A6)</f>
        <v>32</v>
      </c>
      <c r="C6" s="0">
        <f>COUNTIFS('Interacciones'!$D$2:$D$139,$A6,'Interacciones'!$F$2:$F$139,"Success")</f>
        <v>11</v>
      </c>
      <c r="D6" s="0">
        <f>COUNTIFS('Interacciones'!$D$2:$D$139,$A6,'Interacciones'!$F$2:$F$139,"Failed")</f>
        <v>19</v>
      </c>
      <c r="E6" s="0">
        <f>COUNTIFS('Interacciones'!$D$2:$D$139,$A6,'Interacciones'!$F$2:$F$139,"Missed")</f>
        <v>2</v>
      </c>
      <c r="F6" s="3">
        <f>IFERROR(C6/B6,0)</f>
        <v>0.34375</v>
      </c>
      <c r="G6" s="4">
        <f>IFERROR(AVERAGEIF('Interacciones'!$D$2:$D$139,$A6,'Interacciones'!$K$2:$K$139),"")</f>
        <v>0.08137272727272728</v>
      </c>
      <c r="H6" s="4" t="str">
        <f>IFERROR(AVERAGEIF('Interacciones'!$D$2:$D$139,$A6,'Interacciones'!$L$2:$L$139),"")</f>
        <v/>
      </c>
      <c r="I6" s="0">
        <f>COUNTIF('Adaptaciones'!$C$2:$C$6,$A6)</f>
        <v>1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COUNTIF('Interacciones'!$D$2:$D$139,$A7)</f>
        <v>8</v>
      </c>
      <c r="C7" s="6">
        <f>COUNTIFS('Interacciones'!$D$2:$D$139,$A7,'Interacciones'!$F$2:$F$139,"Success")</f>
        <v>3</v>
      </c>
      <c r="D7" s="6">
        <f>COUNTIFS('Interacciones'!$D$2:$D$139,$A7,'Interacciones'!$F$2:$F$139,"Failed")</f>
        <v>3</v>
      </c>
      <c r="E7" s="6">
        <f>COUNTIFS('Interacciones'!$D$2:$D$139,$A7,'Interacciones'!$F$2:$F$139,"Missed")</f>
        <v>2</v>
      </c>
      <c r="F7" s="3">
        <f>IFERROR(C7/B7,0)</f>
        <v>0.375</v>
      </c>
      <c r="G7" s="4">
        <f>IFERROR(AVERAGEIF('Interacciones'!$D$2:$D$139,$A7,'Interacciones'!$K$2:$K$139),"")</f>
        <v>0.16076666666666667</v>
      </c>
      <c r="H7" s="4" t="str">
        <f>IFERROR(AVERAGEIF('Interacciones'!$D$2:$D$139,$A7,'Interacciones'!$L$2:$L$139),"")</f>
        <v/>
      </c>
      <c r="I7" s="6">
        <f>COUNTIF('Adaptaciones'!$C$2:$C$6,$A7)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COUNTIF('Interacciones'!$D$2:$D$139,$A8)</f>
        <v>19</v>
      </c>
      <c r="C8" s="0">
        <f>COUNTIFS('Interacciones'!$D$2:$D$139,$A8,'Interacciones'!$F$2:$F$139,"Success")</f>
        <v>13</v>
      </c>
      <c r="D8" s="0">
        <f>COUNTIFS('Interacciones'!$D$2:$D$139,$A8,'Interacciones'!$F$2:$F$139,"Failed")</f>
        <v>6</v>
      </c>
      <c r="E8" s="0">
        <f>COUNTIFS('Interacciones'!$D$2:$D$139,$A8,'Interacciones'!$F$2:$F$139,"Missed")</f>
        <v>0</v>
      </c>
      <c r="F8" s="3">
        <f>IFERROR(C8/B8,0)</f>
        <v>0.6842105263157895</v>
      </c>
      <c r="G8" s="4">
        <f>IFERROR(AVERAGEIF('Interacciones'!$D$2:$D$139,$A8,'Interacciones'!$K$2:$K$139),"")</f>
        <v>0.1031923076923077</v>
      </c>
      <c r="H8" s="4" t="str">
        <f>IFERROR(AVERAGEIF('Interacciones'!$D$2:$D$139,$A8,'Interacciones'!$L$2:$L$139),"")</f>
        <v/>
      </c>
      <c r="I8" s="0">
        <f>COUNTIF('Adaptaciones'!$C$2:$C$6,$A8)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COUNTIF('Interacciones'!$D$2:$D$139,$A9)</f>
        <v>18</v>
      </c>
      <c r="C9" s="6">
        <f>COUNTIFS('Interacciones'!$D$2:$D$139,$A9,'Interacciones'!$F$2:$F$139,"Success")</f>
        <v>8</v>
      </c>
      <c r="D9" s="6">
        <f>COUNTIFS('Interacciones'!$D$2:$D$139,$A9,'Interacciones'!$F$2:$F$139,"Failed")</f>
        <v>10</v>
      </c>
      <c r="E9" s="6">
        <f>COUNTIFS('Interacciones'!$D$2:$D$139,$A9,'Interacciones'!$F$2:$F$139,"Missed")</f>
        <v>0</v>
      </c>
      <c r="F9" s="3">
        <f>IFERROR(C9/B9,0)</f>
        <v>0.4444444444444444</v>
      </c>
      <c r="G9" s="4">
        <f>IFERROR(AVERAGEIF('Interacciones'!$D$2:$D$139,$A9,'Interacciones'!$K$2:$K$139),"")</f>
        <v>0.6670611111111111</v>
      </c>
      <c r="H9" s="4" t="str">
        <f>IFERROR(AVERAGEIF('Interacciones'!$D$2:$D$139,$A9,'Interacciones'!$L$2:$L$139),"")</f>
        <v/>
      </c>
      <c r="I9" s="6">
        <f>COUNTIF('Adaptaciones'!$C$2:$C$6,$A9)</f>
        <v>1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COUNTIF('Interacciones'!$D$2:$D$139,$A10)</f>
        <v>14</v>
      </c>
      <c r="C10" s="0">
        <f>COUNTIFS('Interacciones'!$D$2:$D$139,$A10,'Interacciones'!$F$2:$F$139,"Success")</f>
        <v>6</v>
      </c>
      <c r="D10" s="0">
        <f>COUNTIFS('Interacciones'!$D$2:$D$139,$A10,'Interacciones'!$F$2:$F$139,"Failed")</f>
        <v>8</v>
      </c>
      <c r="E10" s="0">
        <f>COUNTIFS('Interacciones'!$D$2:$D$139,$A10,'Interacciones'!$F$2:$F$139,"Missed")</f>
        <v>0</v>
      </c>
      <c r="F10" s="3">
        <f>IFERROR(C10/B10,0)</f>
        <v>0.42857142857142855</v>
      </c>
      <c r="G10" s="4">
        <f>IFERROR(AVERAGEIF('Interacciones'!$D$2:$D$139,$A10,'Interacciones'!$K$2:$K$139),"")</f>
        <v>0.5624692307692307</v>
      </c>
      <c r="H10" s="4">
        <f>IFERROR(AVERAGEIF('Interacciones'!$D$2:$D$139,$A10,'Interacciones'!$L$2:$L$139),"")</f>
        <v>0.6125615384615385</v>
      </c>
      <c r="I10" s="0">
        <f>COUNTIF('Adaptaciones'!$C$2:$C$6,$A10)</f>
        <v>0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COUNTIFS('Interacciones'!$D$2:$D$139,$A5,'Interacciones'!$E$2:$E$139,$B5)</f>
        <v>34</v>
      </c>
      <c r="D5" s="6">
        <f>COUNTIFS('Interacciones'!$D$2:$D$139,$A5,'Interacciones'!$E$2:$E$139,$B5,'Interacciones'!$F$2:$F$139,"Success")</f>
        <v>21</v>
      </c>
      <c r="E5" s="6">
        <f>COUNTIFS('Interacciones'!$D$2:$D$139,$A5,'Interacciones'!$E$2:$E$139,$B5,'Interacciones'!$F$2:$F$139,"Failed")</f>
        <v>13</v>
      </c>
      <c r="F5" s="6">
        <f>COUNTIFS('Interacciones'!$D$2:$D$139,$A5,'Interacciones'!$E$2:$E$139,$B5,'Interacciones'!$F$2:$F$139,"Missed")</f>
        <v>0</v>
      </c>
      <c r="G5" s="3">
        <f>IFERROR(D5/C5,0)</f>
        <v>0.6176470588235294</v>
      </c>
      <c r="H5" s="4">
        <f>IFERROR(AVERAGEIFS('Interacciones'!$K$2:$K$139,'Interacciones'!$D$2:$D$139,$A5,'Interacciones'!$E$2:$E$139,$B5),"")</f>
        <v>0.012225</v>
      </c>
      <c r="I5" s="4" t="str">
        <f>IFERROR(AVERAGEIFS('Interacciones'!$L$2:$L$139,'Interacciones'!$D$2:$D$139,$A5,'Interacciones'!$E$2:$E$139,$B5),"")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COUNTIFS('Interacciones'!$D$2:$D$139,$A6,'Interacciones'!$E$2:$E$139,$B6)</f>
        <v>13</v>
      </c>
      <c r="D6" s="0">
        <f>COUNTIFS('Interacciones'!$D$2:$D$139,$A6,'Interacciones'!$E$2:$E$139,$B6,'Interacciones'!$F$2:$F$139,"Success")</f>
        <v>8</v>
      </c>
      <c r="E6" s="0">
        <f>COUNTIFS('Interacciones'!$D$2:$D$139,$A6,'Interacciones'!$E$2:$E$139,$B6,'Interacciones'!$F$2:$F$139,"Failed")</f>
        <v>1</v>
      </c>
      <c r="F6" s="0">
        <f>COUNTIFS('Interacciones'!$D$2:$D$139,$A6,'Interacciones'!$E$2:$E$139,$B6,'Interacciones'!$F$2:$F$139,"Missed")</f>
        <v>4</v>
      </c>
      <c r="G6" s="3">
        <f>IFERROR(D6/C6,0)</f>
        <v>0.6153846153846154</v>
      </c>
      <c r="H6" s="4" t="str">
        <f>IFERROR(AVERAGEIFS('Interacciones'!$K$2:$K$139,'Interacciones'!$D$2:$D$139,$A6,'Interacciones'!$E$2:$E$139,$B6),"")</f>
        <v/>
      </c>
      <c r="I6" s="4" t="str">
        <f>IFERROR(AVERAGEIFS('Interacciones'!$L$2:$L$139,'Interacciones'!$D$2:$D$139,$A6,'Interacciones'!$E$2:$E$139,$B6),"")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COUNTIFS('Interacciones'!$D$2:$D$139,$A7,'Interacciones'!$E$2:$E$139,$B7)</f>
        <v>23</v>
      </c>
      <c r="D7" s="6">
        <f>COUNTIFS('Interacciones'!$D$2:$D$139,$A7,'Interacciones'!$E$2:$E$139,$B7,'Interacciones'!$F$2:$F$139,"Success")</f>
        <v>11</v>
      </c>
      <c r="E7" s="6">
        <f>COUNTIFS('Interacciones'!$D$2:$D$139,$A7,'Interacciones'!$E$2:$E$139,$B7,'Interacciones'!$F$2:$F$139,"Failed")</f>
        <v>10</v>
      </c>
      <c r="F7" s="6">
        <f>COUNTIFS('Interacciones'!$D$2:$D$139,$A7,'Interacciones'!$E$2:$E$139,$B7,'Interacciones'!$F$2:$F$139,"Missed")</f>
        <v>2</v>
      </c>
      <c r="G7" s="3">
        <f>IFERROR(D7/C7,0)</f>
        <v>0.4782608695652174</v>
      </c>
      <c r="H7" s="4">
        <f>IFERROR(AVERAGEIFS('Interacciones'!$K$2:$K$139,'Interacciones'!$D$2:$D$139,$A7,'Interacciones'!$E$2:$E$139,$B7),"")</f>
        <v>0.08137272727272728</v>
      </c>
      <c r="I7" s="4" t="str">
        <f>IFERROR(AVERAGEIFS('Interacciones'!$L$2:$L$139,'Interacciones'!$D$2:$D$139,$A7,'Interacciones'!$E$2:$E$139,$B7),"")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COUNTIFS('Interacciones'!$D$2:$D$139,$A8,'Interacciones'!$E$2:$E$139,$B8)</f>
        <v>9</v>
      </c>
      <c r="D8" s="0">
        <f>COUNTIFS('Interacciones'!$D$2:$D$139,$A8,'Interacciones'!$E$2:$E$139,$B8,'Interacciones'!$F$2:$F$139,"Success")</f>
        <v>0</v>
      </c>
      <c r="E8" s="0">
        <f>COUNTIFS('Interacciones'!$D$2:$D$139,$A8,'Interacciones'!$E$2:$E$139,$B8,'Interacciones'!$F$2:$F$139,"Failed")</f>
        <v>9</v>
      </c>
      <c r="F8" s="0">
        <f>COUNTIFS('Interacciones'!$D$2:$D$139,$A8,'Interacciones'!$E$2:$E$139,$B8,'Interacciones'!$F$2:$F$139,"Missed")</f>
        <v>0</v>
      </c>
      <c r="G8" s="3">
        <f>IFERROR(D8/C8,0)</f>
        <v>0.0</v>
      </c>
      <c r="H8" s="4" t="str">
        <f>IFERROR(AVERAGEIFS('Interacciones'!$K$2:$K$139,'Interacciones'!$D$2:$D$139,$A8,'Interacciones'!$E$2:$E$139,$B8),"")</f>
        <v/>
      </c>
      <c r="I8" s="4" t="str">
        <f>IFERROR(AVERAGEIFS('Interacciones'!$L$2:$L$139,'Interacciones'!$D$2:$D$139,$A8,'Interacciones'!$E$2:$E$139,$B8),"")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COUNTIFS('Interacciones'!$D$2:$D$139,$A9,'Interacciones'!$E$2:$E$139,$B9)</f>
        <v>8</v>
      </c>
      <c r="D9" s="6">
        <f>COUNTIFS('Interacciones'!$D$2:$D$139,$A9,'Interacciones'!$E$2:$E$139,$B9,'Interacciones'!$F$2:$F$139,"Success")</f>
        <v>3</v>
      </c>
      <c r="E9" s="6">
        <f>COUNTIFS('Interacciones'!$D$2:$D$139,$A9,'Interacciones'!$E$2:$E$139,$B9,'Interacciones'!$F$2:$F$139,"Failed")</f>
        <v>3</v>
      </c>
      <c r="F9" s="6">
        <f>COUNTIFS('Interacciones'!$D$2:$D$139,$A9,'Interacciones'!$E$2:$E$139,$B9,'Interacciones'!$F$2:$F$139,"Missed")</f>
        <v>2</v>
      </c>
      <c r="G9" s="3">
        <f>IFERROR(D9/C9,0)</f>
        <v>0.375</v>
      </c>
      <c r="H9" s="4">
        <f>IFERROR(AVERAGEIFS('Interacciones'!$K$2:$K$139,'Interacciones'!$D$2:$D$139,$A9,'Interacciones'!$E$2:$E$139,$B9),"")</f>
        <v>0.16076666666666667</v>
      </c>
      <c r="I9" s="4" t="str">
        <f>IFERROR(AVERAGEIFS('Interacciones'!$L$2:$L$139,'Interacciones'!$D$2:$D$139,$A9,'Interacciones'!$E$2:$E$139,$B9),"")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COUNTIFS('Interacciones'!$D$2:$D$139,$A10,'Interacciones'!$E$2:$E$139,$B10)</f>
        <v>13</v>
      </c>
      <c r="D10" s="0">
        <f>COUNTIFS('Interacciones'!$D$2:$D$139,$A10,'Interacciones'!$E$2:$E$139,$B10,'Interacciones'!$F$2:$F$139,"Success")</f>
        <v>13</v>
      </c>
      <c r="E10" s="0">
        <f>COUNTIFS('Interacciones'!$D$2:$D$139,$A10,'Interacciones'!$E$2:$E$139,$B10,'Interacciones'!$F$2:$F$139,"Failed")</f>
        <v>0</v>
      </c>
      <c r="F10" s="0">
        <f>COUNTIFS('Interacciones'!$D$2:$D$139,$A10,'Interacciones'!$E$2:$E$139,$B10,'Interacciones'!$F$2:$F$139,"Missed")</f>
        <v>0</v>
      </c>
      <c r="G10" s="3">
        <f>IFERROR(D10/C10,0)</f>
        <v>1.0</v>
      </c>
      <c r="H10" s="4">
        <f>IFERROR(AVERAGEIFS('Interacciones'!$K$2:$K$139,'Interacciones'!$D$2:$D$139,$A10,'Interacciones'!$E$2:$E$139,$B10),"")</f>
        <v>0.1031923076923077</v>
      </c>
      <c r="I10" s="4" t="str">
        <f>IFERROR(AVERAGEIFS('Interacciones'!$L$2:$L$139,'Interacciones'!$D$2:$D$139,$A10,'Interacciones'!$E$2:$E$139,$B10),"")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COUNTIFS('Interacciones'!$D$2:$D$139,$A11,'Interacciones'!$E$2:$E$139,$B11)</f>
        <v>6</v>
      </c>
      <c r="D11" s="6">
        <f>COUNTIFS('Interacciones'!$D$2:$D$139,$A11,'Interacciones'!$E$2:$E$139,$B11,'Interacciones'!$F$2:$F$139,"Success")</f>
        <v>0</v>
      </c>
      <c r="E11" s="6">
        <f>COUNTIFS('Interacciones'!$D$2:$D$139,$A11,'Interacciones'!$E$2:$E$139,$B11,'Interacciones'!$F$2:$F$139,"Failed")</f>
        <v>6</v>
      </c>
      <c r="F11" s="6">
        <f>COUNTIFS('Interacciones'!$D$2:$D$139,$A11,'Interacciones'!$E$2:$E$139,$B11,'Interacciones'!$F$2:$F$139,"Missed")</f>
        <v>0</v>
      </c>
      <c r="G11" s="3">
        <f>IFERROR(D11/C11,0)</f>
        <v>0.0</v>
      </c>
      <c r="H11" s="4" t="str">
        <f>IFERROR(AVERAGEIFS('Interacciones'!$K$2:$K$139,'Interacciones'!$D$2:$D$139,$A11,'Interacciones'!$E$2:$E$139,$B11),"")</f>
        <v/>
      </c>
      <c r="I11" s="4" t="str">
        <f>IFERROR(AVERAGEIFS('Interacciones'!$L$2:$L$139,'Interacciones'!$D$2:$D$139,$A11,'Interacciones'!$E$2:$E$139,$B11),"")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COUNTIFS('Interacciones'!$D$2:$D$139,$A12,'Interacciones'!$E$2:$E$139,$B12)</f>
        <v>18</v>
      </c>
      <c r="D12" s="0">
        <f>COUNTIFS('Interacciones'!$D$2:$D$139,$A12,'Interacciones'!$E$2:$E$139,$B12,'Interacciones'!$F$2:$F$139,"Success")</f>
        <v>8</v>
      </c>
      <c r="E12" s="0">
        <f>COUNTIFS('Interacciones'!$D$2:$D$139,$A12,'Interacciones'!$E$2:$E$139,$B12,'Interacciones'!$F$2:$F$139,"Failed")</f>
        <v>10</v>
      </c>
      <c r="F12" s="0">
        <f>COUNTIFS('Interacciones'!$D$2:$D$139,$A12,'Interacciones'!$E$2:$E$139,$B12,'Interacciones'!$F$2:$F$139,"Missed")</f>
        <v>0</v>
      </c>
      <c r="G12" s="3">
        <f>IFERROR(D12/C12,0)</f>
        <v>0.4444444444444444</v>
      </c>
      <c r="H12" s="4">
        <f>IFERROR(AVERAGEIFS('Interacciones'!$K$2:$K$139,'Interacciones'!$D$2:$D$139,$A12,'Interacciones'!$E$2:$E$139,$B12),"")</f>
        <v>0.6670611111111111</v>
      </c>
      <c r="I12" s="4" t="str">
        <f>IFERROR(AVERAGEIFS('Interacciones'!$L$2:$L$139,'Interacciones'!$D$2:$D$139,$A12,'Interacciones'!$E$2:$E$139,$B12),"")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COUNTIFS('Interacciones'!$D$2:$D$139,$A13,'Interacciones'!$E$2:$E$139,$B13)</f>
        <v>14</v>
      </c>
      <c r="D13" s="6">
        <f>COUNTIFS('Interacciones'!$D$2:$D$139,$A13,'Interacciones'!$E$2:$E$139,$B13,'Interacciones'!$F$2:$F$139,"Success")</f>
        <v>6</v>
      </c>
      <c r="E13" s="6">
        <f>COUNTIFS('Interacciones'!$D$2:$D$139,$A13,'Interacciones'!$E$2:$E$139,$B13,'Interacciones'!$F$2:$F$139,"Failed")</f>
        <v>8</v>
      </c>
      <c r="F13" s="6">
        <f>COUNTIFS('Interacciones'!$D$2:$D$139,$A13,'Interacciones'!$E$2:$E$139,$B13,'Interacciones'!$F$2:$F$139,"Missed")</f>
        <v>0</v>
      </c>
      <c r="G13" s="3">
        <f>IFERROR(D13/C13,0)</f>
        <v>0.42857142857142855</v>
      </c>
      <c r="H13" s="4">
        <f>IFERROR(AVERAGEIFS('Interacciones'!$K$2:$K$139,'Interacciones'!$D$2:$D$139,$A13,'Interacciones'!$E$2:$E$139,$B13),"")</f>
        <v>0.5624692307692307</v>
      </c>
      <c r="I13" s="4">
        <f>IFERROR(AVERAGEIFS('Interacciones'!$L$2:$L$139,'Interacciones'!$D$2:$D$139,$A13,'Interacciones'!$E$2:$E$139,$B13),"")</f>
        <v>0.6125615384615385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39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P017</t>
        </is>
      </c>
      <c r="C2" s="0" t="inlineStr">
        <is>
          <t>2026-10-02 14:45:59.790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Missed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3</v>
      </c>
      <c r="B3" s="6" t="inlineStr">
        <is>
          <t>P017</t>
        </is>
      </c>
      <c r="C3" s="6" t="inlineStr">
        <is>
          <t>2026-10-02 14:46:00.223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8</v>
      </c>
    </row>
    <row r="4" ht="17" customHeight="1">
      <c r="A4" s="0">
        <v>5</v>
      </c>
      <c r="B4" s="0" t="inlineStr">
        <is>
          <t>P017</t>
        </is>
      </c>
      <c r="C4" s="0" t="inlineStr">
        <is>
          <t>2026-10-02 14:46:00.250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I4" s="4">
        <v>1.6935</v>
      </c>
      <c r="J4" s="4">
        <v>0.0295</v>
      </c>
      <c r="K4" s="4">
        <v>0.0295</v>
      </c>
      <c r="P4" s="0">
        <v>10</v>
      </c>
    </row>
    <row r="5" ht="17" customHeight="1">
      <c r="A5" s="6">
        <v>6</v>
      </c>
      <c r="B5" s="6" t="inlineStr">
        <is>
          <t>P017</t>
        </is>
      </c>
      <c r="C5" s="6" t="inlineStr">
        <is>
          <t>2026-10-02 14:46:01.041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P017</t>
        </is>
      </c>
      <c r="C6" s="0" t="inlineStr">
        <is>
          <t>2026-10-02 14:46:01.304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P017</t>
        </is>
      </c>
      <c r="C7" s="6" t="inlineStr">
        <is>
          <t>2026-10-02 14:46:01.791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P017</t>
        </is>
      </c>
      <c r="C8" s="0" t="inlineStr">
        <is>
          <t>2026-10-02 14:46:02.082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P017</t>
        </is>
      </c>
      <c r="C9" s="6" t="inlineStr">
        <is>
          <t>2026-10-02 14:46:02.528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3.971</v>
      </c>
      <c r="J9" s="4">
        <v>0.003</v>
      </c>
      <c r="K9" s="4">
        <v>0.003</v>
      </c>
      <c r="P9" s="6">
        <v>15</v>
      </c>
    </row>
    <row r="10" ht="17" customHeight="1">
      <c r="A10" s="0">
        <v>11</v>
      </c>
      <c r="B10" s="0" t="inlineStr">
        <is>
          <t>P017</t>
        </is>
      </c>
      <c r="C10" s="0" t="inlineStr">
        <is>
          <t>2026-10-02 14:46:03.291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Failed</t>
        </is>
      </c>
      <c r="G10" s="0" t="inlineStr">
        <is>
          <t>Normal</t>
        </is>
      </c>
      <c r="H10" s="4">
        <v>4.736</v>
      </c>
      <c r="I10" s="4">
        <v>4.7345</v>
      </c>
      <c r="J10" s="4">
        <v>-0.0015</v>
      </c>
      <c r="K10" s="4">
        <v>0.0015</v>
      </c>
      <c r="P10" s="0">
        <v>16</v>
      </c>
    </row>
    <row r="11" ht="17" customHeight="1">
      <c r="A11" s="6">
        <v>12</v>
      </c>
      <c r="B11" s="6" t="inlineStr">
        <is>
          <t>P017</t>
        </is>
      </c>
      <c r="C11" s="6" t="inlineStr">
        <is>
          <t>2026-10-02 14:46:03.291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4.736</v>
      </c>
      <c r="I11" s="4">
        <v>4.7345</v>
      </c>
      <c r="J11" s="4">
        <v>-0.0015</v>
      </c>
      <c r="K11" s="4">
        <v>0.0015</v>
      </c>
      <c r="P11" s="6">
        <v>17</v>
      </c>
    </row>
    <row r="12" ht="17" customHeight="1">
      <c r="A12" s="0">
        <v>13</v>
      </c>
      <c r="B12" s="0" t="inlineStr">
        <is>
          <t>P017</t>
        </is>
      </c>
      <c r="C12" s="0" t="inlineStr">
        <is>
          <t>2026-10-02 14:46:04.110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5.504</v>
      </c>
      <c r="I12" s="4">
        <v>5.5398</v>
      </c>
      <c r="J12" s="4">
        <v>0.0358</v>
      </c>
      <c r="K12" s="4">
        <v>0.0358</v>
      </c>
      <c r="P12" s="0">
        <v>18</v>
      </c>
    </row>
    <row r="13" ht="17" customHeight="1">
      <c r="A13" s="6">
        <v>14</v>
      </c>
      <c r="B13" s="6" t="inlineStr">
        <is>
          <t>P017</t>
        </is>
      </c>
      <c r="C13" s="6" t="inlineStr">
        <is>
          <t>2026-10-02 14:46:04.833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H13" s="4">
        <v>6.272</v>
      </c>
      <c r="I13" s="4">
        <v>6.2759</v>
      </c>
      <c r="J13" s="4">
        <v>0.0039</v>
      </c>
      <c r="K13" s="4">
        <v>0.0039</v>
      </c>
      <c r="P13" s="6">
        <v>19</v>
      </c>
    </row>
    <row r="14" ht="17" customHeight="1">
      <c r="A14" s="0">
        <v>15</v>
      </c>
      <c r="B14" s="0" t="inlineStr">
        <is>
          <t>P017</t>
        </is>
      </c>
      <c r="C14" s="0" t="inlineStr">
        <is>
          <t>2026-10-02 14:46:04.847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Normal</t>
        </is>
      </c>
      <c r="H14" s="4">
        <v>6.272</v>
      </c>
      <c r="P14" s="0">
        <v>20</v>
      </c>
    </row>
    <row r="15" ht="17" customHeight="1">
      <c r="A15" s="6">
        <v>16</v>
      </c>
      <c r="B15" s="6" t="inlineStr">
        <is>
          <t>P017</t>
        </is>
      </c>
      <c r="C15" s="6" t="inlineStr">
        <is>
          <t>2026-10-02 14:46:05.624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H15" s="4">
        <v>7.04</v>
      </c>
      <c r="I15" s="4">
        <v>7.0537</v>
      </c>
      <c r="J15" s="4">
        <v>0.0137</v>
      </c>
      <c r="K15" s="4">
        <v>0.0137</v>
      </c>
      <c r="P15" s="6">
        <v>21</v>
      </c>
    </row>
    <row r="16" ht="17" customHeight="1">
      <c r="A16" s="0">
        <v>17</v>
      </c>
      <c r="B16" s="0" t="inlineStr">
        <is>
          <t>P017</t>
        </is>
      </c>
      <c r="C16" s="0" t="inlineStr">
        <is>
          <t>2026-10-02 14:46:06.360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Normal</t>
        </is>
      </c>
      <c r="H16" s="4">
        <v>7.808</v>
      </c>
      <c r="I16" s="4">
        <v>7.8038</v>
      </c>
      <c r="J16" s="4">
        <v>-0.0042</v>
      </c>
      <c r="K16" s="4">
        <v>0.0042</v>
      </c>
      <c r="P16" s="0">
        <v>22</v>
      </c>
    </row>
    <row r="17" ht="17" customHeight="1">
      <c r="A17" s="6">
        <v>18</v>
      </c>
      <c r="B17" s="6" t="inlineStr">
        <is>
          <t>P017</t>
        </is>
      </c>
      <c r="C17" s="6" t="inlineStr">
        <is>
          <t>2026-10-02 14:46:06.361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Normal</t>
        </is>
      </c>
      <c r="H17" s="4">
        <v>7.808</v>
      </c>
      <c r="I17" s="4">
        <v>7.8038</v>
      </c>
      <c r="J17" s="4">
        <v>-0.0042</v>
      </c>
      <c r="K17" s="4">
        <v>0.0042</v>
      </c>
      <c r="P17" s="6">
        <v>23</v>
      </c>
    </row>
    <row r="18" ht="17" customHeight="1">
      <c r="A18" s="0">
        <v>19</v>
      </c>
      <c r="B18" s="0" t="inlineStr">
        <is>
          <t>P017</t>
        </is>
      </c>
      <c r="C18" s="0" t="inlineStr">
        <is>
          <t>2026-10-02 14:46:07.166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Normal</t>
        </is>
      </c>
      <c r="H18" s="4">
        <v>8.576</v>
      </c>
      <c r="I18" s="4">
        <v>8.6095</v>
      </c>
      <c r="J18" s="4">
        <v>0.0335</v>
      </c>
      <c r="K18" s="4">
        <v>0.0335</v>
      </c>
      <c r="P18" s="0">
        <v>24</v>
      </c>
    </row>
    <row r="19" ht="17" customHeight="1">
      <c r="A19" s="6">
        <v>20</v>
      </c>
      <c r="B19" s="6" t="inlineStr">
        <is>
          <t>P017</t>
        </is>
      </c>
      <c r="C19" s="6" t="inlineStr">
        <is>
          <t>2026-10-02 14:46:07.221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Normal</t>
        </is>
      </c>
      <c r="H19" s="4">
        <v>8.576</v>
      </c>
      <c r="P19" s="6">
        <v>25</v>
      </c>
    </row>
    <row r="20" ht="17" customHeight="1">
      <c r="A20" s="0">
        <v>21</v>
      </c>
      <c r="B20" s="0" t="inlineStr">
        <is>
          <t>P017</t>
        </is>
      </c>
      <c r="C20" s="0" t="inlineStr">
        <is>
          <t>2026-10-02 14:46:07.930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9.344</v>
      </c>
      <c r="I20" s="4">
        <v>9.3732</v>
      </c>
      <c r="J20" s="4">
        <v>0.0292</v>
      </c>
      <c r="K20" s="4">
        <v>0.0292</v>
      </c>
      <c r="P20" s="0">
        <v>26</v>
      </c>
    </row>
    <row r="21" ht="17" customHeight="1">
      <c r="A21" s="6">
        <v>22</v>
      </c>
      <c r="B21" s="6" t="inlineStr">
        <is>
          <t>P017</t>
        </is>
      </c>
      <c r="C21" s="6" t="inlineStr">
        <is>
          <t>2026-10-02 14:46:07.942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H21" s="4">
        <v>9.344</v>
      </c>
      <c r="I21" s="4">
        <v>9.3732</v>
      </c>
      <c r="J21" s="4">
        <v>0.0292</v>
      </c>
      <c r="K21" s="4">
        <v>0.0292</v>
      </c>
      <c r="P21" s="6">
        <v>27</v>
      </c>
    </row>
    <row r="22" ht="17" customHeight="1">
      <c r="A22" s="0">
        <v>23</v>
      </c>
      <c r="B22" s="0" t="inlineStr">
        <is>
          <t>P017</t>
        </is>
      </c>
      <c r="C22" s="0" t="inlineStr">
        <is>
          <t>2026-10-02 14:46:08.666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Normal</t>
        </is>
      </c>
      <c r="H22" s="4">
        <v>10.112</v>
      </c>
      <c r="I22" s="4">
        <v>10.1094</v>
      </c>
      <c r="J22" s="4">
        <v>-0.0026</v>
      </c>
      <c r="K22" s="4">
        <v>0.0026</v>
      </c>
      <c r="P22" s="0">
        <v>28</v>
      </c>
    </row>
    <row r="23" ht="17" customHeight="1">
      <c r="A23" s="6">
        <v>24</v>
      </c>
      <c r="B23" s="6" t="inlineStr">
        <is>
          <t>P017</t>
        </is>
      </c>
      <c r="C23" s="6" t="inlineStr">
        <is>
          <t>2026-10-02 14:46:08.707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H23" s="4">
        <v>10.112</v>
      </c>
      <c r="P23" s="6">
        <v>29</v>
      </c>
    </row>
    <row r="24" ht="17" customHeight="1">
      <c r="A24" s="0">
        <v>25</v>
      </c>
      <c r="B24" s="0" t="inlineStr">
        <is>
          <t>P017</t>
        </is>
      </c>
      <c r="C24" s="0" t="inlineStr">
        <is>
          <t>2026-10-02 14:46:09.429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Normal</t>
        </is>
      </c>
      <c r="H24" s="4">
        <v>10.88</v>
      </c>
      <c r="I24" s="4">
        <v>10.8732</v>
      </c>
      <c r="J24" s="4">
        <v>-0.0068</v>
      </c>
      <c r="K24" s="4">
        <v>0.0068</v>
      </c>
      <c r="P24" s="0">
        <v>30</v>
      </c>
    </row>
    <row r="25" ht="17" customHeight="1">
      <c r="A25" s="6">
        <v>26</v>
      </c>
      <c r="B25" s="6" t="inlineStr">
        <is>
          <t>P017</t>
        </is>
      </c>
      <c r="C25" s="6" t="inlineStr">
        <is>
          <t>2026-10-02 14:46:09.471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Failed</t>
        </is>
      </c>
      <c r="G25" s="6" t="inlineStr">
        <is>
          <t>Normal</t>
        </is>
      </c>
      <c r="H25" s="4">
        <v>10.88</v>
      </c>
      <c r="P25" s="6">
        <v>31</v>
      </c>
    </row>
    <row r="26" ht="17" customHeight="1">
      <c r="A26" s="0">
        <v>27</v>
      </c>
      <c r="B26" s="0" t="inlineStr">
        <is>
          <t>P017</t>
        </is>
      </c>
      <c r="C26" s="0" t="inlineStr">
        <is>
          <t>2026-10-02 14:46:10.208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Normal</t>
        </is>
      </c>
      <c r="H26" s="4">
        <v>11.648</v>
      </c>
      <c r="I26" s="4">
        <v>11.6512</v>
      </c>
      <c r="J26" s="4">
        <v>0.0032</v>
      </c>
      <c r="K26" s="4">
        <v>0.0032</v>
      </c>
      <c r="P26" s="0">
        <v>32</v>
      </c>
    </row>
    <row r="27" ht="17" customHeight="1">
      <c r="A27" s="6">
        <v>28</v>
      </c>
      <c r="B27" s="6" t="inlineStr">
        <is>
          <t>P017</t>
        </is>
      </c>
      <c r="C27" s="6" t="inlineStr">
        <is>
          <t>2026-10-02 14:46:10.263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Normal</t>
        </is>
      </c>
      <c r="H27" s="4">
        <v>11.648</v>
      </c>
      <c r="P27" s="6">
        <v>33</v>
      </c>
    </row>
    <row r="28" ht="17" customHeight="1">
      <c r="A28" s="0">
        <v>29</v>
      </c>
      <c r="B28" s="0" t="inlineStr">
        <is>
          <t>P017</t>
        </is>
      </c>
      <c r="C28" s="0" t="inlineStr">
        <is>
          <t>2026-10-02 14:46:10.986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Normal</t>
        </is>
      </c>
      <c r="H28" s="4">
        <v>12.416</v>
      </c>
      <c r="I28" s="4">
        <v>12.4291</v>
      </c>
      <c r="J28" s="4">
        <v>0.0131</v>
      </c>
      <c r="K28" s="4">
        <v>0.0131</v>
      </c>
      <c r="P28" s="0">
        <v>34</v>
      </c>
    </row>
    <row r="29" ht="17" customHeight="1">
      <c r="A29" s="6">
        <v>30</v>
      </c>
      <c r="B29" s="6" t="inlineStr">
        <is>
          <t>P017</t>
        </is>
      </c>
      <c r="C29" s="6" t="inlineStr">
        <is>
          <t>2026-10-02 14:46:11.291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Normal</t>
        </is>
      </c>
      <c r="H29" s="4">
        <v>12.416</v>
      </c>
      <c r="P29" s="6">
        <v>35</v>
      </c>
    </row>
    <row r="30" ht="17" customHeight="1">
      <c r="A30" s="0">
        <v>34</v>
      </c>
      <c r="B30" s="0" t="inlineStr">
        <is>
          <t>P017</t>
        </is>
      </c>
      <c r="C30" s="0" t="inlineStr">
        <is>
          <t>2026-10-02 14:46:11.722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13.184</v>
      </c>
      <c r="I30" s="4">
        <v>13.1513</v>
      </c>
      <c r="J30" s="4">
        <v>-0.0327</v>
      </c>
      <c r="K30" s="4">
        <v>0.0327</v>
      </c>
      <c r="P30" s="0">
        <v>39</v>
      </c>
    </row>
    <row r="31" ht="17" customHeight="1">
      <c r="A31" s="6">
        <v>35</v>
      </c>
      <c r="B31" s="6" t="inlineStr">
        <is>
          <t>P017</t>
        </is>
      </c>
      <c r="C31" s="6" t="inlineStr">
        <is>
          <t>2026-10-02 14:46:11.736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H31" s="4">
        <v>13.184</v>
      </c>
      <c r="P31" s="6">
        <v>40</v>
      </c>
    </row>
    <row r="32" ht="17" customHeight="1">
      <c r="A32" s="0">
        <v>36</v>
      </c>
      <c r="B32" s="0" t="inlineStr">
        <is>
          <t>P017</t>
        </is>
      </c>
      <c r="C32" s="0" t="inlineStr">
        <is>
          <t>2026-10-02 14:46:13.263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H32" s="4">
        <v>14.72</v>
      </c>
      <c r="I32" s="4">
        <v>14.7068</v>
      </c>
      <c r="J32" s="4">
        <v>-0.0132</v>
      </c>
      <c r="K32" s="4">
        <v>0.0132</v>
      </c>
      <c r="P32" s="0">
        <v>41</v>
      </c>
    </row>
    <row r="33" ht="17" customHeight="1">
      <c r="A33" s="6">
        <v>37</v>
      </c>
      <c r="B33" s="6" t="inlineStr">
        <is>
          <t>P017</t>
        </is>
      </c>
      <c r="C33" s="6" t="inlineStr">
        <is>
          <t>2026-10-02 14:46:13.291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H33" s="4">
        <v>14.72</v>
      </c>
      <c r="I33" s="4">
        <v>14.7347</v>
      </c>
      <c r="J33" s="4">
        <v>0.0147</v>
      </c>
      <c r="K33" s="4">
        <v>0.0147</v>
      </c>
      <c r="P33" s="6">
        <v>42</v>
      </c>
    </row>
    <row r="34" ht="17" customHeight="1">
      <c r="A34" s="0">
        <v>38</v>
      </c>
      <c r="B34" s="0" t="inlineStr">
        <is>
          <t>P017</t>
        </is>
      </c>
      <c r="C34" s="0" t="inlineStr">
        <is>
          <t>2026-10-02 14:46:14.806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16.256</v>
      </c>
      <c r="I34" s="4">
        <v>16.2487</v>
      </c>
      <c r="J34" s="4">
        <v>-0.0073</v>
      </c>
      <c r="K34" s="4">
        <v>0.0073</v>
      </c>
      <c r="P34" s="0">
        <v>43</v>
      </c>
    </row>
    <row r="35" ht="17" customHeight="1">
      <c r="A35" s="6">
        <v>39</v>
      </c>
      <c r="B35" s="6" t="inlineStr">
        <is>
          <t>P017</t>
        </is>
      </c>
      <c r="C35" s="6" t="inlineStr">
        <is>
          <t>2026-10-02 14:46:16.347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H35" s="4">
        <v>17.792</v>
      </c>
      <c r="I35" s="4">
        <v>17.7908</v>
      </c>
      <c r="J35" s="4">
        <v>-0.0012</v>
      </c>
      <c r="K35" s="4">
        <v>0.0012</v>
      </c>
      <c r="P35" s="6">
        <v>44</v>
      </c>
    </row>
    <row r="36" ht="17" customHeight="1">
      <c r="A36" s="0">
        <v>40</v>
      </c>
      <c r="B36" s="0" t="inlineStr">
        <is>
          <t>P017</t>
        </is>
      </c>
      <c r="C36" s="0" t="inlineStr">
        <is>
          <t>2026-10-02 14:46:16.348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17.792</v>
      </c>
      <c r="I36" s="4">
        <v>17.7908</v>
      </c>
      <c r="J36" s="4">
        <v>-0.0012</v>
      </c>
      <c r="K36" s="4">
        <v>0.0012</v>
      </c>
      <c r="P36" s="0">
        <v>45</v>
      </c>
    </row>
    <row r="37" ht="17" customHeight="1">
      <c r="A37" s="6">
        <v>41</v>
      </c>
      <c r="B37" s="6" t="inlineStr">
        <is>
          <t>P017</t>
        </is>
      </c>
      <c r="C37" s="6" t="inlineStr">
        <is>
          <t>2026-10-02 14:46:17.889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H37" s="4">
        <v>19.328</v>
      </c>
      <c r="I37" s="4">
        <v>19.333</v>
      </c>
      <c r="J37" s="4">
        <v>0.005</v>
      </c>
      <c r="K37" s="4">
        <v>0.005</v>
      </c>
      <c r="P37" s="6">
        <v>46</v>
      </c>
    </row>
    <row r="38" ht="17" customHeight="1">
      <c r="A38" s="0">
        <v>42</v>
      </c>
      <c r="B38" s="0" t="inlineStr">
        <is>
          <t>P017</t>
        </is>
      </c>
      <c r="C38" s="0" t="inlineStr">
        <is>
          <t>2026-10-02 14:46:19.431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H38" s="4">
        <v>20.864</v>
      </c>
      <c r="I38" s="4">
        <v>20.8749</v>
      </c>
      <c r="J38" s="4">
        <v>0.0109</v>
      </c>
      <c r="K38" s="4">
        <v>0.0109</v>
      </c>
      <c r="P38" s="0">
        <v>47</v>
      </c>
    </row>
    <row r="39" ht="17" customHeight="1">
      <c r="A39" s="6">
        <v>43</v>
      </c>
      <c r="B39" s="6" t="inlineStr">
        <is>
          <t>P017</t>
        </is>
      </c>
      <c r="C39" s="6" t="inlineStr">
        <is>
          <t>2026-10-02 14:46:19.432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H39" s="4">
        <v>20.864</v>
      </c>
      <c r="I39" s="4">
        <v>20.8749</v>
      </c>
      <c r="J39" s="4">
        <v>0.0109</v>
      </c>
      <c r="K39" s="4">
        <v>0.0109</v>
      </c>
      <c r="P39" s="6">
        <v>48</v>
      </c>
    </row>
    <row r="40" ht="17" customHeight="1">
      <c r="A40" s="0">
        <v>44</v>
      </c>
      <c r="B40" s="0" t="inlineStr">
        <is>
          <t>P017</t>
        </is>
      </c>
      <c r="C40" s="0" t="inlineStr">
        <is>
          <t>2026-10-02 14:46:20.931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H40" s="4">
        <v>22.4</v>
      </c>
      <c r="I40" s="4">
        <v>22.3754</v>
      </c>
      <c r="J40" s="4">
        <v>-0.0246</v>
      </c>
      <c r="K40" s="4">
        <v>0.0246</v>
      </c>
      <c r="P40" s="0">
        <v>49</v>
      </c>
    </row>
    <row r="41" ht="17" customHeight="1">
      <c r="A41" s="6">
        <v>45</v>
      </c>
      <c r="B41" s="6" t="inlineStr">
        <is>
          <t>P017</t>
        </is>
      </c>
      <c r="C41" s="6" t="inlineStr">
        <is>
          <t>2026-10-02 14:46:22.474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H41" s="4">
        <v>23.936</v>
      </c>
      <c r="I41" s="4">
        <v>23.9175</v>
      </c>
      <c r="J41" s="4">
        <v>-0.0185</v>
      </c>
      <c r="K41" s="4">
        <v>0.0185</v>
      </c>
      <c r="P41" s="6">
        <v>50</v>
      </c>
    </row>
    <row r="42" ht="17" customHeight="1">
      <c r="A42" s="0">
        <v>46</v>
      </c>
      <c r="B42" s="0" t="inlineStr">
        <is>
          <t>P017</t>
        </is>
      </c>
      <c r="C42" s="0" t="inlineStr">
        <is>
          <t>2026-10-02 14:46:22.489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Easy</t>
        </is>
      </c>
      <c r="H42" s="4">
        <v>23.936</v>
      </c>
      <c r="I42" s="4">
        <v>23.9319</v>
      </c>
      <c r="J42" s="4">
        <v>-0.0041</v>
      </c>
      <c r="K42" s="4">
        <v>0.0041</v>
      </c>
      <c r="P42" s="0">
        <v>51</v>
      </c>
    </row>
    <row r="43" ht="17" customHeight="1">
      <c r="A43" s="6">
        <v>47</v>
      </c>
      <c r="B43" s="6" t="inlineStr">
        <is>
          <t>P017</t>
        </is>
      </c>
      <c r="C43" s="6" t="inlineStr">
        <is>
          <t>2026-10-02 14:46:24.029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Easy</t>
        </is>
      </c>
      <c r="H43" s="4">
        <v>25.472</v>
      </c>
      <c r="P43" s="6">
        <v>52</v>
      </c>
    </row>
    <row r="44" ht="17" customHeight="1">
      <c r="A44" s="0">
        <v>48</v>
      </c>
      <c r="B44" s="0" t="inlineStr">
        <is>
          <t>P017</t>
        </is>
      </c>
      <c r="C44" s="0" t="inlineStr">
        <is>
          <t>2026-10-02 14:46:25.569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Easy</t>
        </is>
      </c>
      <c r="H44" s="4">
        <v>27.008</v>
      </c>
      <c r="I44" s="4">
        <v>27.0135</v>
      </c>
      <c r="J44" s="4">
        <v>0.0055</v>
      </c>
      <c r="K44" s="4">
        <v>0.0055</v>
      </c>
      <c r="P44" s="0">
        <v>53</v>
      </c>
    </row>
    <row r="45" ht="17" customHeight="1">
      <c r="A45" s="6">
        <v>49</v>
      </c>
      <c r="B45" s="6" t="inlineStr">
        <is>
          <t>P017</t>
        </is>
      </c>
      <c r="C45" s="6" t="inlineStr">
        <is>
          <t>2026-10-02 14:46:25.569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H45" s="4">
        <v>27.008</v>
      </c>
      <c r="I45" s="4">
        <v>27.0135</v>
      </c>
      <c r="J45" s="4">
        <v>0.0055</v>
      </c>
      <c r="K45" s="4">
        <v>0.0055</v>
      </c>
      <c r="P45" s="6">
        <v>54</v>
      </c>
    </row>
    <row r="46" ht="17" customHeight="1">
      <c r="A46" s="0">
        <v>50</v>
      </c>
      <c r="B46" s="0" t="inlineStr">
        <is>
          <t>P017</t>
        </is>
      </c>
      <c r="C46" s="0" t="inlineStr">
        <is>
          <t>2026-10-02 14:46:27.112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H46" s="4">
        <v>28.544</v>
      </c>
      <c r="I46" s="4">
        <v>28.5553</v>
      </c>
      <c r="J46" s="4">
        <v>0.0113</v>
      </c>
      <c r="K46" s="4">
        <v>0.0113</v>
      </c>
      <c r="P46" s="0">
        <v>55</v>
      </c>
    </row>
    <row r="47" ht="17" customHeight="1">
      <c r="A47" s="6">
        <v>51</v>
      </c>
      <c r="B47" s="6" t="inlineStr">
        <is>
          <t>P017</t>
        </is>
      </c>
      <c r="C47" s="6" t="inlineStr">
        <is>
          <t>2026-10-02 14:46:28.627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Easy</t>
        </is>
      </c>
      <c r="H47" s="4">
        <v>30.08</v>
      </c>
      <c r="P47" s="6">
        <v>56</v>
      </c>
    </row>
    <row r="48" ht="17" customHeight="1">
      <c r="A48" s="0">
        <v>52</v>
      </c>
      <c r="B48" s="0" t="inlineStr">
        <is>
          <t>P017</t>
        </is>
      </c>
      <c r="C48" s="0" t="inlineStr">
        <is>
          <t>2026-10-02 14:46:28.628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Easy</t>
        </is>
      </c>
      <c r="H48" s="4">
        <v>30.08</v>
      </c>
      <c r="I48" s="4">
        <v>30.0703</v>
      </c>
      <c r="J48" s="4">
        <v>-0.0097</v>
      </c>
      <c r="K48" s="4">
        <v>0.0097</v>
      </c>
      <c r="P48" s="0">
        <v>57</v>
      </c>
    </row>
    <row r="49" ht="17" customHeight="1">
      <c r="A49" s="6">
        <v>53</v>
      </c>
      <c r="B49" s="6" t="inlineStr">
        <is>
          <t>P017</t>
        </is>
      </c>
      <c r="C49" s="6" t="inlineStr">
        <is>
          <t>2026-10-02 14:46:32.526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H49" s="4">
        <v>33.92</v>
      </c>
      <c r="I49" s="4">
        <v>33.956</v>
      </c>
      <c r="J49" s="4">
        <v>0.036</v>
      </c>
      <c r="K49" s="4">
        <v>0.036</v>
      </c>
      <c r="P49" s="6">
        <v>58</v>
      </c>
    </row>
    <row r="50" ht="17" customHeight="1">
      <c r="A50" s="0">
        <v>54</v>
      </c>
      <c r="B50" s="0" t="inlineStr">
        <is>
          <t>P017</t>
        </is>
      </c>
      <c r="C50" s="0" t="inlineStr">
        <is>
          <t>2026-10-02 14:46:34.610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H50" s="4">
        <v>36.224</v>
      </c>
      <c r="I50" s="4">
        <v>36.0397</v>
      </c>
      <c r="J50" s="4">
        <v>-0.1843</v>
      </c>
      <c r="K50" s="4">
        <v>0.1843</v>
      </c>
      <c r="P50" s="0">
        <v>59</v>
      </c>
    </row>
    <row r="51" ht="17" customHeight="1">
      <c r="A51" s="6">
        <v>55</v>
      </c>
      <c r="B51" s="6" t="inlineStr">
        <is>
          <t>P017</t>
        </is>
      </c>
      <c r="C51" s="6" t="inlineStr">
        <is>
          <t>2026-10-02 14:46:36.986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H51" s="4">
        <v>38.528</v>
      </c>
      <c r="I51" s="4">
        <v>38.4155</v>
      </c>
      <c r="J51" s="4">
        <v>-0.1125</v>
      </c>
      <c r="K51" s="4">
        <v>0.1125</v>
      </c>
      <c r="P51" s="6">
        <v>60</v>
      </c>
    </row>
    <row r="52" ht="17" customHeight="1">
      <c r="A52" s="0">
        <v>56</v>
      </c>
      <c r="B52" s="0" t="inlineStr">
        <is>
          <t>P017</t>
        </is>
      </c>
      <c r="C52" s="0" t="inlineStr">
        <is>
          <t>2026-10-02 14:46:39.388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H52" s="4">
        <v>40.832</v>
      </c>
      <c r="I52" s="4">
        <v>40.8182</v>
      </c>
      <c r="J52" s="4">
        <v>-0.0138</v>
      </c>
      <c r="K52" s="4">
        <v>0.0138</v>
      </c>
      <c r="P52" s="0">
        <v>61</v>
      </c>
    </row>
    <row r="53" ht="17" customHeight="1">
      <c r="A53" s="6">
        <v>57</v>
      </c>
      <c r="B53" s="6" t="inlineStr">
        <is>
          <t>P017</t>
        </is>
      </c>
      <c r="C53" s="6" t="inlineStr">
        <is>
          <t>2026-10-02 14:46:41.652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H53" s="4">
        <v>43.136</v>
      </c>
      <c r="I53" s="4">
        <v>43.0816</v>
      </c>
      <c r="J53" s="4">
        <v>-0.0544</v>
      </c>
      <c r="K53" s="4">
        <v>0.0544</v>
      </c>
      <c r="P53" s="6">
        <v>62</v>
      </c>
    </row>
    <row r="54" ht="17" customHeight="1">
      <c r="A54" s="0">
        <v>58</v>
      </c>
      <c r="B54" s="0" t="inlineStr">
        <is>
          <t>P017</t>
        </is>
      </c>
      <c r="C54" s="0" t="inlineStr">
        <is>
          <t>2026-10-02 14:46:42.204</t>
        </is>
      </c>
      <c r="D54" s="0" t="inlineStr">
        <is>
          <t>Joaquin</t>
        </is>
      </c>
      <c r="E54" s="0" t="inlineStr">
        <is>
          <t>PlayerHit</t>
        </is>
      </c>
      <c r="F54" s="0" t="inlineStr">
        <is>
          <t>Failed</t>
        </is>
      </c>
      <c r="G54" s="0" t="inlineStr">
        <is>
          <t>Easy</t>
        </is>
      </c>
      <c r="H54" s="4">
        <v>43.6345</v>
      </c>
      <c r="P54" s="0">
        <v>63</v>
      </c>
    </row>
    <row r="55" ht="17" customHeight="1">
      <c r="A55" s="6">
        <v>59</v>
      </c>
      <c r="B55" s="6" t="inlineStr">
        <is>
          <t>P017</t>
        </is>
      </c>
      <c r="C55" s="6" t="inlineStr">
        <is>
          <t>2026-10-02 14:46:45.109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Easy</t>
        </is>
      </c>
      <c r="H55" s="4">
        <v>46.592</v>
      </c>
      <c r="I55" s="4">
        <v>46.5388</v>
      </c>
      <c r="J55" s="4">
        <v>-0.0532</v>
      </c>
      <c r="K55" s="4">
        <v>0.0532</v>
      </c>
      <c r="P55" s="6">
        <v>64</v>
      </c>
    </row>
    <row r="56" ht="17" customHeight="1">
      <c r="A56" s="0">
        <v>60</v>
      </c>
      <c r="B56" s="0" t="inlineStr">
        <is>
          <t>P017</t>
        </is>
      </c>
      <c r="C56" s="0" t="inlineStr">
        <is>
          <t>2026-10-02 14:46:47.387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Easy</t>
        </is>
      </c>
      <c r="H56" s="4">
        <v>48.896</v>
      </c>
      <c r="I56" s="4">
        <v>48.8174</v>
      </c>
      <c r="J56" s="4">
        <v>-0.0786</v>
      </c>
      <c r="K56" s="4">
        <v>0.0786</v>
      </c>
      <c r="P56" s="0">
        <v>65</v>
      </c>
    </row>
    <row r="57" ht="17" customHeight="1">
      <c r="A57" s="6">
        <v>62</v>
      </c>
      <c r="B57" s="6" t="inlineStr">
        <is>
          <t>P017</t>
        </is>
      </c>
      <c r="C57" s="6" t="inlineStr">
        <is>
          <t>2026-10-02 14:46:48.108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H57" s="4">
        <v>49.664</v>
      </c>
      <c r="I57" s="4">
        <v>49.5394</v>
      </c>
      <c r="J57" s="4">
        <v>-0.1246</v>
      </c>
      <c r="K57" s="4">
        <v>0.1246</v>
      </c>
      <c r="P57" s="6">
        <v>67</v>
      </c>
    </row>
    <row r="58" ht="17" customHeight="1">
      <c r="A58" s="0">
        <v>63</v>
      </c>
      <c r="B58" s="0" t="inlineStr">
        <is>
          <t>P017</t>
        </is>
      </c>
      <c r="C58" s="0" t="inlineStr">
        <is>
          <t>2026-10-02 14:46:50.694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H58" s="4">
        <v>51.968</v>
      </c>
      <c r="I58" s="4">
        <v>52.1241</v>
      </c>
      <c r="J58" s="4">
        <v>0.1561</v>
      </c>
      <c r="K58" s="4">
        <v>0.1561</v>
      </c>
      <c r="P58" s="0">
        <v>68</v>
      </c>
    </row>
    <row r="59" ht="17" customHeight="1">
      <c r="A59" s="6">
        <v>64</v>
      </c>
      <c r="B59" s="6" t="inlineStr">
        <is>
          <t>P017</t>
        </is>
      </c>
      <c r="C59" s="6" t="inlineStr">
        <is>
          <t>2026-10-02 14:46:51.249</t>
        </is>
      </c>
      <c r="D59" s="6" t="inlineStr">
        <is>
          <t>Joaquin</t>
        </is>
      </c>
      <c r="E59" s="6" t="inlineStr">
        <is>
          <t>PlayerHit</t>
        </is>
      </c>
      <c r="F59" s="6" t="inlineStr">
        <is>
          <t>Failed</t>
        </is>
      </c>
      <c r="G59" s="6" t="inlineStr">
        <is>
          <t>Normal</t>
        </is>
      </c>
      <c r="H59" s="4">
        <v>52.6784</v>
      </c>
      <c r="P59" s="6">
        <v>69</v>
      </c>
    </row>
    <row r="60" ht="17" customHeight="1">
      <c r="A60" s="0">
        <v>65</v>
      </c>
      <c r="B60" s="0" t="inlineStr">
        <is>
          <t>P017</t>
        </is>
      </c>
      <c r="C60" s="0" t="inlineStr">
        <is>
          <t>2026-10-02 14:46:53.831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Normal</t>
        </is>
      </c>
      <c r="H60" s="4">
        <v>55.424</v>
      </c>
      <c r="I60" s="4">
        <v>55.2613</v>
      </c>
      <c r="J60" s="4">
        <v>-0.1627</v>
      </c>
      <c r="K60" s="4">
        <v>0.1627</v>
      </c>
      <c r="P60" s="0">
        <v>70</v>
      </c>
    </row>
    <row r="61" ht="17" customHeight="1">
      <c r="A61" s="6">
        <v>66</v>
      </c>
      <c r="B61" s="6" t="inlineStr">
        <is>
          <t>P017</t>
        </is>
      </c>
      <c r="C61" s="6" t="inlineStr">
        <is>
          <t>2026-10-02 14:46:54.525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Normal</t>
        </is>
      </c>
      <c r="H61" s="4">
        <v>55.9559</v>
      </c>
      <c r="P61" s="6">
        <v>71</v>
      </c>
    </row>
    <row r="62" ht="17" customHeight="1">
      <c r="A62" s="0">
        <v>67</v>
      </c>
      <c r="B62" s="0" t="inlineStr">
        <is>
          <t>P017</t>
        </is>
      </c>
      <c r="C62" s="0" t="inlineStr">
        <is>
          <t>2026-10-02 14:46:55.763</t>
        </is>
      </c>
      <c r="D62" s="0" t="inlineStr">
        <is>
          <t>Joaquin</t>
        </is>
      </c>
      <c r="E62" s="0" t="inlineStr">
        <is>
          <t>PlayerHit</t>
        </is>
      </c>
      <c r="F62" s="0" t="inlineStr">
        <is>
          <t>Failed</t>
        </is>
      </c>
      <c r="G62" s="0" t="inlineStr">
        <is>
          <t>Normal</t>
        </is>
      </c>
      <c r="H62" s="4">
        <v>57.1922</v>
      </c>
      <c r="P62" s="0">
        <v>72</v>
      </c>
    </row>
    <row r="63" ht="17" customHeight="1">
      <c r="A63" s="6">
        <v>68</v>
      </c>
      <c r="B63" s="6" t="inlineStr">
        <is>
          <t>P017</t>
        </is>
      </c>
      <c r="C63" s="6" t="inlineStr">
        <is>
          <t>2026-10-02 14:46:56.193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Normal</t>
        </is>
      </c>
      <c r="H63" s="4">
        <v>57.728</v>
      </c>
      <c r="I63" s="4">
        <v>57.6227</v>
      </c>
      <c r="J63" s="4">
        <v>-0.1053</v>
      </c>
      <c r="K63" s="4">
        <v>0.1053</v>
      </c>
      <c r="P63" s="6">
        <v>73</v>
      </c>
    </row>
    <row r="64" ht="17" customHeight="1">
      <c r="A64" s="0">
        <v>69</v>
      </c>
      <c r="B64" s="0" t="inlineStr">
        <is>
          <t>P017</t>
        </is>
      </c>
      <c r="C64" s="0" t="inlineStr">
        <is>
          <t>2026-10-02 14:46:58.721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Normal</t>
        </is>
      </c>
      <c r="H64" s="4">
        <v>60.032</v>
      </c>
      <c r="I64" s="4">
        <v>60.1501</v>
      </c>
      <c r="J64" s="4">
        <v>0.1181</v>
      </c>
      <c r="K64" s="4">
        <v>0.1181</v>
      </c>
      <c r="P64" s="0">
        <v>74</v>
      </c>
    </row>
    <row r="65" ht="17" customHeight="1">
      <c r="A65" s="6">
        <v>70</v>
      </c>
      <c r="B65" s="6" t="inlineStr">
        <is>
          <t>P017</t>
        </is>
      </c>
      <c r="C65" s="6" t="inlineStr">
        <is>
          <t>2026-10-02 14:46:59.081</t>
        </is>
      </c>
      <c r="D65" s="6" t="inlineStr">
        <is>
          <t>Joaquin</t>
        </is>
      </c>
      <c r="E65" s="6" t="inlineStr">
        <is>
          <t>PlayerHit</t>
        </is>
      </c>
      <c r="F65" s="6" t="inlineStr">
        <is>
          <t>Failed</t>
        </is>
      </c>
      <c r="G65" s="6" t="inlineStr">
        <is>
          <t>Normal</t>
        </is>
      </c>
      <c r="H65" s="4">
        <v>60.5111</v>
      </c>
      <c r="P65" s="6">
        <v>75</v>
      </c>
    </row>
    <row r="66" ht="17" customHeight="1">
      <c r="A66" s="0">
        <v>71</v>
      </c>
      <c r="B66" s="0" t="inlineStr">
        <is>
          <t>P017</t>
        </is>
      </c>
      <c r="C66" s="0" t="inlineStr">
        <is>
          <t>2026-10-02 14:47:00.303</t>
        </is>
      </c>
      <c r="D66" s="0" t="inlineStr">
        <is>
          <t>Joaquin</t>
        </is>
      </c>
      <c r="E66" s="0" t="inlineStr">
        <is>
          <t>PlayerHit</t>
        </is>
      </c>
      <c r="F66" s="0" t="inlineStr">
        <is>
          <t>Failed</t>
        </is>
      </c>
      <c r="G66" s="0" t="inlineStr">
        <is>
          <t>Normal</t>
        </is>
      </c>
      <c r="H66" s="4">
        <v>61.7325</v>
      </c>
      <c r="P66" s="0">
        <v>76</v>
      </c>
    </row>
    <row r="67" ht="17" customHeight="1">
      <c r="A67" s="6">
        <v>75</v>
      </c>
      <c r="B67" s="6" t="inlineStr">
        <is>
          <t>P017</t>
        </is>
      </c>
      <c r="C67" s="6" t="inlineStr">
        <is>
          <t>2026-10-02 14:47:00.663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Easy</t>
        </is>
      </c>
      <c r="H67" s="4">
        <v>61.952</v>
      </c>
      <c r="I67" s="4">
        <v>62.0939</v>
      </c>
      <c r="J67" s="4">
        <v>0.1419</v>
      </c>
      <c r="K67" s="4">
        <v>0.1419</v>
      </c>
      <c r="P67" s="6">
        <v>80</v>
      </c>
    </row>
    <row r="68" ht="17" customHeight="1">
      <c r="A68" s="0">
        <v>77</v>
      </c>
      <c r="B68" s="0" t="inlineStr">
        <is>
          <t>P017</t>
        </is>
      </c>
      <c r="C68" s="0" t="inlineStr">
        <is>
          <t>2026-10-02 14:47:05.734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Failed</t>
        </is>
      </c>
      <c r="G68" s="0" t="inlineStr">
        <is>
          <t>Easy</t>
        </is>
      </c>
      <c r="H68" s="4">
        <v>67.616</v>
      </c>
      <c r="I68" s="4">
        <v>67.1642</v>
      </c>
      <c r="J68" s="4">
        <v>-0.4518</v>
      </c>
      <c r="K68" s="4">
        <v>0.4518</v>
      </c>
      <c r="L68" s="4">
        <v>0.6042</v>
      </c>
      <c r="N68" s="4">
        <v>0.0</v>
      </c>
      <c r="P68" s="0">
        <v>82</v>
      </c>
    </row>
    <row r="69" ht="17" customHeight="1">
      <c r="A69" s="6">
        <v>79</v>
      </c>
      <c r="B69" s="6" t="inlineStr">
        <is>
          <t>P017</t>
        </is>
      </c>
      <c r="C69" s="6" t="inlineStr">
        <is>
          <t>2026-10-02 14:47:07.220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Success</t>
        </is>
      </c>
      <c r="G69" s="6" t="inlineStr">
        <is>
          <t>Easy</t>
        </is>
      </c>
      <c r="H69" s="4">
        <v>69.536</v>
      </c>
      <c r="I69" s="4">
        <v>68.6507</v>
      </c>
      <c r="J69" s="4">
        <v>-0.8853</v>
      </c>
      <c r="K69" s="4">
        <v>0.8853</v>
      </c>
      <c r="L69" s="4">
        <v>0.1707</v>
      </c>
      <c r="N69" s="4">
        <v>1.0</v>
      </c>
      <c r="P69" s="6">
        <v>84</v>
      </c>
    </row>
    <row r="70" ht="17" customHeight="1">
      <c r="A70" s="0">
        <v>80</v>
      </c>
      <c r="B70" s="0" t="inlineStr">
        <is>
          <t>P017</t>
        </is>
      </c>
      <c r="C70" s="0" t="inlineStr">
        <is>
          <t>2026-10-02 14:47:09.609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Easy</t>
        </is>
      </c>
      <c r="H70" s="4">
        <v>71.456</v>
      </c>
      <c r="I70" s="4">
        <v>71.0391</v>
      </c>
      <c r="J70" s="4">
        <v>-0.4169</v>
      </c>
      <c r="K70" s="4">
        <v>0.4169</v>
      </c>
      <c r="L70" s="4">
        <v>0.6391</v>
      </c>
      <c r="N70" s="4">
        <v>0.0</v>
      </c>
      <c r="P70" s="0">
        <v>85</v>
      </c>
    </row>
    <row r="71" ht="17" customHeight="1">
      <c r="A71" s="6">
        <v>81</v>
      </c>
      <c r="B71" s="6" t="inlineStr">
        <is>
          <t>P017</t>
        </is>
      </c>
      <c r="C71" s="6" t="inlineStr">
        <is>
          <t>2026-10-02 14:47:11.191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Failed</t>
        </is>
      </c>
      <c r="G71" s="6" t="inlineStr">
        <is>
          <t>Easy</t>
        </is>
      </c>
      <c r="H71" s="4">
        <v>73.376</v>
      </c>
      <c r="I71" s="4">
        <v>72.6221</v>
      </c>
      <c r="J71" s="4">
        <v>-0.7539</v>
      </c>
      <c r="K71" s="4">
        <v>0.7539</v>
      </c>
      <c r="L71" s="4">
        <v>0.3021</v>
      </c>
      <c r="N71" s="4">
        <v>0.0</v>
      </c>
      <c r="P71" s="6">
        <v>86</v>
      </c>
    </row>
    <row r="72" ht="17" customHeight="1">
      <c r="A72" s="0">
        <v>82</v>
      </c>
      <c r="B72" s="0" t="inlineStr">
        <is>
          <t>P017</t>
        </is>
      </c>
      <c r="C72" s="0" t="inlineStr">
        <is>
          <t>2026-10-02 14:47:13.413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Easy</t>
        </is>
      </c>
      <c r="H72" s="4">
        <v>75.296</v>
      </c>
      <c r="I72" s="4">
        <v>74.8439</v>
      </c>
      <c r="J72" s="4">
        <v>-0.4521</v>
      </c>
      <c r="K72" s="4">
        <v>0.4521</v>
      </c>
      <c r="L72" s="4">
        <v>0.6039</v>
      </c>
      <c r="N72" s="4">
        <v>0.0</v>
      </c>
      <c r="P72" s="0">
        <v>87</v>
      </c>
    </row>
    <row r="73" ht="17" customHeight="1">
      <c r="A73" s="6">
        <v>84</v>
      </c>
      <c r="B73" s="6" t="inlineStr">
        <is>
          <t>P017</t>
        </is>
      </c>
      <c r="C73" s="6" t="inlineStr">
        <is>
          <t>2026-10-02 14:47:14.914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Success</t>
        </is>
      </c>
      <c r="G73" s="6" t="inlineStr">
        <is>
          <t>Easy</t>
        </is>
      </c>
      <c r="H73" s="4">
        <v>77.216</v>
      </c>
      <c r="I73" s="4">
        <v>76.3434</v>
      </c>
      <c r="J73" s="4">
        <v>-0.8726</v>
      </c>
      <c r="K73" s="4">
        <v>0.8726</v>
      </c>
      <c r="L73" s="4">
        <v>0.1834</v>
      </c>
      <c r="N73" s="4">
        <v>1.0</v>
      </c>
      <c r="P73" s="6">
        <v>89</v>
      </c>
    </row>
    <row r="74" ht="17" customHeight="1">
      <c r="A74" s="0">
        <v>85</v>
      </c>
      <c r="B74" s="0" t="inlineStr">
        <is>
          <t>P017</t>
        </is>
      </c>
      <c r="C74" s="0" t="inlineStr">
        <is>
          <t>2026-10-02 14:47:16.704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Easy</t>
        </is>
      </c>
      <c r="H74" s="4">
        <v>79.136</v>
      </c>
      <c r="I74" s="4">
        <v>78.135</v>
      </c>
      <c r="J74" s="4">
        <v>-1.001</v>
      </c>
      <c r="K74" s="4">
        <v>1.001</v>
      </c>
      <c r="L74" s="4">
        <v>0.055</v>
      </c>
      <c r="N74" s="4">
        <v>0.0</v>
      </c>
      <c r="P74" s="0">
        <v>90</v>
      </c>
    </row>
    <row r="75" ht="17" customHeight="1">
      <c r="A75" s="6">
        <v>86</v>
      </c>
      <c r="B75" s="6" t="inlineStr">
        <is>
          <t>P017</t>
        </is>
      </c>
      <c r="C75" s="6" t="inlineStr">
        <is>
          <t>2026-10-02 14:47:18.984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Easy</t>
        </is>
      </c>
      <c r="H75" s="4">
        <v>81.056</v>
      </c>
      <c r="I75" s="4">
        <v>80.4139</v>
      </c>
      <c r="J75" s="4">
        <v>-0.6421</v>
      </c>
      <c r="K75" s="4">
        <v>0.6421</v>
      </c>
      <c r="L75" s="4">
        <v>0.4139</v>
      </c>
      <c r="N75" s="4">
        <v>0.0</v>
      </c>
      <c r="P75" s="6">
        <v>91</v>
      </c>
    </row>
    <row r="76" ht="17" customHeight="1">
      <c r="A76" s="0">
        <v>87</v>
      </c>
      <c r="B76" s="0" t="inlineStr">
        <is>
          <t>P017</t>
        </is>
      </c>
      <c r="C76" s="0" t="inlineStr">
        <is>
          <t>2026-10-02 14:47:21.470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Failed</t>
        </is>
      </c>
      <c r="G76" s="0" t="inlineStr">
        <is>
          <t>Easy</t>
        </is>
      </c>
      <c r="H76" s="4">
        <v>82.976</v>
      </c>
      <c r="P76" s="0">
        <v>92</v>
      </c>
    </row>
    <row r="77" ht="17" customHeight="1">
      <c r="A77" s="6">
        <v>88</v>
      </c>
      <c r="B77" s="6" t="inlineStr">
        <is>
          <t>P017</t>
        </is>
      </c>
      <c r="C77" s="6" t="inlineStr">
        <is>
          <t>2026-10-02 14:47:22.568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Easy</t>
        </is>
      </c>
      <c r="H77" s="4">
        <v>84.896</v>
      </c>
      <c r="I77" s="4">
        <v>83.9983</v>
      </c>
      <c r="J77" s="4">
        <v>-0.8977</v>
      </c>
      <c r="K77" s="4">
        <v>0.8977</v>
      </c>
      <c r="L77" s="4">
        <v>0.1583</v>
      </c>
      <c r="N77" s="4">
        <v>1.0</v>
      </c>
      <c r="P77" s="6">
        <v>93</v>
      </c>
    </row>
    <row r="78" ht="17" customHeight="1">
      <c r="A78" s="0">
        <v>89</v>
      </c>
      <c r="B78" s="0" t="inlineStr">
        <is>
          <t>P017</t>
        </is>
      </c>
      <c r="C78" s="0" t="inlineStr">
        <is>
          <t>2026-10-02 14:47:25.221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Failed</t>
        </is>
      </c>
      <c r="G78" s="0" t="inlineStr">
        <is>
          <t>Easy</t>
        </is>
      </c>
      <c r="H78" s="4">
        <v>86.816</v>
      </c>
      <c r="I78" s="4">
        <v>86.651</v>
      </c>
      <c r="J78" s="4">
        <v>-0.165</v>
      </c>
      <c r="K78" s="4">
        <v>0.165</v>
      </c>
      <c r="L78" s="4">
        <v>0.891</v>
      </c>
      <c r="N78" s="4">
        <v>0.0</v>
      </c>
      <c r="P78" s="0">
        <v>94</v>
      </c>
    </row>
    <row r="79" ht="17" customHeight="1">
      <c r="A79" s="6">
        <v>90</v>
      </c>
      <c r="B79" s="6" t="inlineStr">
        <is>
          <t>P017</t>
        </is>
      </c>
      <c r="C79" s="6" t="inlineStr">
        <is>
          <t>2026-10-02 14:47:27.707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Success</t>
        </is>
      </c>
      <c r="G79" s="6" t="inlineStr">
        <is>
          <t>Easy</t>
        </is>
      </c>
      <c r="H79" s="4">
        <v>88.736</v>
      </c>
      <c r="I79" s="4">
        <v>89.1367</v>
      </c>
      <c r="J79" s="4">
        <v>0.4007</v>
      </c>
      <c r="K79" s="4">
        <v>0.4007</v>
      </c>
      <c r="L79" s="4">
        <v>1.4567</v>
      </c>
      <c r="N79" s="4">
        <v>1.0</v>
      </c>
      <c r="P79" s="6">
        <v>95</v>
      </c>
    </row>
    <row r="80" ht="17" customHeight="1">
      <c r="A80" s="0">
        <v>91</v>
      </c>
      <c r="B80" s="0" t="inlineStr">
        <is>
          <t>P017</t>
        </is>
      </c>
      <c r="C80" s="0" t="inlineStr">
        <is>
          <t>2026-10-02 14:47:29.372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Easy</t>
        </is>
      </c>
      <c r="H80" s="4">
        <v>90.656</v>
      </c>
      <c r="I80" s="4">
        <v>90.8027</v>
      </c>
      <c r="J80" s="4">
        <v>0.1467</v>
      </c>
      <c r="K80" s="4">
        <v>0.1467</v>
      </c>
      <c r="L80" s="4">
        <v>1.2027</v>
      </c>
      <c r="N80" s="4">
        <v>1.0</v>
      </c>
      <c r="P80" s="0">
        <v>96</v>
      </c>
    </row>
    <row r="81" ht="17" customHeight="1">
      <c r="A81" s="6">
        <v>92</v>
      </c>
      <c r="B81" s="6" t="inlineStr">
        <is>
          <t>P017</t>
        </is>
      </c>
      <c r="C81" s="6" t="inlineStr">
        <is>
          <t>2026-10-02 14:47:31.373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Success</t>
        </is>
      </c>
      <c r="G81" s="6" t="inlineStr">
        <is>
          <t>Easy</t>
        </is>
      </c>
      <c r="H81" s="4">
        <v>92.576</v>
      </c>
      <c r="I81" s="4">
        <v>92.8023</v>
      </c>
      <c r="J81" s="4">
        <v>0.2263</v>
      </c>
      <c r="K81" s="4">
        <v>0.2263</v>
      </c>
      <c r="L81" s="4">
        <v>1.2823</v>
      </c>
      <c r="N81" s="4">
        <v>1.0</v>
      </c>
      <c r="P81" s="6">
        <v>97</v>
      </c>
    </row>
    <row r="82" ht="17" customHeight="1">
      <c r="A82" s="0">
        <v>93</v>
      </c>
      <c r="B82" s="0" t="inlineStr">
        <is>
          <t>P017</t>
        </is>
      </c>
      <c r="C82" s="0" t="inlineStr">
        <is>
          <t>2026-10-02 14:47:34.805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H82" s="4">
        <v>94.976</v>
      </c>
      <c r="I82" s="4">
        <v>96.0952</v>
      </c>
      <c r="J82" s="4">
        <v>1.1192</v>
      </c>
      <c r="K82" s="4">
        <v>1.1192</v>
      </c>
      <c r="N82" s="4">
        <v>0.0</v>
      </c>
      <c r="O82" s="0" t="b">
        <v>1</v>
      </c>
      <c r="P82" s="0">
        <v>98</v>
      </c>
    </row>
    <row r="83" ht="17" customHeight="1">
      <c r="A83" s="6">
        <v>95</v>
      </c>
      <c r="B83" s="6" t="inlineStr">
        <is>
          <t>P017</t>
        </is>
      </c>
      <c r="C83" s="6" t="inlineStr">
        <is>
          <t>2026-10-02 14:47:35.581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H83" s="4">
        <v>96.128</v>
      </c>
      <c r="I83" s="4">
        <v>96.8592</v>
      </c>
      <c r="J83" s="4">
        <v>0.7312</v>
      </c>
      <c r="K83" s="4">
        <v>0.7312</v>
      </c>
      <c r="N83" s="4">
        <v>0.0</v>
      </c>
      <c r="O83" s="6" t="b">
        <v>1</v>
      </c>
      <c r="P83" s="6">
        <v>100</v>
      </c>
    </row>
    <row r="84" ht="17" customHeight="1">
      <c r="A84" s="0">
        <v>96</v>
      </c>
      <c r="B84" s="0" t="inlineStr">
        <is>
          <t>P017</t>
        </is>
      </c>
      <c r="C84" s="0" t="inlineStr">
        <is>
          <t>2026-10-02 14:47:36.624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97.664</v>
      </c>
      <c r="I84" s="4">
        <v>97.9565</v>
      </c>
      <c r="J84" s="4">
        <v>0.2925</v>
      </c>
      <c r="K84" s="4">
        <v>0.2925</v>
      </c>
      <c r="N84" s="4">
        <v>0.0</v>
      </c>
      <c r="O84" s="0" t="b">
        <v>0</v>
      </c>
      <c r="P84" s="0">
        <v>101</v>
      </c>
    </row>
    <row r="85" ht="17" customHeight="1">
      <c r="A85" s="6">
        <v>97</v>
      </c>
      <c r="B85" s="6" t="inlineStr">
        <is>
          <t>P017</t>
        </is>
      </c>
      <c r="C85" s="6" t="inlineStr">
        <is>
          <t>2026-10-02 14:47:36.888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H85" s="4">
        <v>98.432</v>
      </c>
      <c r="I85" s="4">
        <v>98.0956</v>
      </c>
      <c r="J85" s="4">
        <v>-0.3364</v>
      </c>
      <c r="K85" s="4">
        <v>0.3364</v>
      </c>
      <c r="N85" s="4">
        <v>1.0</v>
      </c>
      <c r="O85" s="6" t="b">
        <v>1</v>
      </c>
      <c r="P85" s="6">
        <v>102</v>
      </c>
    </row>
    <row r="86" ht="17" customHeight="1">
      <c r="A86" s="0">
        <v>98</v>
      </c>
      <c r="B86" s="0" t="inlineStr">
        <is>
          <t>P017</t>
        </is>
      </c>
      <c r="C86" s="0" t="inlineStr">
        <is>
          <t>2026-10-02 14:47:40.372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H86" s="4">
        <v>101.12</v>
      </c>
      <c r="I86" s="4">
        <v>101.5401</v>
      </c>
      <c r="J86" s="4">
        <v>0.4201</v>
      </c>
      <c r="K86" s="4">
        <v>0.4201</v>
      </c>
      <c r="N86" s="4">
        <v>0.0</v>
      </c>
      <c r="O86" s="0" t="b">
        <v>1</v>
      </c>
      <c r="P86" s="0">
        <v>103</v>
      </c>
    </row>
    <row r="87" ht="17" customHeight="1">
      <c r="A87" s="6">
        <v>100</v>
      </c>
      <c r="B87" s="6" t="inlineStr">
        <is>
          <t>P017</t>
        </is>
      </c>
      <c r="C87" s="6" t="inlineStr">
        <is>
          <t>2026-10-02 14:47:41.304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Easy</t>
        </is>
      </c>
      <c r="H87" s="4">
        <v>102.656</v>
      </c>
      <c r="I87" s="4">
        <v>102.6367</v>
      </c>
      <c r="J87" s="4">
        <v>-0.0193</v>
      </c>
      <c r="K87" s="4">
        <v>0.0193</v>
      </c>
      <c r="N87" s="4">
        <v>0.0</v>
      </c>
      <c r="O87" s="6" t="b">
        <v>0</v>
      </c>
      <c r="P87" s="6">
        <v>105</v>
      </c>
    </row>
    <row r="88" ht="17" customHeight="1">
      <c r="A88" s="0">
        <v>101</v>
      </c>
      <c r="B88" s="0" t="inlineStr">
        <is>
          <t>P017</t>
        </is>
      </c>
      <c r="C88" s="0" t="inlineStr">
        <is>
          <t>2026-10-02 14:47:43.068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Failed</t>
        </is>
      </c>
      <c r="G88" s="0" t="inlineStr">
        <is>
          <t>Easy</t>
        </is>
      </c>
      <c r="H88" s="4">
        <v>104.192</v>
      </c>
      <c r="I88" s="4">
        <v>104.3187</v>
      </c>
      <c r="J88" s="4">
        <v>0.1267</v>
      </c>
      <c r="K88" s="4">
        <v>0.1267</v>
      </c>
      <c r="N88" s="4">
        <v>0.0</v>
      </c>
      <c r="O88" s="0" t="b">
        <v>1</v>
      </c>
      <c r="P88" s="0">
        <v>106</v>
      </c>
    </row>
    <row r="89" ht="17" customHeight="1">
      <c r="A89" s="6">
        <v>102</v>
      </c>
      <c r="B89" s="6" t="inlineStr">
        <is>
          <t>P017</t>
        </is>
      </c>
      <c r="C89" s="6" t="inlineStr">
        <is>
          <t>2026-10-02 14:47:44.512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H89" s="4">
        <v>104.96</v>
      </c>
      <c r="I89" s="4">
        <v>105.817</v>
      </c>
      <c r="J89" s="4">
        <v>0.857</v>
      </c>
      <c r="K89" s="4">
        <v>0.857</v>
      </c>
      <c r="N89" s="4">
        <v>0.0</v>
      </c>
      <c r="O89" s="6" t="b">
        <v>1</v>
      </c>
      <c r="P89" s="6">
        <v>107</v>
      </c>
    </row>
    <row r="90" ht="17" customHeight="1">
      <c r="A90" s="0">
        <v>103</v>
      </c>
      <c r="B90" s="0" t="inlineStr">
        <is>
          <t>P017</t>
        </is>
      </c>
      <c r="C90" s="0" t="inlineStr">
        <is>
          <t>2026-10-02 14:47:45.484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H90" s="4">
        <v>106.88</v>
      </c>
      <c r="I90" s="4">
        <v>106.7335</v>
      </c>
      <c r="J90" s="4">
        <v>-0.1465</v>
      </c>
      <c r="K90" s="4">
        <v>0.1465</v>
      </c>
      <c r="N90" s="4">
        <v>1.0</v>
      </c>
      <c r="O90" s="0" t="b">
        <v>0</v>
      </c>
      <c r="P90" s="0">
        <v>108</v>
      </c>
    </row>
    <row r="91" ht="17" customHeight="1">
      <c r="A91" s="6">
        <v>104</v>
      </c>
      <c r="B91" s="6" t="inlineStr">
        <is>
          <t>P017</t>
        </is>
      </c>
      <c r="C91" s="6" t="inlineStr">
        <is>
          <t>2026-10-02 14:47:47.387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Failed</t>
        </is>
      </c>
      <c r="G91" s="6" t="inlineStr">
        <is>
          <t>Easy</t>
        </is>
      </c>
      <c r="H91" s="4">
        <v>108.032</v>
      </c>
      <c r="I91" s="4">
        <v>108.7205</v>
      </c>
      <c r="J91" s="4">
        <v>0.6885</v>
      </c>
      <c r="K91" s="4">
        <v>0.6885</v>
      </c>
      <c r="N91" s="4">
        <v>0.0</v>
      </c>
      <c r="O91" s="6" t="b">
        <v>1</v>
      </c>
      <c r="P91" s="6">
        <v>109</v>
      </c>
    </row>
    <row r="92" ht="17" customHeight="1">
      <c r="A92" s="0">
        <v>105</v>
      </c>
      <c r="B92" s="0" t="inlineStr">
        <is>
          <t>P017</t>
        </is>
      </c>
      <c r="C92" s="0" t="inlineStr">
        <is>
          <t>2026-10-02 14:47:48.333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Success</t>
        </is>
      </c>
      <c r="G92" s="0" t="inlineStr">
        <is>
          <t>Easy</t>
        </is>
      </c>
      <c r="H92" s="4">
        <v>109.184</v>
      </c>
      <c r="I92" s="4">
        <v>109.6236</v>
      </c>
      <c r="J92" s="4">
        <v>0.4396</v>
      </c>
      <c r="K92" s="4">
        <v>0.4396</v>
      </c>
      <c r="N92" s="4">
        <v>1.0</v>
      </c>
      <c r="O92" s="0" t="b">
        <v>1</v>
      </c>
      <c r="P92" s="0">
        <v>110</v>
      </c>
    </row>
    <row r="93" ht="17" customHeight="1">
      <c r="A93" s="6">
        <v>106</v>
      </c>
      <c r="B93" s="6" t="inlineStr">
        <is>
          <t>P017</t>
        </is>
      </c>
      <c r="C93" s="6" t="inlineStr">
        <is>
          <t>2026-10-02 14:47:50.985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Success</t>
        </is>
      </c>
      <c r="G93" s="6" t="inlineStr">
        <is>
          <t>Easy</t>
        </is>
      </c>
      <c r="H93" s="4">
        <v>111.104</v>
      </c>
      <c r="I93" s="4">
        <v>112.3584</v>
      </c>
      <c r="J93" s="4">
        <v>1.2544</v>
      </c>
      <c r="K93" s="4">
        <v>1.2544</v>
      </c>
      <c r="N93" s="4">
        <v>1.0</v>
      </c>
      <c r="O93" s="6" t="b">
        <v>1</v>
      </c>
      <c r="P93" s="6">
        <v>111</v>
      </c>
    </row>
    <row r="94" ht="17" customHeight="1">
      <c r="A94" s="0">
        <v>107</v>
      </c>
      <c r="B94" s="0" t="inlineStr">
        <is>
          <t>P017</t>
        </is>
      </c>
      <c r="C94" s="0" t="inlineStr">
        <is>
          <t>2026-10-02 14:47:51.763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Success</t>
        </is>
      </c>
      <c r="G94" s="0" t="inlineStr">
        <is>
          <t>Easy</t>
        </is>
      </c>
      <c r="H94" s="4">
        <v>113.024</v>
      </c>
      <c r="I94" s="4">
        <v>113.095</v>
      </c>
      <c r="J94" s="4">
        <v>0.071</v>
      </c>
      <c r="K94" s="4">
        <v>0.071</v>
      </c>
      <c r="N94" s="4">
        <v>1.0</v>
      </c>
      <c r="O94" s="0" t="b">
        <v>1</v>
      </c>
      <c r="P94" s="0">
        <v>112</v>
      </c>
    </row>
    <row r="95" ht="17" customHeight="1">
      <c r="A95" s="6">
        <v>108</v>
      </c>
      <c r="B95" s="6" t="inlineStr">
        <is>
          <t>P017</t>
        </is>
      </c>
      <c r="C95" s="6" t="inlineStr">
        <is>
          <t>2026-10-02 14:47:52.373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Failed</t>
        </is>
      </c>
      <c r="G95" s="6" t="inlineStr">
        <is>
          <t>Easy</t>
        </is>
      </c>
      <c r="H95" s="4">
        <v>113.792</v>
      </c>
      <c r="I95" s="4">
        <v>113.3308</v>
      </c>
      <c r="J95" s="4">
        <v>-0.4612</v>
      </c>
      <c r="K95" s="4">
        <v>0.4612</v>
      </c>
      <c r="N95" s="4">
        <v>1.0</v>
      </c>
      <c r="O95" s="6" t="b">
        <v>0</v>
      </c>
      <c r="P95" s="6">
        <v>113</v>
      </c>
    </row>
    <row r="96" ht="17" customHeight="1">
      <c r="A96" s="0">
        <v>109</v>
      </c>
      <c r="B96" s="0" t="inlineStr">
        <is>
          <t>P017</t>
        </is>
      </c>
      <c r="C96" s="0" t="inlineStr">
        <is>
          <t>2026-10-02 14:47:56.666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Success</t>
        </is>
      </c>
      <c r="G96" s="0" t="inlineStr">
        <is>
          <t>Easy</t>
        </is>
      </c>
      <c r="H96" s="4">
        <v>117.248</v>
      </c>
      <c r="I96" s="4">
        <v>117.9977</v>
      </c>
      <c r="J96" s="4">
        <v>0.7497</v>
      </c>
      <c r="K96" s="4">
        <v>0.7497</v>
      </c>
      <c r="N96" s="4">
        <v>1.0</v>
      </c>
      <c r="O96" s="0" t="b">
        <v>1</v>
      </c>
      <c r="P96" s="0">
        <v>114</v>
      </c>
    </row>
    <row r="97" ht="17" customHeight="1">
      <c r="A97" s="6">
        <v>110</v>
      </c>
      <c r="B97" s="6" t="inlineStr">
        <is>
          <t>P017</t>
        </is>
      </c>
      <c r="C97" s="6" t="inlineStr">
        <is>
          <t>2026-10-02 14:47:58.568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Success</t>
        </is>
      </c>
      <c r="G97" s="6" t="inlineStr">
        <is>
          <t>Easy</t>
        </is>
      </c>
      <c r="H97" s="4">
        <v>116.096</v>
      </c>
      <c r="I97" s="4">
        <v>119.8725</v>
      </c>
      <c r="J97" s="4">
        <v>3.7765</v>
      </c>
      <c r="K97" s="4">
        <v>3.7765</v>
      </c>
      <c r="N97" s="4">
        <v>1.0</v>
      </c>
      <c r="O97" s="6" t="b">
        <v>1</v>
      </c>
      <c r="P97" s="6">
        <v>115</v>
      </c>
    </row>
    <row r="98" ht="17" customHeight="1">
      <c r="A98" s="0">
        <v>111</v>
      </c>
      <c r="B98" s="0" t="inlineStr">
        <is>
          <t>P017</t>
        </is>
      </c>
      <c r="C98" s="0" t="inlineStr">
        <is>
          <t>2026-10-02 14:47:59.082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Success</t>
        </is>
      </c>
      <c r="G98" s="0" t="inlineStr">
        <is>
          <t>Easy</t>
        </is>
      </c>
      <c r="H98" s="4">
        <v>119.936</v>
      </c>
      <c r="I98" s="4">
        <v>120.3723</v>
      </c>
      <c r="J98" s="4">
        <v>0.4363</v>
      </c>
      <c r="K98" s="4">
        <v>0.4363</v>
      </c>
      <c r="N98" s="4">
        <v>1.0</v>
      </c>
      <c r="O98" s="0" t="b">
        <v>1</v>
      </c>
      <c r="P98" s="0">
        <v>116</v>
      </c>
    </row>
    <row r="99" ht="17" customHeight="1">
      <c r="A99" s="6">
        <v>113</v>
      </c>
      <c r="B99" s="6" t="inlineStr">
        <is>
          <t>P017</t>
        </is>
      </c>
      <c r="C99" s="6" t="inlineStr">
        <is>
          <t>2026-10-02 14:48:00.234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Success</t>
        </is>
      </c>
      <c r="G99" s="6" t="inlineStr">
        <is>
          <t>Easy</t>
        </is>
      </c>
      <c r="H99" s="4">
        <v>121.472</v>
      </c>
      <c r="I99" s="4">
        <v>121.553</v>
      </c>
      <c r="J99" s="4">
        <v>0.081</v>
      </c>
      <c r="K99" s="4">
        <v>0.081</v>
      </c>
      <c r="N99" s="4">
        <v>1.0</v>
      </c>
      <c r="O99" s="6" t="b">
        <v>1</v>
      </c>
      <c r="P99" s="6">
        <v>118</v>
      </c>
    </row>
    <row r="100" ht="17" customHeight="1">
      <c r="A100" s="0">
        <v>116</v>
      </c>
      <c r="B100" s="0" t="inlineStr">
        <is>
          <t>P017</t>
        </is>
      </c>
      <c r="C100" s="0" t="inlineStr">
        <is>
          <t>2026-10-02 14:48:05.243</t>
        </is>
      </c>
      <c r="D100" s="0" t="inlineStr">
        <is>
          <t>Danniel</t>
        </is>
      </c>
      <c r="E100" s="0" t="inlineStr">
        <is>
          <t>PlayerHit</t>
        </is>
      </c>
      <c r="F100" s="0" t="inlineStr">
        <is>
          <t>Failed</t>
        </is>
      </c>
      <c r="G100" s="0" t="inlineStr">
        <is>
          <t>Normal</t>
        </is>
      </c>
      <c r="H100" s="4">
        <v>126.6736</v>
      </c>
      <c r="P100" s="0">
        <v>121</v>
      </c>
    </row>
    <row r="101" ht="17" customHeight="1">
      <c r="A101" s="6">
        <v>117</v>
      </c>
      <c r="B101" s="6" t="inlineStr">
        <is>
          <t>P017</t>
        </is>
      </c>
      <c r="C101" s="6" t="inlineStr">
        <is>
          <t>2026-10-02 14:48:05.341</t>
        </is>
      </c>
      <c r="D101" s="6" t="inlineStr">
        <is>
          <t>Danniel</t>
        </is>
      </c>
      <c r="E101" s="6" t="inlineStr">
        <is>
          <t>PlayerHit</t>
        </is>
      </c>
      <c r="F101" s="6" t="inlineStr">
        <is>
          <t>Failed</t>
        </is>
      </c>
      <c r="G101" s="6" t="inlineStr">
        <is>
          <t>Normal</t>
        </is>
      </c>
      <c r="H101" s="4">
        <v>126.7711</v>
      </c>
      <c r="P101" s="6">
        <v>122</v>
      </c>
    </row>
    <row r="102" ht="17" customHeight="1">
      <c r="A102" s="0">
        <v>118</v>
      </c>
      <c r="B102" s="0" t="inlineStr">
        <is>
          <t>P017</t>
        </is>
      </c>
      <c r="C102" s="0" t="inlineStr">
        <is>
          <t>2026-10-02 14:48:06.328</t>
        </is>
      </c>
      <c r="D102" s="0" t="inlineStr">
        <is>
          <t>Danniel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Normal</t>
        </is>
      </c>
      <c r="H102" s="4">
        <v>127.7579</v>
      </c>
      <c r="P102" s="0">
        <v>123</v>
      </c>
    </row>
    <row r="103" ht="17" customHeight="1">
      <c r="A103" s="6">
        <v>119</v>
      </c>
      <c r="B103" s="6" t="inlineStr">
        <is>
          <t>P017</t>
        </is>
      </c>
      <c r="C103" s="6" t="inlineStr">
        <is>
          <t>2026-10-02 14:48:07.133</t>
        </is>
      </c>
      <c r="D103" s="6" t="inlineStr">
        <is>
          <t>Danniel</t>
        </is>
      </c>
      <c r="E103" s="6" t="inlineStr">
        <is>
          <t>PlayerHit</t>
        </is>
      </c>
      <c r="F103" s="6" t="inlineStr">
        <is>
          <t>Failed</t>
        </is>
      </c>
      <c r="G103" s="6" t="inlineStr">
        <is>
          <t>Normal</t>
        </is>
      </c>
      <c r="H103" s="4">
        <v>128.5638</v>
      </c>
      <c r="P103" s="6">
        <v>124</v>
      </c>
    </row>
    <row r="104" ht="17" customHeight="1">
      <c r="A104" s="0">
        <v>120</v>
      </c>
      <c r="B104" s="0" t="inlineStr">
        <is>
          <t>P017</t>
        </is>
      </c>
      <c r="C104" s="0" t="inlineStr">
        <is>
          <t>2026-10-02 14:48:07.287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Success</t>
        </is>
      </c>
      <c r="G104" s="0" t="inlineStr">
        <is>
          <t>Normal</t>
        </is>
      </c>
      <c r="H104" s="4">
        <v>128.384</v>
      </c>
      <c r="I104" s="4">
        <v>128.2719</v>
      </c>
      <c r="J104" s="4">
        <v>-0.1121</v>
      </c>
      <c r="K104" s="4">
        <v>0.1121</v>
      </c>
      <c r="P104" s="0">
        <v>125</v>
      </c>
    </row>
    <row r="105" ht="17" customHeight="1">
      <c r="A105" s="6">
        <v>122</v>
      </c>
      <c r="B105" s="6" t="inlineStr">
        <is>
          <t>P017</t>
        </is>
      </c>
      <c r="C105" s="6" t="inlineStr">
        <is>
          <t>2026-10-02 14:48:07.551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Failed</t>
        </is>
      </c>
      <c r="G105" s="6" t="inlineStr">
        <is>
          <t>Normal</t>
        </is>
      </c>
      <c r="H105" s="4">
        <v>128.981</v>
      </c>
      <c r="P105" s="6">
        <v>127</v>
      </c>
    </row>
    <row r="106" ht="17" customHeight="1">
      <c r="A106" s="0">
        <v>123</v>
      </c>
      <c r="B106" s="0" t="inlineStr">
        <is>
          <t>P017</t>
        </is>
      </c>
      <c r="C106" s="0" t="inlineStr">
        <is>
          <t>2026-10-02 14:48:08.009</t>
        </is>
      </c>
      <c r="D106" s="0" t="inlineStr">
        <is>
          <t>Danniel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Normal</t>
        </is>
      </c>
      <c r="H106" s="4">
        <v>129.4389</v>
      </c>
      <c r="P106" s="0">
        <v>128</v>
      </c>
    </row>
    <row r="107" ht="17" customHeight="1">
      <c r="A107" s="6">
        <v>124</v>
      </c>
      <c r="B107" s="6" t="inlineStr">
        <is>
          <t>P017</t>
        </is>
      </c>
      <c r="C107" s="6" t="inlineStr">
        <is>
          <t>2026-10-02 14:48:08.384</t>
        </is>
      </c>
      <c r="D107" s="6" t="inlineStr">
        <is>
          <t>Danniel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Normal</t>
        </is>
      </c>
      <c r="H107" s="4">
        <v>129.814</v>
      </c>
      <c r="P107" s="6">
        <v>129</v>
      </c>
    </row>
    <row r="108" ht="17" customHeight="1">
      <c r="A108" s="0">
        <v>125</v>
      </c>
      <c r="B108" s="0" t="inlineStr">
        <is>
          <t>P017</t>
        </is>
      </c>
      <c r="C108" s="0" t="inlineStr">
        <is>
          <t>2026-10-02 14:48:08.605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Success</t>
        </is>
      </c>
      <c r="G108" s="0" t="inlineStr">
        <is>
          <t>Normal</t>
        </is>
      </c>
      <c r="H108" s="4">
        <v>129.152</v>
      </c>
      <c r="I108" s="4">
        <v>129.328</v>
      </c>
      <c r="J108" s="4">
        <v>0.176</v>
      </c>
      <c r="K108" s="4">
        <v>0.176</v>
      </c>
      <c r="P108" s="0">
        <v>130</v>
      </c>
    </row>
    <row r="109" ht="17" customHeight="1">
      <c r="A109" s="6">
        <v>129</v>
      </c>
      <c r="B109" s="6" t="inlineStr">
        <is>
          <t>P017</t>
        </is>
      </c>
      <c r="C109" s="6" t="inlineStr">
        <is>
          <t>2026-10-02 14:48:10.551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Failed</t>
        </is>
      </c>
      <c r="G109" s="6" t="inlineStr">
        <is>
          <t>Easy</t>
        </is>
      </c>
      <c r="H109" s="4">
        <v>131.9804</v>
      </c>
      <c r="P109" s="6">
        <v>134</v>
      </c>
    </row>
    <row r="110" ht="17" customHeight="1">
      <c r="A110" s="0">
        <v>130</v>
      </c>
      <c r="B110" s="0" t="inlineStr">
        <is>
          <t>P017</t>
        </is>
      </c>
      <c r="C110" s="0" t="inlineStr">
        <is>
          <t>2026-10-02 14:48:11.052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H110" s="4">
        <v>131.84</v>
      </c>
      <c r="I110" s="4">
        <v>131.9249</v>
      </c>
      <c r="J110" s="4">
        <v>0.0849</v>
      </c>
      <c r="K110" s="4">
        <v>0.0849</v>
      </c>
      <c r="P110" s="0">
        <v>135</v>
      </c>
    </row>
    <row r="111" ht="17" customHeight="1">
      <c r="A111" s="6">
        <v>131</v>
      </c>
      <c r="B111" s="6" t="inlineStr">
        <is>
          <t>P017</t>
        </is>
      </c>
      <c r="C111" s="6" t="inlineStr">
        <is>
          <t>2026-10-02 14:48:12.203</t>
        </is>
      </c>
      <c r="D111" s="6" t="inlineStr">
        <is>
          <t>Danniel</t>
        </is>
      </c>
      <c r="E111" s="6" t="inlineStr">
        <is>
          <t>PlayerHit</t>
        </is>
      </c>
      <c r="F111" s="6" t="inlineStr">
        <is>
          <t>Failed</t>
        </is>
      </c>
      <c r="G111" s="6" t="inlineStr">
        <is>
          <t>Easy</t>
        </is>
      </c>
      <c r="H111" s="4">
        <v>133.6336</v>
      </c>
      <c r="P111" s="6">
        <v>136</v>
      </c>
    </row>
    <row r="112" ht="17" customHeight="1">
      <c r="A112" s="0">
        <v>132</v>
      </c>
      <c r="B112" s="0" t="inlineStr">
        <is>
          <t>P017</t>
        </is>
      </c>
      <c r="C112" s="0" t="inlineStr">
        <is>
          <t>2026-10-02 14:48:12.509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H112" s="4">
        <v>132.608</v>
      </c>
      <c r="I112" s="4">
        <v>132.5084</v>
      </c>
      <c r="J112" s="4">
        <v>-0.0996</v>
      </c>
      <c r="K112" s="4">
        <v>0.0996</v>
      </c>
      <c r="P112" s="0">
        <v>137</v>
      </c>
    </row>
    <row r="113" ht="17" customHeight="1">
      <c r="A113" s="6">
        <v>133</v>
      </c>
      <c r="B113" s="6" t="inlineStr">
        <is>
          <t>P017</t>
        </is>
      </c>
      <c r="C113" s="6" t="inlineStr">
        <is>
          <t>2026-10-02 14:48:12.829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Failed</t>
        </is>
      </c>
      <c r="G113" s="6" t="inlineStr">
        <is>
          <t>Easy</t>
        </is>
      </c>
      <c r="H113" s="4">
        <v>134.2582</v>
      </c>
      <c r="P113" s="6">
        <v>138</v>
      </c>
    </row>
    <row r="114" ht="17" customHeight="1">
      <c r="A114" s="0">
        <v>135</v>
      </c>
      <c r="B114" s="0" t="inlineStr">
        <is>
          <t>P017</t>
        </is>
      </c>
      <c r="C114" s="0" t="inlineStr">
        <is>
          <t>2026-10-02 14:48:13.593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Failed</t>
        </is>
      </c>
      <c r="G114" s="0" t="inlineStr">
        <is>
          <t>Easy</t>
        </is>
      </c>
      <c r="H114" s="4">
        <v>135.0222</v>
      </c>
      <c r="P114" s="0">
        <v>140</v>
      </c>
    </row>
    <row r="115" ht="17" customHeight="1">
      <c r="A115" s="6">
        <v>136</v>
      </c>
      <c r="B115" s="6" t="inlineStr">
        <is>
          <t>P017</t>
        </is>
      </c>
      <c r="C115" s="6" t="inlineStr">
        <is>
          <t>2026-10-02 14:48:13.593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Success</t>
        </is>
      </c>
      <c r="G115" s="6" t="inlineStr">
        <is>
          <t>Easy</t>
        </is>
      </c>
      <c r="H115" s="4">
        <v>134.144</v>
      </c>
      <c r="I115" s="4">
        <v>134.2442</v>
      </c>
      <c r="J115" s="4">
        <v>0.1002</v>
      </c>
      <c r="K115" s="4">
        <v>0.1002</v>
      </c>
      <c r="P115" s="6">
        <v>141</v>
      </c>
    </row>
    <row r="116" ht="17" customHeight="1">
      <c r="A116" s="0">
        <v>137</v>
      </c>
      <c r="B116" s="0" t="inlineStr">
        <is>
          <t>P017</t>
        </is>
      </c>
      <c r="C116" s="0" t="inlineStr">
        <is>
          <t>2026-10-02 14:48:13.870</t>
        </is>
      </c>
      <c r="D116" s="0" t="inlineStr">
        <is>
          <t>Danniel</t>
        </is>
      </c>
      <c r="E116" s="0" t="inlineStr">
        <is>
          <t>PlayerHit</t>
        </is>
      </c>
      <c r="F116" s="0" t="inlineStr">
        <is>
          <t>Failed</t>
        </is>
      </c>
      <c r="G116" s="0" t="inlineStr">
        <is>
          <t>Easy</t>
        </is>
      </c>
      <c r="H116" s="4">
        <v>135.3</v>
      </c>
      <c r="P116" s="0">
        <v>142</v>
      </c>
    </row>
    <row r="117" ht="17" customHeight="1">
      <c r="A117" s="6">
        <v>138</v>
      </c>
      <c r="B117" s="6" t="inlineStr">
        <is>
          <t>P017</t>
        </is>
      </c>
      <c r="C117" s="6" t="inlineStr">
        <is>
          <t>2026-10-02 14:48:14.565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H117" s="4">
        <v>135.296</v>
      </c>
      <c r="I117" s="4">
        <v>135.2306</v>
      </c>
      <c r="J117" s="4">
        <v>-0.0654</v>
      </c>
      <c r="K117" s="4">
        <v>0.0654</v>
      </c>
      <c r="P117" s="6">
        <v>143</v>
      </c>
    </row>
    <row r="118" ht="17" customHeight="1">
      <c r="A118" s="0">
        <v>139</v>
      </c>
      <c r="B118" s="0" t="inlineStr">
        <is>
          <t>P017</t>
        </is>
      </c>
      <c r="C118" s="0" t="inlineStr">
        <is>
          <t>2026-10-02 14:48:14.690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Failed</t>
        </is>
      </c>
      <c r="G118" s="0" t="inlineStr">
        <is>
          <t>Easy</t>
        </is>
      </c>
      <c r="H118" s="4">
        <v>136.1198</v>
      </c>
      <c r="P118" s="0">
        <v>144</v>
      </c>
    </row>
    <row r="119" ht="17" customHeight="1">
      <c r="A119" s="6">
        <v>140</v>
      </c>
      <c r="B119" s="6" t="inlineStr">
        <is>
          <t>P017</t>
        </is>
      </c>
      <c r="C119" s="6" t="inlineStr">
        <is>
          <t>2026-10-02 14:48:15.412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Failed</t>
        </is>
      </c>
      <c r="G119" s="6" t="inlineStr">
        <is>
          <t>Easy</t>
        </is>
      </c>
      <c r="H119" s="4">
        <v>136.8421</v>
      </c>
      <c r="P119" s="6">
        <v>145</v>
      </c>
    </row>
    <row r="120" ht="17" customHeight="1">
      <c r="A120" s="0">
        <v>141</v>
      </c>
      <c r="B120" s="0" t="inlineStr">
        <is>
          <t>P017</t>
        </is>
      </c>
      <c r="C120" s="0" t="inlineStr">
        <is>
          <t>2026-10-02 14:48:16.844</t>
        </is>
      </c>
      <c r="D120" s="0" t="inlineStr">
        <is>
          <t>Danniel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Easy</t>
        </is>
      </c>
      <c r="H120" s="4">
        <v>138.2734</v>
      </c>
      <c r="P120" s="0">
        <v>146</v>
      </c>
    </row>
    <row r="121" ht="17" customHeight="1">
      <c r="A121" s="6">
        <v>142</v>
      </c>
      <c r="B121" s="6" t="inlineStr">
        <is>
          <t>P017</t>
        </is>
      </c>
      <c r="C121" s="6" t="inlineStr">
        <is>
          <t>2026-10-02 14:48:17.343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Failed</t>
        </is>
      </c>
      <c r="G121" s="6" t="inlineStr">
        <is>
          <t>Easy</t>
        </is>
      </c>
      <c r="H121" s="4">
        <v>138.7734</v>
      </c>
      <c r="P121" s="6">
        <v>147</v>
      </c>
    </row>
    <row r="122" ht="17" customHeight="1">
      <c r="A122" s="0">
        <v>143</v>
      </c>
      <c r="B122" s="0" t="inlineStr">
        <is>
          <t>P017</t>
        </is>
      </c>
      <c r="C122" s="0" t="inlineStr">
        <is>
          <t>2026-10-02 14:48:19.774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Success</t>
        </is>
      </c>
      <c r="G122" s="0" t="inlineStr">
        <is>
          <t>Easy</t>
        </is>
      </c>
      <c r="H122" s="4">
        <v>140.288</v>
      </c>
      <c r="I122" s="4">
        <v>140.3153</v>
      </c>
      <c r="J122" s="4">
        <v>0.0273</v>
      </c>
      <c r="K122" s="4">
        <v>0.0273</v>
      </c>
      <c r="P122" s="0">
        <v>148</v>
      </c>
    </row>
    <row r="123" ht="17" customHeight="1">
      <c r="A123" s="6">
        <v>144</v>
      </c>
      <c r="B123" s="6" t="inlineStr">
        <is>
          <t>P017</t>
        </is>
      </c>
      <c r="C123" s="6" t="inlineStr">
        <is>
          <t>2026-10-02 14:48:21.371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Failed</t>
        </is>
      </c>
      <c r="G123" s="6" t="inlineStr">
        <is>
          <t>Easy</t>
        </is>
      </c>
      <c r="H123" s="4">
        <v>142.8014</v>
      </c>
      <c r="P123" s="6">
        <v>149</v>
      </c>
    </row>
    <row r="124" ht="17" customHeight="1">
      <c r="A124" s="0">
        <v>145</v>
      </c>
      <c r="B124" s="0" t="inlineStr">
        <is>
          <t>P017</t>
        </is>
      </c>
      <c r="C124" s="0" t="inlineStr">
        <is>
          <t>2026-10-02 14:48:24.774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H124" s="4">
        <v>144.896</v>
      </c>
      <c r="I124" s="4">
        <v>144.9814</v>
      </c>
      <c r="J124" s="4">
        <v>0.0854</v>
      </c>
      <c r="K124" s="4">
        <v>0.0854</v>
      </c>
      <c r="P124" s="0">
        <v>150</v>
      </c>
    </row>
    <row r="125" ht="17" customHeight="1">
      <c r="A125" s="6">
        <v>146</v>
      </c>
      <c r="B125" s="6" t="inlineStr">
        <is>
          <t>P017</t>
        </is>
      </c>
      <c r="C125" s="6" t="inlineStr">
        <is>
          <t>2026-10-02 14:48:26.107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Failed</t>
        </is>
      </c>
      <c r="G125" s="6" t="inlineStr">
        <is>
          <t>Easy</t>
        </is>
      </c>
      <c r="H125" s="4">
        <v>147.5369</v>
      </c>
      <c r="P125" s="6">
        <v>151</v>
      </c>
    </row>
    <row r="126" ht="17" customHeight="1">
      <c r="A126" s="0">
        <v>147</v>
      </c>
      <c r="B126" s="0" t="inlineStr">
        <is>
          <t>P017</t>
        </is>
      </c>
      <c r="C126" s="0" t="inlineStr">
        <is>
          <t>2026-10-02 14:48:28.564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Success</t>
        </is>
      </c>
      <c r="G126" s="0" t="inlineStr">
        <is>
          <t>Easy</t>
        </is>
      </c>
      <c r="H126" s="4">
        <v>148.736</v>
      </c>
      <c r="I126" s="4">
        <v>148.7869</v>
      </c>
      <c r="J126" s="4">
        <v>0.0509</v>
      </c>
      <c r="K126" s="4">
        <v>0.0509</v>
      </c>
      <c r="P126" s="0">
        <v>152</v>
      </c>
    </row>
    <row r="127" ht="17" customHeight="1">
      <c r="A127" s="6">
        <v>148</v>
      </c>
      <c r="B127" s="6" t="inlineStr">
        <is>
          <t>P017</t>
        </is>
      </c>
      <c r="C127" s="6" t="inlineStr">
        <is>
          <t>2026-10-02 14:48:29.870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Success</t>
        </is>
      </c>
      <c r="G127" s="6" t="inlineStr">
        <is>
          <t>Easy</t>
        </is>
      </c>
      <c r="H127" s="4">
        <v>150.656</v>
      </c>
      <c r="I127" s="4">
        <v>150.634</v>
      </c>
      <c r="J127" s="4">
        <v>-0.022</v>
      </c>
      <c r="K127" s="4">
        <v>0.022</v>
      </c>
      <c r="P127" s="6">
        <v>153</v>
      </c>
    </row>
    <row r="128" ht="17" customHeight="1">
      <c r="A128" s="0">
        <v>149</v>
      </c>
      <c r="B128" s="0" t="inlineStr">
        <is>
          <t>P017</t>
        </is>
      </c>
      <c r="C128" s="0" t="inlineStr">
        <is>
          <t>2026-10-02 14:48:30.593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Failed</t>
        </is>
      </c>
      <c r="G128" s="0" t="inlineStr">
        <is>
          <t>Easy</t>
        </is>
      </c>
      <c r="H128" s="4">
        <v>152.0231</v>
      </c>
      <c r="P128" s="0">
        <v>154</v>
      </c>
    </row>
    <row r="129" ht="17" customHeight="1">
      <c r="A129" s="6">
        <v>150</v>
      </c>
      <c r="B129" s="6" t="inlineStr">
        <is>
          <t>P017</t>
        </is>
      </c>
      <c r="C129" s="6" t="inlineStr">
        <is>
          <t>2026-10-02 14:48:31.481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Missed</t>
        </is>
      </c>
      <c r="G129" s="6" t="inlineStr">
        <is>
          <t>Normal</t>
        </is>
      </c>
      <c r="H129" s="4">
        <v>152.9113</v>
      </c>
      <c r="P129" s="6">
        <v>155</v>
      </c>
    </row>
    <row r="130" ht="17" customHeight="1">
      <c r="A130" s="0">
        <v>151</v>
      </c>
      <c r="B130" s="0" t="inlineStr">
        <is>
          <t>P017</t>
        </is>
      </c>
      <c r="C130" s="0" t="inlineStr">
        <is>
          <t>2026-10-02 14:48:31.481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Missed</t>
        </is>
      </c>
      <c r="G130" s="0" t="inlineStr">
        <is>
          <t>Normal</t>
        </is>
      </c>
      <c r="H130" s="4">
        <v>152.9113</v>
      </c>
      <c r="P130" s="0">
        <v>156</v>
      </c>
    </row>
    <row r="131" ht="17" customHeight="1">
      <c r="A131" s="6">
        <v>152</v>
      </c>
      <c r="B131" s="6" t="inlineStr">
        <is>
          <t>P017</t>
        </is>
      </c>
      <c r="C131" s="6" t="inlineStr">
        <is>
          <t>2026-10-02 14:48:33.870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H131" s="4">
        <v>154.496</v>
      </c>
      <c r="I131" s="4">
        <v>154.4247</v>
      </c>
      <c r="J131" s="4">
        <v>-0.0713</v>
      </c>
      <c r="K131" s="4">
        <v>0.0713</v>
      </c>
      <c r="P131" s="6">
        <v>157</v>
      </c>
    </row>
    <row r="132" ht="17" customHeight="1">
      <c r="A132" s="0">
        <v>154</v>
      </c>
      <c r="B132" s="0" t="inlineStr">
        <is>
          <t>P017</t>
        </is>
      </c>
      <c r="C132" s="0" t="inlineStr">
        <is>
          <t>2026-10-02 14:48:44.147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Failed</t>
        </is>
      </c>
      <c r="G132" s="0" t="inlineStr">
        <is>
          <t>Easy</t>
        </is>
      </c>
      <c r="H132" s="4">
        <v>165.4073</v>
      </c>
      <c r="I132" s="4">
        <v>165.5771</v>
      </c>
      <c r="J132" s="4">
        <v>0.1698</v>
      </c>
      <c r="K132" s="4">
        <v>0.1698</v>
      </c>
      <c r="N132" s="4">
        <v>0.0</v>
      </c>
      <c r="O132" s="0" t="b">
        <v>1</v>
      </c>
      <c r="P132" s="0">
        <v>159</v>
      </c>
    </row>
    <row r="133" ht="17" customHeight="1">
      <c r="A133" s="6">
        <v>156</v>
      </c>
      <c r="B133" s="6" t="inlineStr">
        <is>
          <t>P017</t>
        </is>
      </c>
      <c r="C133" s="6" t="inlineStr">
        <is>
          <t>2026-10-02 14:48:46.230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Failed</t>
        </is>
      </c>
      <c r="G133" s="6" t="inlineStr">
        <is>
          <t>Easy</t>
        </is>
      </c>
      <c r="H133" s="4">
        <v>167.7061</v>
      </c>
      <c r="I133" s="4">
        <v>167.661</v>
      </c>
      <c r="J133" s="4">
        <v>-0.0451</v>
      </c>
      <c r="K133" s="4">
        <v>0.0451</v>
      </c>
      <c r="N133" s="4">
        <v>0.0</v>
      </c>
      <c r="O133" s="6" t="b">
        <v>1</v>
      </c>
      <c r="P133" s="6">
        <v>161</v>
      </c>
    </row>
    <row r="134" ht="17" customHeight="1">
      <c r="A134" s="0">
        <v>157</v>
      </c>
      <c r="B134" s="0" t="inlineStr">
        <is>
          <t>P017</t>
        </is>
      </c>
      <c r="C134" s="0" t="inlineStr">
        <is>
          <t>2026-10-02 14:48:48.912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Failed</t>
        </is>
      </c>
      <c r="G134" s="0" t="inlineStr">
        <is>
          <t>Easy</t>
        </is>
      </c>
      <c r="H134" s="4">
        <v>170.0049</v>
      </c>
      <c r="I134" s="4">
        <v>170.3423</v>
      </c>
      <c r="J134" s="4">
        <v>0.3374</v>
      </c>
      <c r="K134" s="4">
        <v>0.3374</v>
      </c>
      <c r="N134" s="4">
        <v>1.0</v>
      </c>
      <c r="O134" s="0" t="b">
        <v>0</v>
      </c>
      <c r="P134" s="0">
        <v>162</v>
      </c>
    </row>
    <row r="135" ht="17" customHeight="1">
      <c r="A135" s="6">
        <v>158</v>
      </c>
      <c r="B135" s="6" t="inlineStr">
        <is>
          <t>P017</t>
        </is>
      </c>
      <c r="C135" s="6" t="inlineStr">
        <is>
          <t>2026-10-02 14:48:50.829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Success</t>
        </is>
      </c>
      <c r="G135" s="6" t="inlineStr">
        <is>
          <t>Easy</t>
        </is>
      </c>
      <c r="H135" s="4">
        <v>172.3037</v>
      </c>
      <c r="I135" s="4">
        <v>172.2599</v>
      </c>
      <c r="J135" s="4">
        <v>-0.0438</v>
      </c>
      <c r="K135" s="4">
        <v>0.0438</v>
      </c>
      <c r="N135" s="4">
        <v>1.0</v>
      </c>
      <c r="O135" s="6" t="b">
        <v>1</v>
      </c>
      <c r="P135" s="6">
        <v>163</v>
      </c>
    </row>
    <row r="136" ht="17" customHeight="1">
      <c r="A136" s="0">
        <v>159</v>
      </c>
      <c r="B136" s="0" t="inlineStr">
        <is>
          <t>P017</t>
        </is>
      </c>
      <c r="C136" s="0" t="inlineStr">
        <is>
          <t>2026-10-02 14:48:53.817</t>
        </is>
      </c>
      <c r="D136" s="0" t="inlineStr">
        <is>
          <t>Jeremy</t>
        </is>
      </c>
      <c r="E136" s="0" t="inlineStr">
        <is>
          <t>SwordCut</t>
        </is>
      </c>
      <c r="F136" s="0" t="inlineStr">
        <is>
          <t>Missed</t>
        </is>
      </c>
      <c r="G136" s="0" t="inlineStr">
        <is>
          <t>Easy</t>
        </is>
      </c>
      <c r="H136" s="4">
        <v>174.6024</v>
      </c>
      <c r="P136" s="0">
        <v>164</v>
      </c>
    </row>
    <row r="137" ht="17" customHeight="1">
      <c r="A137" s="6">
        <v>162</v>
      </c>
      <c r="B137" s="6" t="inlineStr">
        <is>
          <t>P017</t>
        </is>
      </c>
      <c r="C137" s="6" t="inlineStr">
        <is>
          <t>2026-10-02 14:48:56.107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Missed</t>
        </is>
      </c>
      <c r="G137" s="6" t="inlineStr">
        <is>
          <t>Easy</t>
        </is>
      </c>
      <c r="H137" s="4">
        <v>176.9012</v>
      </c>
      <c r="P137" s="6">
        <v>167</v>
      </c>
    </row>
    <row r="138" ht="17" customHeight="1">
      <c r="A138" s="0">
        <v>163</v>
      </c>
      <c r="B138" s="0" t="inlineStr">
        <is>
          <t>P017</t>
        </is>
      </c>
      <c r="C138" s="0" t="inlineStr">
        <is>
          <t>2026-10-02 14:48:57.940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Success</t>
        </is>
      </c>
      <c r="G138" s="0" t="inlineStr">
        <is>
          <t>Easy</t>
        </is>
      </c>
      <c r="H138" s="4">
        <v>179.2</v>
      </c>
      <c r="I138" s="4">
        <v>179.3707</v>
      </c>
      <c r="J138" s="4">
        <v>0.1708</v>
      </c>
      <c r="K138" s="4">
        <v>0.1708</v>
      </c>
      <c r="N138" s="4">
        <v>1.0</v>
      </c>
      <c r="O138" s="0" t="b">
        <v>1</v>
      </c>
      <c r="P138" s="0">
        <v>168</v>
      </c>
    </row>
    <row r="139" ht="17" customHeight="1">
      <c r="A139" s="6">
        <v>165</v>
      </c>
      <c r="B139" s="6" t="inlineStr">
        <is>
          <t>P017</t>
        </is>
      </c>
      <c r="C139" s="6" t="inlineStr">
        <is>
          <t>2026-10-02 14:48:59.870</t>
        </is>
      </c>
      <c r="D139" s="6" t="inlineStr">
        <is>
          <t>Jeremy</t>
        </is>
      </c>
      <c r="E139" s="6" t="inlineStr">
        <is>
          <t>SwordCut</t>
        </is>
      </c>
      <c r="F139" s="6" t="inlineStr">
        <is>
          <t>Success</t>
        </is>
      </c>
      <c r="G139" s="6" t="inlineStr">
        <is>
          <t>Easy</t>
        </is>
      </c>
      <c r="H139" s="4">
        <v>181.4988</v>
      </c>
      <c r="I139" s="4">
        <v>181.3011</v>
      </c>
      <c r="J139" s="4">
        <v>-0.1977</v>
      </c>
      <c r="K139" s="4">
        <v>0.1977</v>
      </c>
      <c r="N139" s="4">
        <v>1.0</v>
      </c>
      <c r="O139" s="6" t="b">
        <v>1</v>
      </c>
      <c r="P139" s="6">
        <v>170</v>
      </c>
    </row>
  </sheetData>
  <autoFilter ref="A1:P139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32</v>
      </c>
      <c r="B2" s="0" t="inlineStr">
        <is>
          <t>2026-10-02 14:46:11.292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37</v>
      </c>
    </row>
    <row r="3" ht="17" customHeight="1">
      <c r="A3" s="6">
        <v>61</v>
      </c>
      <c r="B3" s="6" t="inlineStr">
        <is>
          <t>2026-10-02 14:46:47.388</t>
        </is>
      </c>
      <c r="C3" s="6" t="inlineStr">
        <is>
          <t>Joaquin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66</v>
      </c>
    </row>
    <row r="4" ht="17" customHeight="1">
      <c r="A4" s="0">
        <v>73</v>
      </c>
      <c r="B4" s="0" t="inlineStr">
        <is>
          <t>2026-10-02 14:47:00.303</t>
        </is>
      </c>
      <c r="C4" s="0" t="inlineStr">
        <is>
          <t>Joaquin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78</v>
      </c>
    </row>
    <row r="5" ht="17" customHeight="1">
      <c r="A5" s="6">
        <v>114</v>
      </c>
      <c r="B5" s="6" t="inlineStr">
        <is>
          <t>2026-10-02 14:48:00.235</t>
        </is>
      </c>
      <c r="C5" s="6" t="inlineStr">
        <is>
          <t>JuanAndres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0.88</v>
      </c>
      <c r="I5" s="6">
        <v>119</v>
      </c>
    </row>
    <row r="6" ht="17" customHeight="1">
      <c r="A6" s="0">
        <v>127</v>
      </c>
      <c r="B6" s="0" t="inlineStr">
        <is>
          <t>2026-10-02 14:48:08.607</t>
        </is>
      </c>
      <c r="C6" s="0" t="inlineStr">
        <is>
          <t>Danniel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0.25</v>
      </c>
      <c r="I6" s="0">
        <v>132</v>
      </c>
    </row>
  </sheetData>
  <autoFilter ref="A1:I6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14:45:58.571</t>
        </is>
      </c>
      <c r="C2" s="0" t="inlineStr">
        <is>
          <t>Idle</t>
        </is>
      </c>
      <c r="D2" s="0">
        <v>6</v>
      </c>
    </row>
    <row r="3" ht="17" customHeight="1">
      <c r="A3" s="6">
        <v>4</v>
      </c>
      <c r="B3" s="6" t="inlineStr">
        <is>
          <t>2026-10-02 14:46:00.223</t>
        </is>
      </c>
      <c r="C3" s="6" t="inlineStr">
        <is>
          <t>Engaged</t>
        </is>
      </c>
      <c r="D3" s="6">
        <v>9</v>
      </c>
    </row>
    <row r="4" ht="17" customHeight="1">
      <c r="A4" s="0">
        <v>31</v>
      </c>
      <c r="B4" s="0" t="inlineStr">
        <is>
          <t>2026-10-02 14:46:11.291</t>
        </is>
      </c>
      <c r="C4" s="0" t="inlineStr">
        <is>
          <t>Overloaded</t>
        </is>
      </c>
      <c r="D4" s="0">
        <v>36</v>
      </c>
    </row>
    <row r="5" ht="17" customHeight="1">
      <c r="A5" s="6">
        <v>33</v>
      </c>
      <c r="B5" s="6" t="inlineStr">
        <is>
          <t>2026-10-02 14:46:11.292</t>
        </is>
      </c>
      <c r="C5" s="6" t="inlineStr">
        <is>
          <t>Engaged</t>
        </is>
      </c>
      <c r="D5" s="6">
        <v>38</v>
      </c>
    </row>
    <row r="6" ht="17" customHeight="1">
      <c r="A6" s="0">
        <v>72</v>
      </c>
      <c r="B6" s="0" t="inlineStr">
        <is>
          <t>2026-10-02 14:47:00.303</t>
        </is>
      </c>
      <c r="C6" s="0" t="inlineStr">
        <is>
          <t>Overloaded</t>
        </is>
      </c>
      <c r="D6" s="0">
        <v>77</v>
      </c>
    </row>
    <row r="7" ht="17" customHeight="1">
      <c r="A7" s="6">
        <v>74</v>
      </c>
      <c r="B7" s="6" t="inlineStr">
        <is>
          <t>2026-10-02 14:47:00.316</t>
        </is>
      </c>
      <c r="C7" s="6" t="inlineStr">
        <is>
          <t>Engaged</t>
        </is>
      </c>
      <c r="D7" s="6">
        <v>79</v>
      </c>
    </row>
    <row r="8" ht="17" customHeight="1">
      <c r="A8" s="0">
        <v>76</v>
      </c>
      <c r="B8" s="0" t="inlineStr">
        <is>
          <t>2026-10-02 14:47:05.664</t>
        </is>
      </c>
      <c r="C8" s="0" t="inlineStr">
        <is>
          <t>Idle</t>
        </is>
      </c>
      <c r="D8" s="0">
        <v>81</v>
      </c>
    </row>
    <row r="9" ht="17" customHeight="1">
      <c r="A9" s="6">
        <v>78</v>
      </c>
      <c r="B9" s="6" t="inlineStr">
        <is>
          <t>2026-10-02 14:47:05.734</t>
        </is>
      </c>
      <c r="C9" s="6" t="inlineStr">
        <is>
          <t>Engaged</t>
        </is>
      </c>
      <c r="D9" s="6">
        <v>83</v>
      </c>
    </row>
    <row r="10" ht="17" customHeight="1">
      <c r="A10" s="0">
        <v>83</v>
      </c>
      <c r="B10" s="0" t="inlineStr">
        <is>
          <t>2026-10-02 14:47:13.413</t>
        </is>
      </c>
      <c r="C10" s="0" t="inlineStr">
        <is>
          <t>Overloaded</t>
        </is>
      </c>
      <c r="D10" s="0">
        <v>88</v>
      </c>
    </row>
    <row r="11" ht="17" customHeight="1">
      <c r="A11" s="6">
        <v>94</v>
      </c>
      <c r="B11" s="6" t="inlineStr">
        <is>
          <t>2026-10-02 14:47:34.805</t>
        </is>
      </c>
      <c r="C11" s="6" t="inlineStr">
        <is>
          <t>Engaged</t>
        </is>
      </c>
      <c r="D11" s="6">
        <v>99</v>
      </c>
    </row>
    <row r="12" ht="17" customHeight="1">
      <c r="A12" s="0">
        <v>99</v>
      </c>
      <c r="B12" s="0" t="inlineStr">
        <is>
          <t>2026-10-02 14:47:40.375</t>
        </is>
      </c>
      <c r="C12" s="0" t="inlineStr">
        <is>
          <t>Overloaded</t>
        </is>
      </c>
      <c r="D12" s="0">
        <v>104</v>
      </c>
    </row>
    <row r="13" ht="17" customHeight="1">
      <c r="A13" s="6">
        <v>112</v>
      </c>
      <c r="B13" s="6" t="inlineStr">
        <is>
          <t>2026-10-02 14:47:59.082</t>
        </is>
      </c>
      <c r="C13" s="6" t="inlineStr">
        <is>
          <t>Engaged</t>
        </is>
      </c>
      <c r="D13" s="6">
        <v>117</v>
      </c>
    </row>
    <row r="14" ht="17" customHeight="1">
      <c r="A14" s="0">
        <v>115</v>
      </c>
      <c r="B14" s="0" t="inlineStr">
        <is>
          <t>2026-10-02 14:48:05.229</t>
        </is>
      </c>
      <c r="C14" s="0" t="inlineStr">
        <is>
          <t>Idle</t>
        </is>
      </c>
      <c r="D14" s="0">
        <v>120</v>
      </c>
    </row>
    <row r="15" ht="17" customHeight="1">
      <c r="A15" s="6">
        <v>121</v>
      </c>
      <c r="B15" s="6" t="inlineStr">
        <is>
          <t>2026-10-02 14:48:07.287</t>
        </is>
      </c>
      <c r="C15" s="6" t="inlineStr">
        <is>
          <t>Engaged</t>
        </is>
      </c>
      <c r="D15" s="6">
        <v>126</v>
      </c>
    </row>
    <row r="16" ht="17" customHeight="1">
      <c r="A16" s="0">
        <v>126</v>
      </c>
      <c r="B16" s="0" t="inlineStr">
        <is>
          <t>2026-10-02 14:48:08.607</t>
        </is>
      </c>
      <c r="C16" s="0" t="inlineStr">
        <is>
          <t>Overloaded</t>
        </is>
      </c>
      <c r="D16" s="0">
        <v>131</v>
      </c>
    </row>
    <row r="17" ht="17" customHeight="1">
      <c r="A17" s="6">
        <v>128</v>
      </c>
      <c r="B17" s="6" t="inlineStr">
        <is>
          <t>2026-10-02 14:48:08.609</t>
        </is>
      </c>
      <c r="C17" s="6" t="inlineStr">
        <is>
          <t>Engaged</t>
        </is>
      </c>
      <c r="D17" s="6">
        <v>133</v>
      </c>
    </row>
    <row r="18" ht="17" customHeight="1">
      <c r="A18" s="0">
        <v>134</v>
      </c>
      <c r="B18" s="0" t="inlineStr">
        <is>
          <t>2026-10-02 14:48:12.829</t>
        </is>
      </c>
      <c r="C18" s="0" t="inlineStr">
        <is>
          <t>Overloaded</t>
        </is>
      </c>
      <c r="D18" s="0">
        <v>139</v>
      </c>
    </row>
    <row r="19" ht="17" customHeight="1">
      <c r="A19" s="6">
        <v>153</v>
      </c>
      <c r="B19" s="6" t="inlineStr">
        <is>
          <t>2026-10-02 14:48:38.871</t>
        </is>
      </c>
      <c r="C19" s="6" t="inlineStr">
        <is>
          <t>Idle</t>
        </is>
      </c>
      <c r="D19" s="6">
        <v>158</v>
      </c>
    </row>
    <row r="20" ht="17" customHeight="1">
      <c r="A20" s="0">
        <v>155</v>
      </c>
      <c r="B20" s="0" t="inlineStr">
        <is>
          <t>2026-10-02 14:48:44.148</t>
        </is>
      </c>
      <c r="C20" s="0" t="inlineStr">
        <is>
          <t>Engaged</t>
        </is>
      </c>
      <c r="D20" s="0">
        <v>160</v>
      </c>
    </row>
    <row r="21" ht="17" customHeight="1">
      <c r="A21" s="6">
        <v>160</v>
      </c>
      <c r="B21" s="6" t="inlineStr">
        <is>
          <t>2026-10-02 14:48:53.817</t>
        </is>
      </c>
      <c r="C21" s="6" t="inlineStr">
        <is>
          <t>Overloaded</t>
        </is>
      </c>
      <c r="D21" s="6">
        <v>165</v>
      </c>
    </row>
    <row r="22" ht="17" customHeight="1">
      <c r="A22" s="0">
        <v>161</v>
      </c>
      <c r="B22" s="0" t="inlineStr">
        <is>
          <t>2026-10-02 14:48:55.830</t>
        </is>
      </c>
      <c r="C22" s="0" t="inlineStr">
        <is>
          <t>Idle</t>
        </is>
      </c>
      <c r="D22" s="0">
        <v>166</v>
      </c>
    </row>
    <row r="23" ht="17" customHeight="1">
      <c r="A23" s="6">
        <v>164</v>
      </c>
      <c r="B23" s="6" t="inlineStr">
        <is>
          <t>2026-10-02 14:48:57.940</t>
        </is>
      </c>
      <c r="C23" s="6" t="inlineStr">
        <is>
          <t>Engaged</t>
        </is>
      </c>
      <c r="D23" s="6">
        <v>169</v>
      </c>
    </row>
    <row r="24" ht="17" customHeight="1">
      <c r="A24" s="0">
        <v>166</v>
      </c>
      <c r="B24" s="0" t="inlineStr">
        <is>
          <t>2026-10-02 14:49:04.869</t>
        </is>
      </c>
      <c r="C24" s="0" t="inlineStr">
        <is>
          <t>Idle</t>
        </is>
      </c>
      <c r="D24" s="0">
        <v>171</v>
      </c>
    </row>
  </sheetData>
  <autoFilter ref="A1:D24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67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14:45:58.571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14:45:58.571 | PlayerState: Idle</t>
        </is>
      </c>
    </row>
    <row r="3" ht="17" customHeight="1">
      <c r="A3" s="6">
        <v>2</v>
      </c>
      <c r="B3" s="6" t="inlineStr">
        <is>
          <t>2026-10-02 14:45:59.790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Missed</t>
        </is>
      </c>
      <c r="G3" s="6" t="inlineStr">
        <is>
          <t>Normal</t>
        </is>
      </c>
      <c r="M3" s="6">
        <v>7</v>
      </c>
      <c r="N3" s="6" t="inlineStr">
        <is>
          <t>2026-10-02 14:45:59.790 | Minigame: Alex | Type: HammerTouch | Outcome: Missed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14:46:00.223</t>
        </is>
      </c>
      <c r="C4" s="0" t="inlineStr">
        <is>
          <t>Interaction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M4" s="0">
        <v>8</v>
      </c>
      <c r="N4" s="0" t="inlineStr">
        <is>
          <t>2026-10-02 14:46:00.223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5" ht="17" customHeight="1">
      <c r="A5" s="6">
        <v>4</v>
      </c>
      <c r="B5" s="6" t="inlineStr">
        <is>
          <t>2026-10-02 14:46:00.223</t>
        </is>
      </c>
      <c r="C5" s="6" t="inlineStr">
        <is>
          <t>PlayerState</t>
        </is>
      </c>
      <c r="H5" s="6" t="inlineStr">
        <is>
          <t>Engaged</t>
        </is>
      </c>
      <c r="M5" s="6">
        <v>9</v>
      </c>
      <c r="N5" s="6" t="inlineStr">
        <is>
          <t>2026-10-02 14:46:00.223 | PlayerState: Engaged</t>
        </is>
      </c>
    </row>
    <row r="6" ht="17" customHeight="1">
      <c r="A6" s="0">
        <v>5</v>
      </c>
      <c r="B6" s="0" t="inlineStr">
        <is>
          <t>2026-10-02 14:46:00.250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K6" s="4">
        <v>0.0295</v>
      </c>
      <c r="M6" s="0">
        <v>10</v>
      </c>
      <c r="N6" s="0" t="inlineStr">
        <is>
          <t>2026-10-02 14:46:00.250 | Minigame: Alex | Type: HammerHit | Outcome: Failed | Difficulty: Normal | ExpectedTime: 1.6640 | ActualTime: 1.6935 | TimingOffset: 0.0295 | TimingError: 0.0295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14:46:01.041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14:46:01.041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14:46:01.304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14:46:01.304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14:46:01.791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14:46:01.791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14:46:02.082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14:46:02.082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14:46:02.528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0.003</v>
      </c>
      <c r="M11" s="6">
        <v>15</v>
      </c>
      <c r="N11" s="6" t="inlineStr">
        <is>
          <t>2026-10-02 14:46:02.528 | Minigame: Alex | Type: HammerHit | Outcome: Success | Difficulty: Normal | ExpectedTime: 3.9680 | ActualTime: 3.9710 | TimingOffset: 0.0030 | TimingError: 0.0030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14:46:03.291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K12" s="4">
        <v>0.0015</v>
      </c>
      <c r="M12" s="0">
        <v>16</v>
      </c>
      <c r="N12" s="0" t="inlineStr">
        <is>
          <t>2026-10-02 14:46:03.291 | Minigame: Alex | Type: HammerHit | Outcome: Failed | Difficulty: Normal | ExpectedTime: 4.7360 | ActualTime: 4.7345 | TimingOffset: -0.0015 | TimingError: 0.0015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14:46:03.291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0.0015</v>
      </c>
      <c r="M13" s="6">
        <v>17</v>
      </c>
      <c r="N13" s="6" t="inlineStr">
        <is>
          <t>2026-10-02 14:46:03.291 | Minigame: Alex | Type: HammerHit | Outcome: Success | Difficulty: Normal | ExpectedTime: 4.7360 | ActualTime: 4.7345 | TimingOffset: -0.0015 | TimingError: 0.0015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14:46:04.110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K14" s="4">
        <v>0.0358</v>
      </c>
      <c r="M14" s="0">
        <v>18</v>
      </c>
      <c r="N14" s="0" t="inlineStr">
        <is>
          <t>2026-10-02 14:46:04.110 | Minigame: Alex | Type: HammerHit | Outcome: Success | Difficulty: Normal | ExpectedTime: 5.5040 | ActualTime: 5.5398 | TimingOffset: 0.0358 | TimingError: 0.0358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14:46:04.833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K15" s="4">
        <v>0.0039</v>
      </c>
      <c r="M15" s="6">
        <v>19</v>
      </c>
      <c r="N15" s="6" t="inlineStr">
        <is>
          <t>2026-10-02 14:46:04.833 | Minigame: Alex | Type: HammerHit | Outcome: Success | Difficulty: Normal | ExpectedTime: 6.2720 | ActualTime: 6.2759 | TimingOffset: 0.0039 | TimingError: 0.0039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14:46:04.847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M16" s="0">
        <v>20</v>
      </c>
      <c r="N16" s="0" t="inlineStr">
        <is>
          <t>2026-10-02 14:46:04.847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14:46:05.624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K17" s="4">
        <v>0.0137</v>
      </c>
      <c r="M17" s="6">
        <v>21</v>
      </c>
      <c r="N17" s="6" t="inlineStr">
        <is>
          <t>2026-10-02 14:46:05.624 | Minigame: Alex | Type: HammerHit | Outcome: Success | Difficulty: Normal | ExpectedTime: 7.0400 | ActualTime: 7.0537 | TimingOffset: 0.0137 | TimingError: 0.0137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14:46:06.360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Normal</t>
        </is>
      </c>
      <c r="K18" s="4">
        <v>0.0042</v>
      </c>
      <c r="M18" s="0">
        <v>22</v>
      </c>
      <c r="N18" s="0" t="inlineStr">
        <is>
          <t>2026-10-02 14:46:06.360 | Minigame: Alex | Type: HammerHit | Outcome: Failed | Difficulty: Normal | ExpectedTime: 7.8080 | ActualTime: 7.8038 | TimingOffset: -0.0042 | TimingError: 0.0042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14:46:06.361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Failed</t>
        </is>
      </c>
      <c r="G19" s="6" t="inlineStr">
        <is>
          <t>Normal</t>
        </is>
      </c>
      <c r="K19" s="4">
        <v>0.0042</v>
      </c>
      <c r="M19" s="6">
        <v>23</v>
      </c>
      <c r="N19" s="6" t="inlineStr">
        <is>
          <t>2026-10-02 14:46:06.361 | Minigame: Alex | Type: HammerHit | Outcome: Failed | Difficulty: Normal | ExpectedTime: 7.8080 | ActualTime: 7.8038 | TimingOffset: -0.0042 | TimingError: 0.0042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14:46:07.166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K20" s="4">
        <v>0.0335</v>
      </c>
      <c r="M20" s="0">
        <v>24</v>
      </c>
      <c r="N20" s="0" t="inlineStr">
        <is>
          <t>2026-10-02 14:46:07.166 | Minigame: Alex | Type: HammerHit | Outcome: Success | Difficulty: Normal | ExpectedTime: 8.5760 | ActualTime: 8.6095 | TimingOffset: 0.0335 | TimingError: 0.0335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14:46:07.221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Normal</t>
        </is>
      </c>
      <c r="M21" s="6">
        <v>25</v>
      </c>
      <c r="N21" s="6" t="inlineStr">
        <is>
          <t>2026-10-02 14:46:07.221 | Minigame: Alex | Type: HammerTouch | Outcome: Success | Difficulty: Normal | ExpectedTime: 8.5760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14:46:07.930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K22" s="4">
        <v>0.0292</v>
      </c>
      <c r="M22" s="0">
        <v>26</v>
      </c>
      <c r="N22" s="0" t="inlineStr">
        <is>
          <t>2026-10-02 14:46:07.930 | Minigame: Alex | Type: HammerHit | Outcome: Success | Difficulty: Normal | ExpectedTime: 9.3440 | ActualTime: 9.3732 | TimingOffset: 0.0292 | TimingError: 0.0292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14:46:07.942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K23" s="4">
        <v>0.0292</v>
      </c>
      <c r="M23" s="6">
        <v>27</v>
      </c>
      <c r="N23" s="6" t="inlineStr">
        <is>
          <t>2026-10-02 14:46:07.942 | Minigame: Alex | Type: HammerHit | Outcome: Success | Difficulty: Normal | ExpectedTime: 9.3440 | ActualTime: 9.3732 | TimingOffset: 0.0292 | TimingError: 0.0292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14:46:08.666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Normal</t>
        </is>
      </c>
      <c r="K24" s="4">
        <v>0.0026</v>
      </c>
      <c r="M24" s="0">
        <v>28</v>
      </c>
      <c r="N24" s="0" t="inlineStr">
        <is>
          <t>2026-10-02 14:46:08.666 | Minigame: Alex | Type: HammerHit | Outcome: Failed | Difficulty: Normal | ExpectedTime: 10.1120 | ActualTime: 10.1094 | TimingOffset: -0.0026 | TimingError: 0.0026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14:46:08.707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Normal</t>
        </is>
      </c>
      <c r="M25" s="6">
        <v>29</v>
      </c>
      <c r="N25" s="6" t="inlineStr">
        <is>
          <t>2026-10-02 14:46:08.707 | Minigame: Alex | Type: HammerHit | Outcome: Success | Difficulty: Normal | ExpectedTime: 10.1120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14:46:09.429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Normal</t>
        </is>
      </c>
      <c r="K26" s="4">
        <v>0.0068</v>
      </c>
      <c r="M26" s="0">
        <v>30</v>
      </c>
      <c r="N26" s="0" t="inlineStr">
        <is>
          <t>2026-10-02 14:46:09.429 | Minigame: Alex | Type: HammerHit | Outcome: Failed | Difficulty: Normal | ExpectedTime: 10.8800 | ActualTime: 10.8732 | TimingOffset: -0.0068 | TimingError: 0.0068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14:46:09.471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Failed</t>
        </is>
      </c>
      <c r="G27" s="6" t="inlineStr">
        <is>
          <t>Normal</t>
        </is>
      </c>
      <c r="M27" s="6">
        <v>31</v>
      </c>
      <c r="N27" s="6" t="inlineStr">
        <is>
          <t>2026-10-02 14:46:09.471 | Minigame: Alex | Type: HammerTouch | Outcome: Failed | Difficulty: Normal | ExpectedTime: 10.8800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14:46:10.208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Normal</t>
        </is>
      </c>
      <c r="K28" s="4">
        <v>0.0032</v>
      </c>
      <c r="M28" s="0">
        <v>32</v>
      </c>
      <c r="N28" s="0" t="inlineStr">
        <is>
          <t>2026-10-02 14:46:10.208 | Minigame: Alex | Type: HammerHit | Outcome: Success | Difficulty: Normal | ExpectedTime: 11.6480 | ActualTime: 11.6512 | TimingOffset: 0.0032 | TimingError: 0.0032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14:46:10.263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Normal</t>
        </is>
      </c>
      <c r="M29" s="6">
        <v>33</v>
      </c>
      <c r="N29" s="6" t="inlineStr">
        <is>
          <t>2026-10-02 14:46:10.263 | Minigame: Alex | Type: HammerTouch | Outcome: Success | Difficulty: Normal | ExpectedTime: 11.6480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14:46:10.986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Normal</t>
        </is>
      </c>
      <c r="K30" s="4">
        <v>0.0131</v>
      </c>
      <c r="M30" s="0">
        <v>34</v>
      </c>
      <c r="N30" s="0" t="inlineStr">
        <is>
          <t>2026-10-02 14:46:10.986 | Minigame: Alex | Type: HammerHit | Outcome: Failed | Difficulty: Normal | ExpectedTime: 12.4160 | ActualTime: 12.4291 | TimingOffset: 0.0131 | TimingError: 0.0131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14:46:11.291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Normal</t>
        </is>
      </c>
      <c r="M31" s="6">
        <v>35</v>
      </c>
      <c r="N31" s="6" t="inlineStr">
        <is>
          <t>2026-10-02 14:46:11.291 | Minigame: Alex | Type: HammerTouch | Outcome: Missed | Difficulty: Normal | ExpectedTime: 12.4160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14:46:11.291</t>
        </is>
      </c>
      <c r="C32" s="0" t="inlineStr">
        <is>
          <t>PlayerState</t>
        </is>
      </c>
      <c r="H32" s="0" t="inlineStr">
        <is>
          <t>Overloaded</t>
        </is>
      </c>
      <c r="M32" s="0">
        <v>36</v>
      </c>
      <c r="N32" s="0" t="inlineStr">
        <is>
          <t>2026-10-02 14:46:11.291 | PlayerState: Overloaded</t>
        </is>
      </c>
    </row>
    <row r="33" ht="17" customHeight="1">
      <c r="A33" s="6">
        <v>32</v>
      </c>
      <c r="B33" s="6" t="inlineStr">
        <is>
          <t>2026-10-02 14:46:11.292</t>
        </is>
      </c>
      <c r="C33" s="6" t="inlineStr">
        <is>
          <t>DifficultyChanged</t>
        </is>
      </c>
      <c r="D33" s="6" t="inlineStr">
        <is>
          <t>Alex</t>
        </is>
      </c>
      <c r="I33" s="6" t="inlineStr">
        <is>
          <t>Normal -&gt; Easy</t>
        </is>
      </c>
      <c r="J33" s="6" t="inlineStr">
        <is>
          <t>PlayerState: Overloaded</t>
        </is>
      </c>
      <c r="M33" s="6">
        <v>37</v>
      </c>
      <c r="N33" s="6" t="inlineStr">
        <is>
          <t>2026-10-02 14:46:11.292 | DifficultyChanged: Normal -&gt; Easy | Reason: PlayerState: Overloaded | Minigame: Alex | RecentSuccessRate: 0.50</t>
        </is>
      </c>
    </row>
    <row r="34" ht="17" customHeight="1">
      <c r="A34" s="0">
        <v>33</v>
      </c>
      <c r="B34" s="0" t="inlineStr">
        <is>
          <t>2026-10-02 14:46:11.292</t>
        </is>
      </c>
      <c r="C34" s="0" t="inlineStr">
        <is>
          <t>PlayerState</t>
        </is>
      </c>
      <c r="H34" s="0" t="inlineStr">
        <is>
          <t>Engaged</t>
        </is>
      </c>
      <c r="M34" s="0">
        <v>38</v>
      </c>
      <c r="N34" s="0" t="inlineStr">
        <is>
          <t>2026-10-02 14:46:11.292 | PlayerState: Engaged</t>
        </is>
      </c>
    </row>
    <row r="35" ht="17" customHeight="1">
      <c r="A35" s="6">
        <v>34</v>
      </c>
      <c r="B35" s="6" t="inlineStr">
        <is>
          <t>2026-10-02 14:46:11.722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0.0327</v>
      </c>
      <c r="M35" s="6">
        <v>39</v>
      </c>
      <c r="N35" s="6" t="inlineStr">
        <is>
          <t>2026-10-02 14:46:11.722 | Minigame: Alex | Type: HammerHit | Outcome: Success | Difficulty: Easy | ExpectedTime: 13.1840 | ActualTime: 13.1513 | TimingOffset: -0.0327 | TimingError: 0.0327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14:46:11.736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M36" s="0">
        <v>40</v>
      </c>
      <c r="N36" s="0" t="inlineStr">
        <is>
          <t>2026-10-02 14:46:11.736 | Minigame: Alex | Type: HammerHit | Outcome: Failed | Difficulty: Easy | ExpectedTime: 13.1840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14:46:13.263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0.0132</v>
      </c>
      <c r="M37" s="6">
        <v>41</v>
      </c>
      <c r="N37" s="6" t="inlineStr">
        <is>
          <t>2026-10-02 14:46:13.263 | Minigame: Alex | Type: HammerHit | Outcome: Success | Difficulty: Easy | ExpectedTime: 14.7200 | ActualTime: 14.7068 | TimingOffset: -0.0132 | TimingError: 0.0132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14:46:13.291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K38" s="4">
        <v>0.0147</v>
      </c>
      <c r="M38" s="0">
        <v>42</v>
      </c>
      <c r="N38" s="0" t="inlineStr">
        <is>
          <t>2026-10-02 14:46:13.291 | Minigame: Alex | Type: HammerHit | Outcome: Failed | Difficulty: Easy | ExpectedTime: 14.7200 | ActualTime: 14.7347 | TimingOffset: 0.0147 | TimingError: 0.0147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14:46:14.806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0.0073</v>
      </c>
      <c r="M39" s="6">
        <v>43</v>
      </c>
      <c r="N39" s="6" t="inlineStr">
        <is>
          <t>2026-10-02 14:46:14.806 | Minigame: Alex | Type: HammerHit | Outcome: Success | Difficulty: Easy | ExpectedTime: 16.2560 | ActualTime: 16.2487 | TimingOffset: -0.0073 | TimingError: 0.0073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14:46:16.347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Easy</t>
        </is>
      </c>
      <c r="K40" s="4">
        <v>0.0012</v>
      </c>
      <c r="M40" s="0">
        <v>44</v>
      </c>
      <c r="N40" s="0" t="inlineStr">
        <is>
          <t>2026-10-02 14:46:16.347 | Minigame: Alex | Type: HammerHit | Outcome: Failed | Difficulty: Easy | ExpectedTime: 17.7920 | ActualTime: 17.7908 | TimingOffset: -0.0012 | TimingError: 0.0012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14:46:16.348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K41" s="4">
        <v>0.0012</v>
      </c>
      <c r="M41" s="6">
        <v>45</v>
      </c>
      <c r="N41" s="6" t="inlineStr">
        <is>
          <t>2026-10-02 14:46:16.348 | Minigame: Alex | Type: HammerHit | Outcome: Success | Difficulty: Easy | ExpectedTime: 17.7920 | ActualTime: 17.7908 | TimingOffset: -0.0012 | TimingError: 0.0012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14:46:17.889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0.005</v>
      </c>
      <c r="M42" s="0">
        <v>46</v>
      </c>
      <c r="N42" s="0" t="inlineStr">
        <is>
          <t>2026-10-02 14:46:17.889 | Minigame: Alex | Type: HammerHit | Outcome: Success | Difficulty: Easy | ExpectedTime: 19.3280 | ActualTime: 19.3330 | TimingOffset: 0.0050 | TimingError: 0.0050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14:46:19.431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Easy</t>
        </is>
      </c>
      <c r="K43" s="4">
        <v>0.0109</v>
      </c>
      <c r="M43" s="6">
        <v>47</v>
      </c>
      <c r="N43" s="6" t="inlineStr">
        <is>
          <t>2026-10-02 14:46:19.431 | Minigame: Alex | Type: HammerHit | Outcome: Failed | Difficulty: Easy | ExpectedTime: 20.8640 | ActualTime: 20.8749 | TimingOffset: 0.0109 | TimingError: 0.0109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14:46:19.432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K44" s="4">
        <v>0.0109</v>
      </c>
      <c r="M44" s="0">
        <v>48</v>
      </c>
      <c r="N44" s="0" t="inlineStr">
        <is>
          <t>2026-10-02 14:46:19.432 | Minigame: Alex | Type: HammerHit | Outcome: Success | Difficulty: Easy | ExpectedTime: 20.8640 | ActualTime: 20.8749 | TimingOffset: 0.0109 | TimingError: 0.0109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14:46:20.931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K45" s="4">
        <v>0.0246</v>
      </c>
      <c r="M45" s="6">
        <v>49</v>
      </c>
      <c r="N45" s="6" t="inlineStr">
        <is>
          <t>2026-10-02 14:46:20.931 | Minigame: Alex | Type: HammerHit | Outcome: Success | Difficulty: Easy | ExpectedTime: 22.4000 | ActualTime: 22.3754 | TimingOffset: -0.0246 | TimingError: 0.0246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14:46:22.474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K46" s="4">
        <v>0.0185</v>
      </c>
      <c r="M46" s="0">
        <v>50</v>
      </c>
      <c r="N46" s="0" t="inlineStr">
        <is>
          <t>2026-10-02 14:46:22.474 | Minigame: Alex | Type: HammerHit | Outcome: Success | Difficulty: Easy | ExpectedTime: 23.9360 | ActualTime: 23.9175 | TimingOffset: -0.0185 | TimingError: 0.0185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14:46:22.489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Failed</t>
        </is>
      </c>
      <c r="G47" s="6" t="inlineStr">
        <is>
          <t>Easy</t>
        </is>
      </c>
      <c r="K47" s="4">
        <v>0.0041</v>
      </c>
      <c r="M47" s="6">
        <v>51</v>
      </c>
      <c r="N47" s="6" t="inlineStr">
        <is>
          <t>2026-10-02 14:46:22.489 | Minigame: Alex | Type: HammerHit | Outcome: Failed | Difficulty: Easy | ExpectedTime: 23.9360 | ActualTime: 23.9319 | TimingOffset: -0.0041 | TimingError: 0.0041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14:46:24.029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Success</t>
        </is>
      </c>
      <c r="G48" s="0" t="inlineStr">
        <is>
          <t>Easy</t>
        </is>
      </c>
      <c r="M48" s="0">
        <v>52</v>
      </c>
      <c r="N48" s="0" t="inlineStr">
        <is>
          <t>2026-10-02 14:46:24.029 | Minigame: Alex | Type: HammerTouch | Outcome: Success | Difficulty: Easy | ExpectedTime: 25.4720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14:46:25.569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Failed</t>
        </is>
      </c>
      <c r="G49" s="6" t="inlineStr">
        <is>
          <t>Easy</t>
        </is>
      </c>
      <c r="K49" s="4">
        <v>0.0055</v>
      </c>
      <c r="M49" s="6">
        <v>53</v>
      </c>
      <c r="N49" s="6" t="inlineStr">
        <is>
          <t>2026-10-02 14:46:25.569 | Minigame: Alex | Type: HammerHit | Outcome: Failed | Difficulty: Easy | ExpectedTime: 27.0080 | ActualTime: 27.0135 | TimingOffset: 0.0055 | TimingError: 0.0055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14:46:25.569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Easy</t>
        </is>
      </c>
      <c r="K50" s="4">
        <v>0.0055</v>
      </c>
      <c r="M50" s="0">
        <v>54</v>
      </c>
      <c r="N50" s="0" t="inlineStr">
        <is>
          <t>2026-10-02 14:46:25.569 | Minigame: Alex | Type: HammerHit | Outcome: Success | Difficulty: Easy | ExpectedTime: 27.0080 | ActualTime: 27.0135 | TimingOffset: 0.0055 | TimingError: 0.0055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14:46:27.112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Easy</t>
        </is>
      </c>
      <c r="K51" s="4">
        <v>0.0113</v>
      </c>
      <c r="M51" s="6">
        <v>55</v>
      </c>
      <c r="N51" s="6" t="inlineStr">
        <is>
          <t>2026-10-02 14:46:27.112 | Minigame: Alex | Type: HammerHit | Outcome: Success | Difficulty: Easy | ExpectedTime: 28.5440 | ActualTime: 28.5553 | TimingOffset: 0.0113 | TimingError: 0.0113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14:46:28.627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Easy</t>
        </is>
      </c>
      <c r="M52" s="0">
        <v>56</v>
      </c>
      <c r="N52" s="0" t="inlineStr">
        <is>
          <t>2026-10-02 14:46:28.627 | Minigame: Alex | Type: HammerTouch | Outcome: Success | Difficulty: Easy | ExpectedTime: 30.0800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14:46:28.628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K53" s="4">
        <v>0.0097</v>
      </c>
      <c r="M53" s="6">
        <v>57</v>
      </c>
      <c r="N53" s="6" t="inlineStr">
        <is>
          <t>2026-10-02 14:46:28.628 | Minigame: Alex | Type: HammerHit | Outcome: Success | Difficulty: Easy | ExpectedTime: 30.0800 | ActualTime: 30.0703 | TimingOffset: -0.0097 | TimingError: 0.0097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14:46:32.526</t>
        </is>
      </c>
      <c r="C54" s="0" t="inlineStr">
        <is>
          <t>Interaction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Easy</t>
        </is>
      </c>
      <c r="K54" s="4">
        <v>0.036</v>
      </c>
      <c r="M54" s="0">
        <v>58</v>
      </c>
      <c r="N54" s="0" t="inlineStr">
        <is>
          <t>2026-10-02 14:46:32.526 | Minigame: Joaquin | Type: GuitarHit | Outcome: Success | Difficulty: Easy | ExpectedTime: 33.9200 | ActualTime: 33.9560 | TimingOffset: 0.0360 | TimingError: 0.0360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14:46:34.610</t>
        </is>
      </c>
      <c r="C55" s="6" t="inlineStr">
        <is>
          <t>Interaction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Easy</t>
        </is>
      </c>
      <c r="K55" s="4">
        <v>0.1843</v>
      </c>
      <c r="M55" s="6">
        <v>59</v>
      </c>
      <c r="N55" s="6" t="inlineStr">
        <is>
          <t>2026-10-02 14:46:34.610 | Minigame: Joaquin | Type: GuitarHit | Outcome: Success | Difficulty: Easy | ExpectedTime: 36.2240 | ActualTime: 36.0397 | TimingOffset: -0.1843 | TimingError: 0.1843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14:46:36.986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Easy</t>
        </is>
      </c>
      <c r="K56" s="4">
        <v>0.1125</v>
      </c>
      <c r="M56" s="0">
        <v>60</v>
      </c>
      <c r="N56" s="0" t="inlineStr">
        <is>
          <t>2026-10-02 14:46:36.986 | Minigame: Joaquin | Type: GuitarHit | Outcome: Success | Difficulty: Easy | ExpectedTime: 38.5280 | ActualTime: 38.4155 | TimingOffset: -0.1125 | TimingError: 0.1125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14:46:39.388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Easy</t>
        </is>
      </c>
      <c r="K57" s="4">
        <v>0.0138</v>
      </c>
      <c r="M57" s="6">
        <v>61</v>
      </c>
      <c r="N57" s="6" t="inlineStr">
        <is>
          <t>2026-10-02 14:46:39.388 | Minigame: Joaquin | Type: GuitarHit | Outcome: Success | Difficulty: Easy | ExpectedTime: 40.8320 | ActualTime: 40.8182 | TimingOffset: -0.0138 | TimingError: 0.0138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14:46:41.652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Easy</t>
        </is>
      </c>
      <c r="K58" s="4">
        <v>0.0544</v>
      </c>
      <c r="M58" s="0">
        <v>62</v>
      </c>
      <c r="N58" s="0" t="inlineStr">
        <is>
          <t>2026-10-02 14:46:41.652 | Minigame: Joaquin | Type: GuitarHit | Outcome: Success | Difficulty: Easy | ExpectedTime: 43.1360 | ActualTime: 43.0816 | TimingOffset: -0.0544 | TimingError: 0.0544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14:46:42.204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PlayerHit</t>
        </is>
      </c>
      <c r="F59" s="6" t="inlineStr">
        <is>
          <t>Failed</t>
        </is>
      </c>
      <c r="G59" s="6" t="inlineStr">
        <is>
          <t>Easy</t>
        </is>
      </c>
      <c r="M59" s="6">
        <v>63</v>
      </c>
      <c r="N59" s="6" t="inlineStr">
        <is>
          <t>2026-10-02 14:46:42.204 | Minigame: Joaquin | Type: PlayerHit | Outcome: Failed | Difficulty: Easy | ExpectedTime: 43.6345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14:46:45.109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Easy</t>
        </is>
      </c>
      <c r="K60" s="4">
        <v>0.0532</v>
      </c>
      <c r="M60" s="0">
        <v>64</v>
      </c>
      <c r="N60" s="0" t="inlineStr">
        <is>
          <t>2026-10-02 14:46:45.109 | Minigame: Joaquin | Type: GuitarHit | Outcome: Success | Difficulty: Easy | ExpectedTime: 46.5920 | ActualTime: 46.5388 | TimingOffset: -0.0532 | TimingError: 0.0532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14:46:47.387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Easy</t>
        </is>
      </c>
      <c r="K61" s="4">
        <v>0.0786</v>
      </c>
      <c r="M61" s="6">
        <v>65</v>
      </c>
      <c r="N61" s="6" t="inlineStr">
        <is>
          <t>2026-10-02 14:46:47.387 | Minigame: Joaquin | Type: GuitarHit | Outcome: Success | Difficulty: Easy | ExpectedTime: 48.8960 | ActualTime: 48.8174 | TimingOffset: -0.0786 | TimingError: 0.0786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14:46:47.388</t>
        </is>
      </c>
      <c r="C62" s="0" t="inlineStr">
        <is>
          <t>DifficultyChanged</t>
        </is>
      </c>
      <c r="D62" s="0" t="inlineStr">
        <is>
          <t>Joaquin</t>
        </is>
      </c>
      <c r="I62" s="0" t="inlineStr">
        <is>
          <t>Easy -&gt; Normal</t>
        </is>
      </c>
      <c r="J62" s="0" t="inlineStr">
        <is>
          <t>High recent performance</t>
        </is>
      </c>
      <c r="M62" s="0">
        <v>66</v>
      </c>
      <c r="N62" s="0" t="inlineStr">
        <is>
          <t>2026-10-02 14:46:47.388 | DifficultyChanged: Easy -&gt; Normal | Reason: High recent performance | Minigame: Joaquin | SuccessRate: 0.88</t>
        </is>
      </c>
    </row>
    <row r="63" ht="17" customHeight="1">
      <c r="A63" s="6">
        <v>62</v>
      </c>
      <c r="B63" s="6" t="inlineStr">
        <is>
          <t>2026-10-02 14:46:48.108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Normal</t>
        </is>
      </c>
      <c r="K63" s="4">
        <v>0.1246</v>
      </c>
      <c r="M63" s="6">
        <v>67</v>
      </c>
      <c r="N63" s="6" t="inlineStr">
        <is>
          <t>2026-10-02 14:46:48.108 | Minigame: Joaquin | Type: GuitarHit | Outcome: Success | Difficulty: Normal | ExpectedTime: 49.6640 | ActualTime: 49.5394 | TimingOffset: -0.1246 | TimingError: 0.1246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14:46:50.694</t>
        </is>
      </c>
      <c r="C64" s="0" t="inlineStr">
        <is>
          <t>Interaction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Normal</t>
        </is>
      </c>
      <c r="K64" s="4">
        <v>0.1561</v>
      </c>
      <c r="M64" s="0">
        <v>68</v>
      </c>
      <c r="N64" s="0" t="inlineStr">
        <is>
          <t>2026-10-02 14:46:50.694 | Minigame: Joaquin | Type: GuitarHit | Outcome: Success | Difficulty: Normal | ExpectedTime: 51.9680 | ActualTime: 52.1241 | TimingOffset: 0.1561 | TimingError: 0.1561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14:46:51.249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PlayerHit</t>
        </is>
      </c>
      <c r="F65" s="6" t="inlineStr">
        <is>
          <t>Failed</t>
        </is>
      </c>
      <c r="G65" s="6" t="inlineStr">
        <is>
          <t>Normal</t>
        </is>
      </c>
      <c r="M65" s="6">
        <v>69</v>
      </c>
      <c r="N65" s="6" t="inlineStr">
        <is>
          <t>2026-10-02 14:46:51.249 | Minigame: Joaquin | Type: PlayerHit | Outcome: Failed | Difficulty: Normal | ExpectedTime: 52.6784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14:46:53.831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Normal</t>
        </is>
      </c>
      <c r="K66" s="4">
        <v>0.1627</v>
      </c>
      <c r="M66" s="0">
        <v>70</v>
      </c>
      <c r="N66" s="0" t="inlineStr">
        <is>
          <t>2026-10-02 14:46:53.831 | Minigame: Joaquin | Type: GuitarHit | Outcome: Success | Difficulty: Normal | ExpectedTime: 55.4240 | ActualTime: 55.2613 | TimingOffset: -0.1627 | TimingError: 0.1627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14:46:54.525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PlayerHit</t>
        </is>
      </c>
      <c r="F67" s="6" t="inlineStr">
        <is>
          <t>Failed</t>
        </is>
      </c>
      <c r="G67" s="6" t="inlineStr">
        <is>
          <t>Normal</t>
        </is>
      </c>
      <c r="M67" s="6">
        <v>71</v>
      </c>
      <c r="N67" s="6" t="inlineStr">
        <is>
          <t>2026-10-02 14:46:54.525 | Minigame: Joaquin | Type: PlayerHit | Outcome: Failed | Difficulty: Normal | ExpectedTime: 55.9559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14:46:55.763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PlayerHit</t>
        </is>
      </c>
      <c r="F68" s="0" t="inlineStr">
        <is>
          <t>Failed</t>
        </is>
      </c>
      <c r="G68" s="0" t="inlineStr">
        <is>
          <t>Normal</t>
        </is>
      </c>
      <c r="M68" s="0">
        <v>72</v>
      </c>
      <c r="N68" s="0" t="inlineStr">
        <is>
          <t>2026-10-02 14:46:55.763 | Minigame: Joaquin | Type: PlayerHit | Outcome: Failed | Difficulty: Normal | ExpectedTime: 57.1922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14:46:56.193</t>
        </is>
      </c>
      <c r="C69" s="6" t="inlineStr">
        <is>
          <t>Interaction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Normal</t>
        </is>
      </c>
      <c r="K69" s="4">
        <v>0.1053</v>
      </c>
      <c r="M69" s="6">
        <v>73</v>
      </c>
      <c r="N69" s="6" t="inlineStr">
        <is>
          <t>2026-10-02 14:46:56.193 | Minigame: Joaquin | Type: GuitarHit | Outcome: Success | Difficulty: Normal | ExpectedTime: 57.7280 | ActualTime: 57.6227 | TimingOffset: -0.1053 | TimingError: 0.1053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14:46:58.721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Normal</t>
        </is>
      </c>
      <c r="K70" s="4">
        <v>0.1181</v>
      </c>
      <c r="M70" s="0">
        <v>74</v>
      </c>
      <c r="N70" s="0" t="inlineStr">
        <is>
          <t>2026-10-02 14:46:58.721 | Minigame: Joaquin | Type: GuitarHit | Outcome: Success | Difficulty: Normal | ExpectedTime: 60.0320 | ActualTime: 60.1501 | TimingOffset: 0.1181 | TimingError: 0.1181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14:46:59.081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PlayerHit</t>
        </is>
      </c>
      <c r="F71" s="6" t="inlineStr">
        <is>
          <t>Failed</t>
        </is>
      </c>
      <c r="G71" s="6" t="inlineStr">
        <is>
          <t>Normal</t>
        </is>
      </c>
      <c r="M71" s="6">
        <v>75</v>
      </c>
      <c r="N71" s="6" t="inlineStr">
        <is>
          <t>2026-10-02 14:46:59.081 | Minigame: Joaquin | Type: PlayerHit | Outcome: Failed | Difficulty: Normal | ExpectedTime: 60.5111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14:47:00.303</t>
        </is>
      </c>
      <c r="C72" s="0" t="inlineStr">
        <is>
          <t>Interaction</t>
        </is>
      </c>
      <c r="D72" s="0" t="inlineStr">
        <is>
          <t>Joaquin</t>
        </is>
      </c>
      <c r="E72" s="0" t="inlineStr">
        <is>
          <t>PlayerHit</t>
        </is>
      </c>
      <c r="F72" s="0" t="inlineStr">
        <is>
          <t>Failed</t>
        </is>
      </c>
      <c r="G72" s="0" t="inlineStr">
        <is>
          <t>Normal</t>
        </is>
      </c>
      <c r="M72" s="0">
        <v>76</v>
      </c>
      <c r="N72" s="0" t="inlineStr">
        <is>
          <t>2026-10-02 14:47:00.303 | Minigame: Joaquin | Type: PlayerHit | Outcome: Failed | Difficulty: Normal | ExpectedTime: 61.7325 | ActualTime: N/A | TimingOffset: N/A | TimingError: N/A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14:47:00.303</t>
        </is>
      </c>
      <c r="C73" s="6" t="inlineStr">
        <is>
          <t>PlayerState</t>
        </is>
      </c>
      <c r="H73" s="6" t="inlineStr">
        <is>
          <t>Overloaded</t>
        </is>
      </c>
      <c r="M73" s="6">
        <v>77</v>
      </c>
      <c r="N73" s="6" t="inlineStr">
        <is>
          <t>2026-10-02 14:47:00.303 | PlayerState: Overloaded</t>
        </is>
      </c>
    </row>
    <row r="74" ht="17" customHeight="1">
      <c r="A74" s="0">
        <v>73</v>
      </c>
      <c r="B74" s="0" t="inlineStr">
        <is>
          <t>2026-10-02 14:47:00.303</t>
        </is>
      </c>
      <c r="C74" s="0" t="inlineStr">
        <is>
          <t>DifficultyChanged</t>
        </is>
      </c>
      <c r="D74" s="0" t="inlineStr">
        <is>
          <t>Joaquin</t>
        </is>
      </c>
      <c r="I74" s="0" t="inlineStr">
        <is>
          <t>Normal -&gt; Easy</t>
        </is>
      </c>
      <c r="J74" s="0" t="inlineStr">
        <is>
          <t>PlayerState: Overloaded</t>
        </is>
      </c>
      <c r="M74" s="0">
        <v>78</v>
      </c>
      <c r="N74" s="0" t="inlineStr">
        <is>
          <t>2026-10-02 14:47:00.303 | DifficultyChanged: Normal -&gt; Easy | Reason: PlayerState: Overloaded | Minigame: Joaquin | RecentSuccessRate: 0.50</t>
        </is>
      </c>
    </row>
    <row r="75" ht="17" customHeight="1">
      <c r="A75" s="6">
        <v>74</v>
      </c>
      <c r="B75" s="6" t="inlineStr">
        <is>
          <t>2026-10-02 14:47:00.316</t>
        </is>
      </c>
      <c r="C75" s="6" t="inlineStr">
        <is>
          <t>PlayerState</t>
        </is>
      </c>
      <c r="H75" s="6" t="inlineStr">
        <is>
          <t>Engaged</t>
        </is>
      </c>
      <c r="M75" s="6">
        <v>79</v>
      </c>
      <c r="N75" s="6" t="inlineStr">
        <is>
          <t>2026-10-02 14:47:00.316 | PlayerState: Engaged</t>
        </is>
      </c>
    </row>
    <row r="76" ht="17" customHeight="1">
      <c r="A76" s="0">
        <v>75</v>
      </c>
      <c r="B76" s="0" t="inlineStr">
        <is>
          <t>2026-10-02 14:47:00.663</t>
        </is>
      </c>
      <c r="C76" s="0" t="inlineStr">
        <is>
          <t>Interaction</t>
        </is>
      </c>
      <c r="D76" s="0" t="inlineStr">
        <is>
          <t>Joaquin</t>
        </is>
      </c>
      <c r="E76" s="0" t="inlineStr">
        <is>
          <t>GuitarHit</t>
        </is>
      </c>
      <c r="F76" s="0" t="inlineStr">
        <is>
          <t>Success</t>
        </is>
      </c>
      <c r="G76" s="0" t="inlineStr">
        <is>
          <t>Easy</t>
        </is>
      </c>
      <c r="K76" s="4">
        <v>0.1419</v>
      </c>
      <c r="M76" s="0">
        <v>80</v>
      </c>
      <c r="N76" s="0" t="inlineStr">
        <is>
          <t>2026-10-02 14:47:00.663 | Minigame: Joaquin | Type: GuitarHit | Outcome: Success | Difficulty: Easy | ExpectedTime: 61.9520 | ActualTime: 62.0939 | TimingOffset: 0.1419 | TimingError: 0.1419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14:47:05.664</t>
        </is>
      </c>
      <c r="C77" s="6" t="inlineStr">
        <is>
          <t>PlayerState</t>
        </is>
      </c>
      <c r="H77" s="6" t="inlineStr">
        <is>
          <t>Idle</t>
        </is>
      </c>
      <c r="M77" s="6">
        <v>81</v>
      </c>
      <c r="N77" s="6" t="inlineStr">
        <is>
          <t>2026-10-02 14:47:05.664 | PlayerState: Idle</t>
        </is>
      </c>
    </row>
    <row r="78" ht="17" customHeight="1">
      <c r="A78" s="0">
        <v>77</v>
      </c>
      <c r="B78" s="0" t="inlineStr">
        <is>
          <t>2026-10-02 14:47:05.734</t>
        </is>
      </c>
      <c r="C78" s="0" t="inlineStr">
        <is>
          <t>Interaction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Failed</t>
        </is>
      </c>
      <c r="G78" s="0" t="inlineStr">
        <is>
          <t>Easy</t>
        </is>
      </c>
      <c r="K78" s="4">
        <v>0.4518</v>
      </c>
      <c r="L78" s="4">
        <v>0.6042</v>
      </c>
      <c r="M78" s="0">
        <v>82</v>
      </c>
      <c r="N78" s="0" t="inlineStr">
        <is>
          <t>2026-10-02 14:47:05.734 | Minigame: Shipi | Type: FoodCut | Outcome: Failed | Difficulty: Easy | ExpectedTime: 67.6160 | ActualTime: 67.1642 | TimingOffset: -0.4518 | TimingError: 0.4518 | ReactionTime: 0.6042 | SpatialAccuracy: N/A | DirectionAccuracy: 0.0000 | CorrectHand: N/A</t>
        </is>
      </c>
    </row>
    <row r="79" ht="17" customHeight="1">
      <c r="A79" s="6">
        <v>78</v>
      </c>
      <c r="B79" s="6" t="inlineStr">
        <is>
          <t>2026-10-02 14:47:05.734</t>
        </is>
      </c>
      <c r="C79" s="6" t="inlineStr">
        <is>
          <t>PlayerState</t>
        </is>
      </c>
      <c r="H79" s="6" t="inlineStr">
        <is>
          <t>Engaged</t>
        </is>
      </c>
      <c r="M79" s="6">
        <v>83</v>
      </c>
      <c r="N79" s="6" t="inlineStr">
        <is>
          <t>2026-10-02 14:47:05.734 | PlayerState: Engaged</t>
        </is>
      </c>
    </row>
    <row r="80" ht="17" customHeight="1">
      <c r="A80" s="0">
        <v>79</v>
      </c>
      <c r="B80" s="0" t="inlineStr">
        <is>
          <t>2026-10-02 14:47:07.220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Easy</t>
        </is>
      </c>
      <c r="K80" s="4">
        <v>0.8853</v>
      </c>
      <c r="L80" s="4">
        <v>0.1707</v>
      </c>
      <c r="M80" s="0">
        <v>84</v>
      </c>
      <c r="N80" s="0" t="inlineStr">
        <is>
          <t>2026-10-02 14:47:07.220 | Minigame: Shipi | Type: FoodCut | Outcome: Success | Difficulty: Easy | ExpectedTime: 69.5360 | ActualTime: 68.6507 | TimingOffset: -0.8853 | TimingError: 0.8853 | ReactionTime: 0.1707 | SpatialAccuracy: N/A | DirectionAccuracy: 1.0000 | CorrectHand: N/A</t>
        </is>
      </c>
    </row>
    <row r="81" ht="17" customHeight="1">
      <c r="A81" s="6">
        <v>80</v>
      </c>
      <c r="B81" s="6" t="inlineStr">
        <is>
          <t>2026-10-02 14:47:09.609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Easy</t>
        </is>
      </c>
      <c r="K81" s="4">
        <v>0.4169</v>
      </c>
      <c r="L81" s="4">
        <v>0.6391</v>
      </c>
      <c r="M81" s="6">
        <v>85</v>
      </c>
      <c r="N81" s="6" t="inlineStr">
        <is>
          <t>2026-10-02 14:47:09.609 | Minigame: Shipi | Type: FoodCut | Outcome: Failed | Difficulty: Easy | ExpectedTime: 71.4560 | ActualTime: 71.0391 | TimingOffset: -0.4169 | TimingError: 0.4169 | ReactionTime: 0.6391 | SpatialAccuracy: N/A | DirectionAccuracy: 0.0000 | CorrectHand: N/A</t>
        </is>
      </c>
    </row>
    <row r="82" ht="17" customHeight="1">
      <c r="A82" s="0">
        <v>81</v>
      </c>
      <c r="B82" s="0" t="inlineStr">
        <is>
          <t>2026-10-02 14:47:11.191</t>
        </is>
      </c>
      <c r="C82" s="0" t="inlineStr">
        <is>
          <t>Interaction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Failed</t>
        </is>
      </c>
      <c r="G82" s="0" t="inlineStr">
        <is>
          <t>Easy</t>
        </is>
      </c>
      <c r="K82" s="4">
        <v>0.7539</v>
      </c>
      <c r="L82" s="4">
        <v>0.3021</v>
      </c>
      <c r="M82" s="0">
        <v>86</v>
      </c>
      <c r="N82" s="0" t="inlineStr">
        <is>
          <t>2026-10-02 14:47:11.191 | Minigame: Shipi | Type: FoodCut | Outcome: Failed | Difficulty: Easy | ExpectedTime: 73.3760 | ActualTime: 72.6221 | TimingOffset: -0.7539 | TimingError: 0.7539 | ReactionTime: 0.3021 | SpatialAccuracy: N/A | DirectionAccuracy: 0.0000 | CorrectHand: N/A</t>
        </is>
      </c>
    </row>
    <row r="83" ht="17" customHeight="1">
      <c r="A83" s="6">
        <v>82</v>
      </c>
      <c r="B83" s="6" t="inlineStr">
        <is>
          <t>2026-10-02 14:47:13.413</t>
        </is>
      </c>
      <c r="C83" s="6" t="inlineStr">
        <is>
          <t>Interaction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Failed</t>
        </is>
      </c>
      <c r="G83" s="6" t="inlineStr">
        <is>
          <t>Easy</t>
        </is>
      </c>
      <c r="K83" s="4">
        <v>0.4521</v>
      </c>
      <c r="L83" s="4">
        <v>0.6039</v>
      </c>
      <c r="M83" s="6">
        <v>87</v>
      </c>
      <c r="N83" s="6" t="inlineStr">
        <is>
          <t>2026-10-02 14:47:13.413 | Minigame: Shipi | Type: FoodCut | Outcome: Failed | Difficulty: Easy | ExpectedTime: 75.2960 | ActualTime: 74.8439 | TimingOffset: -0.4521 | TimingError: 0.4521 | ReactionTime: 0.6039 | SpatialAccuracy: N/A | DirectionAccuracy: 0.0000 | CorrectHand: N/A</t>
        </is>
      </c>
    </row>
    <row r="84" ht="17" customHeight="1">
      <c r="A84" s="0">
        <v>83</v>
      </c>
      <c r="B84" s="0" t="inlineStr">
        <is>
          <t>2026-10-02 14:47:13.413</t>
        </is>
      </c>
      <c r="C84" s="0" t="inlineStr">
        <is>
          <t>PlayerState</t>
        </is>
      </c>
      <c r="H84" s="0" t="inlineStr">
        <is>
          <t>Overloaded</t>
        </is>
      </c>
      <c r="M84" s="0">
        <v>88</v>
      </c>
      <c r="N84" s="0" t="inlineStr">
        <is>
          <t>2026-10-02 14:47:13.413 | PlayerState: Overloaded</t>
        </is>
      </c>
    </row>
    <row r="85" ht="17" customHeight="1">
      <c r="A85" s="6">
        <v>84</v>
      </c>
      <c r="B85" s="6" t="inlineStr">
        <is>
          <t>2026-10-02 14:47:14.914</t>
        </is>
      </c>
      <c r="C85" s="6" t="inlineStr">
        <is>
          <t>Interaction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Success</t>
        </is>
      </c>
      <c r="G85" s="6" t="inlineStr">
        <is>
          <t>Easy</t>
        </is>
      </c>
      <c r="K85" s="4">
        <v>0.8726</v>
      </c>
      <c r="L85" s="4">
        <v>0.1834</v>
      </c>
      <c r="M85" s="6">
        <v>89</v>
      </c>
      <c r="N85" s="6" t="inlineStr">
        <is>
          <t>2026-10-02 14:47:14.914 | Minigame: Shipi | Type: FoodCut | Outcome: Success | Difficulty: Easy | ExpectedTime: 77.2160 | ActualTime: 76.3434 | TimingOffset: -0.8726 | TimingError: 0.8726 | ReactionTime: 0.1834 | SpatialAccuracy: N/A | DirectionAccuracy: 1.0000 | CorrectHand: N/A</t>
        </is>
      </c>
    </row>
    <row r="86" ht="17" customHeight="1">
      <c r="A86" s="0">
        <v>85</v>
      </c>
      <c r="B86" s="0" t="inlineStr">
        <is>
          <t>2026-10-02 14:47:16.704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Failed</t>
        </is>
      </c>
      <c r="G86" s="0" t="inlineStr">
        <is>
          <t>Easy</t>
        </is>
      </c>
      <c r="K86" s="4">
        <v>1.001</v>
      </c>
      <c r="L86" s="4">
        <v>0.055</v>
      </c>
      <c r="M86" s="0">
        <v>90</v>
      </c>
      <c r="N86" s="0" t="inlineStr">
        <is>
          <t>2026-10-02 14:47:16.704 | Minigame: Shipi | Type: FoodCut | Outcome: Failed | Difficulty: Easy | ExpectedTime: 79.1360 | ActualTime: 78.1350 | TimingOffset: -1.0010 | TimingError: 1.0010 | ReactionTime: 0.0550 | SpatialAccuracy: N/A | DirectionAccuracy: 0.0000 | CorrectHand: N/A</t>
        </is>
      </c>
    </row>
    <row r="87" ht="17" customHeight="1">
      <c r="A87" s="6">
        <v>86</v>
      </c>
      <c r="B87" s="6" t="inlineStr">
        <is>
          <t>2026-10-02 14:47:18.984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Failed</t>
        </is>
      </c>
      <c r="G87" s="6" t="inlineStr">
        <is>
          <t>Easy</t>
        </is>
      </c>
      <c r="K87" s="4">
        <v>0.6421</v>
      </c>
      <c r="L87" s="4">
        <v>0.4139</v>
      </c>
      <c r="M87" s="6">
        <v>91</v>
      </c>
      <c r="N87" s="6" t="inlineStr">
        <is>
          <t>2026-10-02 14:47:18.984 | Minigame: Shipi | Type: FoodCut | Outcome: Failed | Difficulty: Easy | ExpectedTime: 81.0560 | ActualTime: 80.4139 | TimingOffset: -0.6421 | TimingError: 0.6421 | ReactionTime: 0.4139 | SpatialAccuracy: N/A | DirectionAccuracy: 0.0000 | CorrectHand: N/A</t>
        </is>
      </c>
    </row>
    <row r="88" ht="17" customHeight="1">
      <c r="A88" s="0">
        <v>87</v>
      </c>
      <c r="B88" s="0" t="inlineStr">
        <is>
          <t>2026-10-02 14:47:21.470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Failed</t>
        </is>
      </c>
      <c r="G88" s="0" t="inlineStr">
        <is>
          <t>Easy</t>
        </is>
      </c>
      <c r="M88" s="0">
        <v>92</v>
      </c>
      <c r="N88" s="0" t="inlineStr">
        <is>
          <t>2026-10-02 14:47:21.470 | Minigame: Shipi | Type: FoodCut | Outcome: Failed | Difficulty: Easy | ExpectedTime: 82.9760 | ActualTime: N/A | TimingOffset: N/A | TimingError: N/A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14:47:22.568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Success</t>
        </is>
      </c>
      <c r="G89" s="6" t="inlineStr">
        <is>
          <t>Easy</t>
        </is>
      </c>
      <c r="K89" s="4">
        <v>0.8977</v>
      </c>
      <c r="L89" s="4">
        <v>0.1583</v>
      </c>
      <c r="M89" s="6">
        <v>93</v>
      </c>
      <c r="N89" s="6" t="inlineStr">
        <is>
          <t>2026-10-02 14:47:22.568 | Minigame: Shipi | Type: FoodCut | Outcome: Success | Difficulty: Easy | ExpectedTime: 84.8960 | ActualTime: 83.9983 | TimingOffset: -0.8977 | TimingError: 0.8977 | ReactionTime: 0.1583 | SpatialAccuracy: N/A | DirectionAccuracy: 1.0000 | CorrectHand: N/A</t>
        </is>
      </c>
    </row>
    <row r="90" ht="17" customHeight="1">
      <c r="A90" s="0">
        <v>89</v>
      </c>
      <c r="B90" s="0" t="inlineStr">
        <is>
          <t>2026-10-02 14:47:25.221</t>
        </is>
      </c>
      <c r="C90" s="0" t="inlineStr">
        <is>
          <t>Interaction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Failed</t>
        </is>
      </c>
      <c r="G90" s="0" t="inlineStr">
        <is>
          <t>Easy</t>
        </is>
      </c>
      <c r="K90" s="4">
        <v>0.165</v>
      </c>
      <c r="L90" s="4">
        <v>0.891</v>
      </c>
      <c r="M90" s="0">
        <v>94</v>
      </c>
      <c r="N90" s="0" t="inlineStr">
        <is>
          <t>2026-10-02 14:47:25.221 | Minigame: Shipi | Type: FoodCut | Outcome: Failed | Difficulty: Easy | ExpectedTime: 86.8160 | ActualTime: 86.6510 | TimingOffset: -0.1650 | TimingError: 0.1650 | ReactionTime: 0.8910 | SpatialAccuracy: N/A | DirectionAccuracy: 0.0000 | CorrectHand: N/A</t>
        </is>
      </c>
    </row>
    <row r="91" ht="17" customHeight="1">
      <c r="A91" s="6">
        <v>90</v>
      </c>
      <c r="B91" s="6" t="inlineStr">
        <is>
          <t>2026-10-02 14:47:27.707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Success</t>
        </is>
      </c>
      <c r="G91" s="6" t="inlineStr">
        <is>
          <t>Easy</t>
        </is>
      </c>
      <c r="K91" s="4">
        <v>0.4007</v>
      </c>
      <c r="L91" s="4">
        <v>1.4567</v>
      </c>
      <c r="M91" s="6">
        <v>95</v>
      </c>
      <c r="N91" s="6" t="inlineStr">
        <is>
          <t>2026-10-02 14:47:27.707 | Minigame: Shipi | Type: FoodCut | Outcome: Success | Difficulty: Easy | ExpectedTime: 88.7360 | ActualTime: 89.1367 | TimingOffset: 0.4007 | TimingError: 0.4007 | ReactionTime: 1.4567 | SpatialAccuracy: N/A | DirectionAccuracy: 1.0000 | CorrectHand: N/A</t>
        </is>
      </c>
    </row>
    <row r="92" ht="17" customHeight="1">
      <c r="A92" s="0">
        <v>91</v>
      </c>
      <c r="B92" s="0" t="inlineStr">
        <is>
          <t>2026-10-02 14:47:29.372</t>
        </is>
      </c>
      <c r="C92" s="0" t="inlineStr">
        <is>
          <t>Interaction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Success</t>
        </is>
      </c>
      <c r="G92" s="0" t="inlineStr">
        <is>
          <t>Easy</t>
        </is>
      </c>
      <c r="K92" s="4">
        <v>0.1467</v>
      </c>
      <c r="L92" s="4">
        <v>1.2027</v>
      </c>
      <c r="M92" s="0">
        <v>96</v>
      </c>
      <c r="N92" s="0" t="inlineStr">
        <is>
          <t>2026-10-02 14:47:29.372 | Minigame: Shipi | Type: FoodCut | Outcome: Success | Difficulty: Easy | ExpectedTime: 90.6560 | ActualTime: 90.8027 | TimingOffset: 0.1467 | TimingError: 0.1467 | ReactionTime: 1.2027 | SpatialAccuracy: N/A | DirectionAccuracy: 1.0000 | CorrectHand: N/A</t>
        </is>
      </c>
    </row>
    <row r="93" ht="17" customHeight="1">
      <c r="A93" s="6">
        <v>92</v>
      </c>
      <c r="B93" s="6" t="inlineStr">
        <is>
          <t>2026-10-02 14:47:31.373</t>
        </is>
      </c>
      <c r="C93" s="6" t="inlineStr">
        <is>
          <t>Interaction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K93" s="4">
        <v>0.2263</v>
      </c>
      <c r="L93" s="4">
        <v>1.2823</v>
      </c>
      <c r="M93" s="6">
        <v>97</v>
      </c>
      <c r="N93" s="6" t="inlineStr">
        <is>
          <t>2026-10-02 14:47:31.373 | Minigame: Shipi | Type: FoodCut | Outcome: Success | Difficulty: Easy | ExpectedTime: 92.5760 | ActualTime: 92.8023 | TimingOffset: 0.2263 | TimingError: 0.2263 | ReactionTime: 1.2823 | SpatialAccuracy: N/A | DirectionAccuracy: 1.0000 | CorrectHand: N/A</t>
        </is>
      </c>
    </row>
    <row r="94" ht="17" customHeight="1">
      <c r="A94" s="0">
        <v>93</v>
      </c>
      <c r="B94" s="0" t="inlineStr">
        <is>
          <t>2026-10-02 14:47:34.805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K94" s="4">
        <v>1.1192</v>
      </c>
      <c r="M94" s="0">
        <v>98</v>
      </c>
      <c r="N94" s="0" t="inlineStr">
        <is>
          <t>2026-10-02 14:47:34.805 | Minigame: JuanAndres | Type: GroomStroke | Outcome: Failed | Difficulty: Easy | ExpectedTime: 94.9760 | ActualTime: 96.0952 | TimingOffset: 1.1192 | TimingError: 1.1192 | ReactionTime: N/A | SpatialAccuracy: N/A | DirectionAccuracy: 0.0000 | CorrectHand: True</t>
        </is>
      </c>
    </row>
    <row r="95" ht="17" customHeight="1">
      <c r="A95" s="6">
        <v>94</v>
      </c>
      <c r="B95" s="6" t="inlineStr">
        <is>
          <t>2026-10-02 14:47:34.805</t>
        </is>
      </c>
      <c r="C95" s="6" t="inlineStr">
        <is>
          <t>PlayerState</t>
        </is>
      </c>
      <c r="H95" s="6" t="inlineStr">
        <is>
          <t>Engaged</t>
        </is>
      </c>
      <c r="M95" s="6">
        <v>99</v>
      </c>
      <c r="N95" s="6" t="inlineStr">
        <is>
          <t>2026-10-02 14:47:34.805 | PlayerState: Engaged</t>
        </is>
      </c>
    </row>
    <row r="96" ht="17" customHeight="1">
      <c r="A96" s="0">
        <v>95</v>
      </c>
      <c r="B96" s="0" t="inlineStr">
        <is>
          <t>2026-10-02 14:47:35.581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K96" s="4">
        <v>0.7312</v>
      </c>
      <c r="M96" s="0">
        <v>100</v>
      </c>
      <c r="N96" s="0" t="inlineStr">
        <is>
          <t>2026-10-02 14:47:35.581 | Minigame: JuanAndres | Type: GroomStroke | Outcome: Failed | Difficulty: Easy | ExpectedTime: 96.1280 | ActualTime: 96.8592 | TimingOffset: 0.7312 | TimingError: 0.7312 | ReactionTime: N/A | SpatialAccuracy: N/A | DirectionAccuracy: 0.0000 | CorrectHand: True</t>
        </is>
      </c>
    </row>
    <row r="97" ht="17" customHeight="1">
      <c r="A97" s="6">
        <v>96</v>
      </c>
      <c r="B97" s="6" t="inlineStr">
        <is>
          <t>2026-10-02 14:47:36.624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K97" s="4">
        <v>0.2925</v>
      </c>
      <c r="M97" s="6">
        <v>101</v>
      </c>
      <c r="N97" s="6" t="inlineStr">
        <is>
          <t>2026-10-02 14:47:36.624 | Minigame: JuanAndres | Type: GroomStroke | Outcome: Failed | Difficulty: Easy | ExpectedTime: 97.6640 | ActualTime: 97.9565 | TimingOffset: 0.2925 | TimingError: 0.2925 | ReactionTime: N/A | SpatialAccuracy: N/A | DirectionAccuracy: 0.0000 | CorrectHand: False</t>
        </is>
      </c>
    </row>
    <row r="98" ht="17" customHeight="1">
      <c r="A98" s="0">
        <v>97</v>
      </c>
      <c r="B98" s="0" t="inlineStr">
        <is>
          <t>2026-10-02 14:47:36.888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Success</t>
        </is>
      </c>
      <c r="G98" s="0" t="inlineStr">
        <is>
          <t>Easy</t>
        </is>
      </c>
      <c r="K98" s="4">
        <v>0.3364</v>
      </c>
      <c r="M98" s="0">
        <v>102</v>
      </c>
      <c r="N98" s="0" t="inlineStr">
        <is>
          <t>2026-10-02 14:47:36.888 | Minigame: JuanAndres | Type: GroomStroke | Outcome: Success | Difficulty: Easy | ExpectedTime: 98.4320 | ActualTime: 98.0956 | TimingOffset: -0.3364 | TimingError: 0.3364 | ReactionTime: N/A | SpatialAccuracy: N/A | DirectionAccuracy: 1.0000 | CorrectHand: True</t>
        </is>
      </c>
    </row>
    <row r="99" ht="17" customHeight="1">
      <c r="A99" s="6">
        <v>98</v>
      </c>
      <c r="B99" s="6" t="inlineStr">
        <is>
          <t>2026-10-02 14:47:40.372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Easy</t>
        </is>
      </c>
      <c r="K99" s="4">
        <v>0.4201</v>
      </c>
      <c r="M99" s="6">
        <v>103</v>
      </c>
      <c r="N99" s="6" t="inlineStr">
        <is>
          <t>2026-10-02 14:47:40.372 | Minigame: JuanAndres | Type: GroomStroke | Outcome: Failed | Difficulty: Easy | ExpectedTime: 101.1200 | ActualTime: 101.5401 | TimingOffset: 0.4201 | TimingError: 0.4201 | ReactionTime: N/A | SpatialAccuracy: N/A | DirectionAccuracy: 0.0000 | CorrectHand: True</t>
        </is>
      </c>
    </row>
    <row r="100" ht="17" customHeight="1">
      <c r="A100" s="0">
        <v>99</v>
      </c>
      <c r="B100" s="0" t="inlineStr">
        <is>
          <t>2026-10-02 14:47:40.375</t>
        </is>
      </c>
      <c r="C100" s="0" t="inlineStr">
        <is>
          <t>PlayerState</t>
        </is>
      </c>
      <c r="H100" s="0" t="inlineStr">
        <is>
          <t>Overloaded</t>
        </is>
      </c>
      <c r="M100" s="0">
        <v>104</v>
      </c>
      <c r="N100" s="0" t="inlineStr">
        <is>
          <t>2026-10-02 14:47:40.375 | PlayerState: Overloaded</t>
        </is>
      </c>
    </row>
    <row r="101" ht="17" customHeight="1">
      <c r="A101" s="6">
        <v>100</v>
      </c>
      <c r="B101" s="6" t="inlineStr">
        <is>
          <t>2026-10-02 14:47:41.304</t>
        </is>
      </c>
      <c r="C101" s="6" t="inlineStr">
        <is>
          <t>Interaction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Failed</t>
        </is>
      </c>
      <c r="G101" s="6" t="inlineStr">
        <is>
          <t>Easy</t>
        </is>
      </c>
      <c r="K101" s="4">
        <v>0.0193</v>
      </c>
      <c r="M101" s="6">
        <v>105</v>
      </c>
      <c r="N101" s="6" t="inlineStr">
        <is>
          <t>2026-10-02 14:47:41.304 | Minigame: JuanAndres | Type: GroomStroke | Outcome: Failed | Difficulty: Easy | ExpectedTime: 102.6560 | ActualTime: 102.6367 | TimingOffset: -0.0193 | TimingError: 0.0193 | ReactionTime: N/A | SpatialAccuracy: N/A | DirectionAccuracy: 0.0000 | CorrectHand: False</t>
        </is>
      </c>
    </row>
    <row r="102" ht="17" customHeight="1">
      <c r="A102" s="0">
        <v>101</v>
      </c>
      <c r="B102" s="0" t="inlineStr">
        <is>
          <t>2026-10-02 14:47:43.068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K102" s="4">
        <v>0.1267</v>
      </c>
      <c r="M102" s="0">
        <v>106</v>
      </c>
      <c r="N102" s="0" t="inlineStr">
        <is>
          <t>2026-10-02 14:47:43.068 | Minigame: JuanAndres | Type: GroomStroke | Outcome: Failed | Difficulty: Easy | ExpectedTime: 104.1920 | ActualTime: 104.3187 | TimingOffset: 0.1267 | TimingError: 0.1267 | ReactionTime: N/A | SpatialAccuracy: N/A | DirectionAccuracy: 0.0000 | CorrectHand: True</t>
        </is>
      </c>
    </row>
    <row r="103" ht="17" customHeight="1">
      <c r="A103" s="6">
        <v>102</v>
      </c>
      <c r="B103" s="6" t="inlineStr">
        <is>
          <t>2026-10-02 14:47:44.512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Failed</t>
        </is>
      </c>
      <c r="G103" s="6" t="inlineStr">
        <is>
          <t>Easy</t>
        </is>
      </c>
      <c r="K103" s="4">
        <v>0.857</v>
      </c>
      <c r="M103" s="6">
        <v>107</v>
      </c>
      <c r="N103" s="6" t="inlineStr">
        <is>
          <t>2026-10-02 14:47:44.512 | Minigame: JuanAndres | Type: GroomStroke | Outcome: Failed | Difficulty: Easy | ExpectedTime: 104.9600 | ActualTime: 105.8170 | TimingOffset: 0.8570 | TimingError: 0.8570 | ReactionTime: N/A | SpatialAccuracy: N/A | DirectionAccuracy: 0.0000 | CorrectHand: True</t>
        </is>
      </c>
    </row>
    <row r="104" ht="17" customHeight="1">
      <c r="A104" s="0">
        <v>103</v>
      </c>
      <c r="B104" s="0" t="inlineStr">
        <is>
          <t>2026-10-02 14:47:45.484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Failed</t>
        </is>
      </c>
      <c r="G104" s="0" t="inlineStr">
        <is>
          <t>Easy</t>
        </is>
      </c>
      <c r="K104" s="4">
        <v>0.1465</v>
      </c>
      <c r="M104" s="0">
        <v>108</v>
      </c>
      <c r="N104" s="0" t="inlineStr">
        <is>
          <t>2026-10-02 14:47:45.484 | Minigame: JuanAndres | Type: GroomStroke | Outcome: Failed | Difficulty: Easy | ExpectedTime: 106.8800 | ActualTime: 106.7335 | TimingOffset: -0.1465 | TimingError: 0.1465 | ReactionTime: N/A | SpatialAccuracy: N/A | DirectionAccuracy: 1.0000 | CorrectHand: False</t>
        </is>
      </c>
    </row>
    <row r="105" ht="17" customHeight="1">
      <c r="A105" s="6">
        <v>104</v>
      </c>
      <c r="B105" s="6" t="inlineStr">
        <is>
          <t>2026-10-02 14:47:47.387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K105" s="4">
        <v>0.6885</v>
      </c>
      <c r="M105" s="6">
        <v>109</v>
      </c>
      <c r="N105" s="6" t="inlineStr">
        <is>
          <t>2026-10-02 14:47:47.387 | Minigame: JuanAndres | Type: GroomStroke | Outcome: Failed | Difficulty: Easy | ExpectedTime: 108.0320 | ActualTime: 108.7205 | TimingOffset: 0.6885 | TimingError: 0.6885 | ReactionTime: N/A | SpatialAccuracy: N/A | DirectionAccuracy: 0.0000 | CorrectHand: True</t>
        </is>
      </c>
    </row>
    <row r="106" ht="17" customHeight="1">
      <c r="A106" s="0">
        <v>105</v>
      </c>
      <c r="B106" s="0" t="inlineStr">
        <is>
          <t>2026-10-02 14:47:48.333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Success</t>
        </is>
      </c>
      <c r="G106" s="0" t="inlineStr">
        <is>
          <t>Easy</t>
        </is>
      </c>
      <c r="K106" s="4">
        <v>0.4396</v>
      </c>
      <c r="M106" s="0">
        <v>110</v>
      </c>
      <c r="N106" s="0" t="inlineStr">
        <is>
          <t>2026-10-02 14:47:48.333 | Minigame: JuanAndres | Type: GroomStroke | Outcome: Success | Difficulty: Easy | ExpectedTime: 109.1840 | ActualTime: 109.6236 | TimingOffset: 0.4396 | TimingError: 0.4396 | ReactionTime: N/A | SpatialAccuracy: N/A | DirectionAccuracy: 1.0000 | CorrectHand: True</t>
        </is>
      </c>
    </row>
    <row r="107" ht="17" customHeight="1">
      <c r="A107" s="6">
        <v>106</v>
      </c>
      <c r="B107" s="6" t="inlineStr">
        <is>
          <t>2026-10-02 14:47:50.985</t>
        </is>
      </c>
      <c r="C107" s="6" t="inlineStr">
        <is>
          <t>Interaction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Success</t>
        </is>
      </c>
      <c r="G107" s="6" t="inlineStr">
        <is>
          <t>Easy</t>
        </is>
      </c>
      <c r="K107" s="4">
        <v>1.2544</v>
      </c>
      <c r="M107" s="6">
        <v>111</v>
      </c>
      <c r="N107" s="6" t="inlineStr">
        <is>
          <t>2026-10-02 14:47:50.985 | Minigame: JuanAndres | Type: GroomStroke | Outcome: Success | Difficulty: Easy | ExpectedTime: 111.1040 | ActualTime: 112.3584 | TimingOffset: 1.2544 | TimingError: 1.2544 | ReactionTime: N/A | SpatialAccuracy: N/A | DirectionAccuracy: 1.0000 | CorrectHand: True</t>
        </is>
      </c>
    </row>
    <row r="108" ht="17" customHeight="1">
      <c r="A108" s="0">
        <v>107</v>
      </c>
      <c r="B108" s="0" t="inlineStr">
        <is>
          <t>2026-10-02 14:47:51.763</t>
        </is>
      </c>
      <c r="C108" s="0" t="inlineStr">
        <is>
          <t>Interaction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Success</t>
        </is>
      </c>
      <c r="G108" s="0" t="inlineStr">
        <is>
          <t>Easy</t>
        </is>
      </c>
      <c r="K108" s="4">
        <v>0.071</v>
      </c>
      <c r="M108" s="0">
        <v>112</v>
      </c>
      <c r="N108" s="0" t="inlineStr">
        <is>
          <t>2026-10-02 14:47:51.763 | Minigame: JuanAndres | Type: GroomStroke | Outcome: Success | Difficulty: Easy | ExpectedTime: 113.0240 | ActualTime: 113.0950 | TimingOffset: 0.0710 | TimingError: 0.0710 | ReactionTime: N/A | SpatialAccuracy: N/A | DirectionAccuracy: 1.0000 | CorrectHand: True</t>
        </is>
      </c>
    </row>
    <row r="109" ht="17" customHeight="1">
      <c r="A109" s="6">
        <v>108</v>
      </c>
      <c r="B109" s="6" t="inlineStr">
        <is>
          <t>2026-10-02 14:47:52.373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Easy</t>
        </is>
      </c>
      <c r="K109" s="4">
        <v>0.4612</v>
      </c>
      <c r="M109" s="6">
        <v>113</v>
      </c>
      <c r="N109" s="6" t="inlineStr">
        <is>
          <t>2026-10-02 14:47:52.373 | Minigame: JuanAndres | Type: GroomStroke | Outcome: Failed | Difficulty: Easy | ExpectedTime: 113.7920 | ActualTime: 113.3308 | TimingOffset: -0.4612 | TimingError: 0.4612 | ReactionTime: N/A | SpatialAccuracy: N/A | DirectionAccuracy: 1.0000 | CorrectHand: False</t>
        </is>
      </c>
    </row>
    <row r="110" ht="17" customHeight="1">
      <c r="A110" s="0">
        <v>109</v>
      </c>
      <c r="B110" s="0" t="inlineStr">
        <is>
          <t>2026-10-02 14:47:56.666</t>
        </is>
      </c>
      <c r="C110" s="0" t="inlineStr">
        <is>
          <t>Interaction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Success</t>
        </is>
      </c>
      <c r="G110" s="0" t="inlineStr">
        <is>
          <t>Easy</t>
        </is>
      </c>
      <c r="K110" s="4">
        <v>0.7497</v>
      </c>
      <c r="M110" s="0">
        <v>114</v>
      </c>
      <c r="N110" s="0" t="inlineStr">
        <is>
          <t>2026-10-02 14:47:56.666 | Minigame: JuanAndres | Type: GroomStroke | Outcome: Success | Difficulty: Easy | ExpectedTime: 117.2480 | ActualTime: 117.9977 | TimingOffset: 0.7497 | TimingError: 0.7497 | ReactionTime: N/A | SpatialAccuracy: N/A | DirectionAccuracy: 1.0000 | CorrectHand: True</t>
        </is>
      </c>
    </row>
    <row r="111" ht="17" customHeight="1">
      <c r="A111" s="6">
        <v>110</v>
      </c>
      <c r="B111" s="6" t="inlineStr">
        <is>
          <t>2026-10-02 14:47:58.568</t>
        </is>
      </c>
      <c r="C111" s="6" t="inlineStr">
        <is>
          <t>Interaction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Success</t>
        </is>
      </c>
      <c r="G111" s="6" t="inlineStr">
        <is>
          <t>Easy</t>
        </is>
      </c>
      <c r="K111" s="4">
        <v>3.7765</v>
      </c>
      <c r="M111" s="6">
        <v>115</v>
      </c>
      <c r="N111" s="6" t="inlineStr">
        <is>
          <t>2026-10-02 14:47:58.568 | Minigame: JuanAndres | Type: GroomStroke | Outcome: Success | Difficulty: Easy | ExpectedTime: 116.0960 | ActualTime: 119.8725 | TimingOffset: 3.7765 | TimingError: 3.7765 | ReactionTime: N/A | SpatialAccuracy: N/A | DirectionAccuracy: 1.0000 | CorrectHand: True</t>
        </is>
      </c>
    </row>
    <row r="112" ht="17" customHeight="1">
      <c r="A112" s="0">
        <v>111</v>
      </c>
      <c r="B112" s="0" t="inlineStr">
        <is>
          <t>2026-10-02 14:47:59.082</t>
        </is>
      </c>
      <c r="C112" s="0" t="inlineStr">
        <is>
          <t>Interaction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Success</t>
        </is>
      </c>
      <c r="G112" s="0" t="inlineStr">
        <is>
          <t>Easy</t>
        </is>
      </c>
      <c r="K112" s="4">
        <v>0.4363</v>
      </c>
      <c r="M112" s="0">
        <v>116</v>
      </c>
      <c r="N112" s="0" t="inlineStr">
        <is>
          <t>2026-10-02 14:47:59.082 | Minigame: JuanAndres | Type: GroomStroke | Outcome: Success | Difficulty: Easy | ExpectedTime: 119.9360 | ActualTime: 120.3723 | TimingOffset: 0.4363 | TimingError: 0.4363 | ReactionTime: N/A | SpatialAccuracy: N/A | DirectionAccuracy: 1.0000 | CorrectHand: True</t>
        </is>
      </c>
    </row>
    <row r="113" ht="17" customHeight="1">
      <c r="A113" s="6">
        <v>112</v>
      </c>
      <c r="B113" s="6" t="inlineStr">
        <is>
          <t>2026-10-02 14:47:59.082</t>
        </is>
      </c>
      <c r="C113" s="6" t="inlineStr">
        <is>
          <t>PlayerState</t>
        </is>
      </c>
      <c r="H113" s="6" t="inlineStr">
        <is>
          <t>Engaged</t>
        </is>
      </c>
      <c r="M113" s="6">
        <v>117</v>
      </c>
      <c r="N113" s="6" t="inlineStr">
        <is>
          <t>2026-10-02 14:47:59.082 | PlayerState: Engaged</t>
        </is>
      </c>
    </row>
    <row r="114" ht="17" customHeight="1">
      <c r="A114" s="0">
        <v>113</v>
      </c>
      <c r="B114" s="0" t="inlineStr">
        <is>
          <t>2026-10-02 14:48:00.234</t>
        </is>
      </c>
      <c r="C114" s="0" t="inlineStr">
        <is>
          <t>Interaction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Success</t>
        </is>
      </c>
      <c r="G114" s="0" t="inlineStr">
        <is>
          <t>Easy</t>
        </is>
      </c>
      <c r="K114" s="4">
        <v>0.081</v>
      </c>
      <c r="M114" s="0">
        <v>118</v>
      </c>
      <c r="N114" s="0" t="inlineStr">
        <is>
          <t>2026-10-02 14:48:00.234 | Minigame: JuanAndres | Type: GroomStroke | Outcome: Success | Difficulty: Easy | ExpectedTime: 121.4720 | ActualTime: 121.5530 | TimingOffset: 0.0810 | TimingError: 0.0810 | ReactionTime: N/A | SpatialAccuracy: N/A | DirectionAccuracy: 1.0000 | CorrectHand: True</t>
        </is>
      </c>
    </row>
    <row r="115" ht="17" customHeight="1">
      <c r="A115" s="6">
        <v>114</v>
      </c>
      <c r="B115" s="6" t="inlineStr">
        <is>
          <t>2026-10-02 14:48:00.235</t>
        </is>
      </c>
      <c r="C115" s="6" t="inlineStr">
        <is>
          <t>DifficultyChanged</t>
        </is>
      </c>
      <c r="D115" s="6" t="inlineStr">
        <is>
          <t>JuanAndres</t>
        </is>
      </c>
      <c r="I115" s="6" t="inlineStr">
        <is>
          <t>Easy -&gt; Normal</t>
        </is>
      </c>
      <c r="J115" s="6" t="inlineStr">
        <is>
          <t>High recent performance</t>
        </is>
      </c>
      <c r="M115" s="6">
        <v>119</v>
      </c>
      <c r="N115" s="6" t="inlineStr">
        <is>
          <t>2026-10-02 14:48:00.235 | DifficultyChanged: Easy -&gt; Normal | Reason: High recent performance | Minigame: JuanAndres | SuccessRate: 0.88</t>
        </is>
      </c>
    </row>
    <row r="116" ht="17" customHeight="1">
      <c r="A116" s="0">
        <v>115</v>
      </c>
      <c r="B116" s="0" t="inlineStr">
        <is>
          <t>2026-10-02 14:48:05.229</t>
        </is>
      </c>
      <c r="C116" s="0" t="inlineStr">
        <is>
          <t>PlayerState</t>
        </is>
      </c>
      <c r="H116" s="0" t="inlineStr">
        <is>
          <t>Idle</t>
        </is>
      </c>
      <c r="M116" s="0">
        <v>120</v>
      </c>
      <c r="N116" s="0" t="inlineStr">
        <is>
          <t>2026-10-02 14:48:05.229 | PlayerState: Idle</t>
        </is>
      </c>
    </row>
    <row r="117" ht="17" customHeight="1">
      <c r="A117" s="6">
        <v>116</v>
      </c>
      <c r="B117" s="6" t="inlineStr">
        <is>
          <t>2026-10-02 14:48:05.243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PlayerHit</t>
        </is>
      </c>
      <c r="F117" s="6" t="inlineStr">
        <is>
          <t>Failed</t>
        </is>
      </c>
      <c r="G117" s="6" t="inlineStr">
        <is>
          <t>Normal</t>
        </is>
      </c>
      <c r="M117" s="6">
        <v>121</v>
      </c>
      <c r="N117" s="6" t="inlineStr">
        <is>
          <t>2026-10-02 14:48:05.243 | Minigame: Danniel | Type: PlayerHit | Outcome: Failed | Difficulty: Normal | ExpectedTime: 126.6736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14:48:05.341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Normal</t>
        </is>
      </c>
      <c r="M118" s="0">
        <v>122</v>
      </c>
      <c r="N118" s="0" t="inlineStr">
        <is>
          <t>2026-10-02 14:48:05.341 | Minigame: Danniel | Type: PlayerHit | Outcome: Failed | Difficulty: Normal | ExpectedTime: 126.7711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14:48:06.328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PlayerHit</t>
        </is>
      </c>
      <c r="F119" s="6" t="inlineStr">
        <is>
          <t>Failed</t>
        </is>
      </c>
      <c r="G119" s="6" t="inlineStr">
        <is>
          <t>Normal</t>
        </is>
      </c>
      <c r="M119" s="6">
        <v>123</v>
      </c>
      <c r="N119" s="6" t="inlineStr">
        <is>
          <t>2026-10-02 14:48:06.328 | Minigame: Danniel | Type: PlayerHit | Outcome: Failed | Difficulty: Normal | ExpectedTime: 127.7579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14:48:07.133</t>
        </is>
      </c>
      <c r="C120" s="0" t="inlineStr">
        <is>
          <t>Interaction</t>
        </is>
      </c>
      <c r="D120" s="0" t="inlineStr">
        <is>
          <t>Danniel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Normal</t>
        </is>
      </c>
      <c r="M120" s="0">
        <v>124</v>
      </c>
      <c r="N120" s="0" t="inlineStr">
        <is>
          <t>2026-10-02 14:48:07.133 | Minigame: Danniel | Type: PlayerHit | Outcome: Failed | Difficulty: Normal | ExpectedTime: 128.5638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14:48:07.287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Normal</t>
        </is>
      </c>
      <c r="K121" s="4">
        <v>0.1121</v>
      </c>
      <c r="M121" s="6">
        <v>125</v>
      </c>
      <c r="N121" s="6" t="inlineStr">
        <is>
          <t>2026-10-02 14:48:07.287 | Minigame: Danniel | Type: GunShoot | Outcome: Success | Difficulty: Normal | ExpectedTime: 128.3840 | ActualTime: 128.2719 | TimingOffset: -0.1121 | TimingError: 0.1121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14:48:07.287</t>
        </is>
      </c>
      <c r="C122" s="0" t="inlineStr">
        <is>
          <t>PlayerState</t>
        </is>
      </c>
      <c r="H122" s="0" t="inlineStr">
        <is>
          <t>Engaged</t>
        </is>
      </c>
      <c r="M122" s="0">
        <v>126</v>
      </c>
      <c r="N122" s="0" t="inlineStr">
        <is>
          <t>2026-10-02 14:48:07.287 | PlayerState: Engaged</t>
        </is>
      </c>
    </row>
    <row r="123" ht="17" customHeight="1">
      <c r="A123" s="6">
        <v>122</v>
      </c>
      <c r="B123" s="6" t="inlineStr">
        <is>
          <t>2026-10-02 14:48:07.551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Failed</t>
        </is>
      </c>
      <c r="G123" s="6" t="inlineStr">
        <is>
          <t>Normal</t>
        </is>
      </c>
      <c r="M123" s="6">
        <v>127</v>
      </c>
      <c r="N123" s="6" t="inlineStr">
        <is>
          <t>2026-10-02 14:48:07.551 | Minigame: Danniel | Type: GunShoot | Outcome: Failed | Difficulty: Normal | ExpectedTime: 128.9810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14:48:08.009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PlayerHit</t>
        </is>
      </c>
      <c r="F124" s="0" t="inlineStr">
        <is>
          <t>Failed</t>
        </is>
      </c>
      <c r="G124" s="0" t="inlineStr">
        <is>
          <t>Normal</t>
        </is>
      </c>
      <c r="M124" s="0">
        <v>128</v>
      </c>
      <c r="N124" s="0" t="inlineStr">
        <is>
          <t>2026-10-02 14:48:08.009 | Minigame: Danniel | Type: PlayerHit | Outcome: Failed | Difficulty: Normal | ExpectedTime: 129.4389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14:48:08.384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PlayerHit</t>
        </is>
      </c>
      <c r="F125" s="6" t="inlineStr">
        <is>
          <t>Failed</t>
        </is>
      </c>
      <c r="G125" s="6" t="inlineStr">
        <is>
          <t>Normal</t>
        </is>
      </c>
      <c r="M125" s="6">
        <v>129</v>
      </c>
      <c r="N125" s="6" t="inlineStr">
        <is>
          <t>2026-10-02 14:48:08.384 | Minigame: Danniel | Type: PlayerHit | Outcome: Failed | Difficulty: Normal | ExpectedTime: 129.8140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14:48:08.605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Success</t>
        </is>
      </c>
      <c r="G126" s="0" t="inlineStr">
        <is>
          <t>Normal</t>
        </is>
      </c>
      <c r="K126" s="4">
        <v>0.176</v>
      </c>
      <c r="M126" s="0">
        <v>130</v>
      </c>
      <c r="N126" s="0" t="inlineStr">
        <is>
          <t>2026-10-02 14:48:08.605 | Minigame: Danniel | Type: GunShoot | Outcome: Success | Difficulty: Normal | ExpectedTime: 129.1520 | ActualTime: 129.3280 | TimingOffset: 0.1760 | TimingError: 0.1760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14:48:08.607</t>
        </is>
      </c>
      <c r="C127" s="6" t="inlineStr">
        <is>
          <t>PlayerState</t>
        </is>
      </c>
      <c r="H127" s="6" t="inlineStr">
        <is>
          <t>Overloaded</t>
        </is>
      </c>
      <c r="M127" s="6">
        <v>131</v>
      </c>
      <c r="N127" s="6" t="inlineStr">
        <is>
          <t>2026-10-02 14:48:08.607 | PlayerState: Overloaded</t>
        </is>
      </c>
    </row>
    <row r="128" ht="17" customHeight="1">
      <c r="A128" s="0">
        <v>127</v>
      </c>
      <c r="B128" s="0" t="inlineStr">
        <is>
          <t>2026-10-02 14:48:08.607</t>
        </is>
      </c>
      <c r="C128" s="0" t="inlineStr">
        <is>
          <t>DifficultyChanged</t>
        </is>
      </c>
      <c r="D128" s="0" t="inlineStr">
        <is>
          <t>Danniel</t>
        </is>
      </c>
      <c r="I128" s="0" t="inlineStr">
        <is>
          <t>Normal -&gt; Easy</t>
        </is>
      </c>
      <c r="J128" s="0" t="inlineStr">
        <is>
          <t>PlayerState: Overloaded</t>
        </is>
      </c>
      <c r="M128" s="0">
        <v>132</v>
      </c>
      <c r="N128" s="0" t="inlineStr">
        <is>
          <t>2026-10-02 14:48:08.607 | DifficultyChanged: Normal -&gt; Easy | Reason: PlayerState: Overloaded | Minigame: Danniel | RecentSuccessRate: 0.25</t>
        </is>
      </c>
    </row>
    <row r="129" ht="17" customHeight="1">
      <c r="A129" s="6">
        <v>128</v>
      </c>
      <c r="B129" s="6" t="inlineStr">
        <is>
          <t>2026-10-02 14:48:08.609</t>
        </is>
      </c>
      <c r="C129" s="6" t="inlineStr">
        <is>
          <t>PlayerState</t>
        </is>
      </c>
      <c r="H129" s="6" t="inlineStr">
        <is>
          <t>Engaged</t>
        </is>
      </c>
      <c r="M129" s="6">
        <v>133</v>
      </c>
      <c r="N129" s="6" t="inlineStr">
        <is>
          <t>2026-10-02 14:48:08.609 | PlayerState: Engaged</t>
        </is>
      </c>
    </row>
    <row r="130" ht="17" customHeight="1">
      <c r="A130" s="0">
        <v>129</v>
      </c>
      <c r="B130" s="0" t="inlineStr">
        <is>
          <t>2026-10-02 14:48:10.551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M130" s="0">
        <v>134</v>
      </c>
      <c r="N130" s="0" t="inlineStr">
        <is>
          <t>2026-10-02 14:48:10.551 | Minigame: Danniel | Type: GunShoot | Outcome: Failed | Difficulty: Easy | ExpectedTime: 131.9804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14:48:11.052</t>
        </is>
      </c>
      <c r="C131" s="6" t="inlineStr">
        <is>
          <t>Interaction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K131" s="4">
        <v>0.0849</v>
      </c>
      <c r="M131" s="6">
        <v>135</v>
      </c>
      <c r="N131" s="6" t="inlineStr">
        <is>
          <t>2026-10-02 14:48:11.052 | Minigame: Danniel | Type: GunShoot | Outcome: Success | Difficulty: Easy | ExpectedTime: 131.8400 | ActualTime: 131.9249 | TimingOffset: 0.0849 | TimingError: 0.0849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14:48:12.203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PlayerHit</t>
        </is>
      </c>
      <c r="F132" s="0" t="inlineStr">
        <is>
          <t>Failed</t>
        </is>
      </c>
      <c r="G132" s="0" t="inlineStr">
        <is>
          <t>Easy</t>
        </is>
      </c>
      <c r="M132" s="0">
        <v>136</v>
      </c>
      <c r="N132" s="0" t="inlineStr">
        <is>
          <t>2026-10-02 14:48:12.203 | Minigame: Danniel | Type: PlayerHit | Outcome: Failed | Difficulty: Easy | ExpectedTime: 133.6336 | ActualTime: N/A | TimingOffset: N/A | TimingError: N/A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14:48:12.509</t>
        </is>
      </c>
      <c r="C133" s="6" t="inlineStr">
        <is>
          <t>Interaction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Success</t>
        </is>
      </c>
      <c r="G133" s="6" t="inlineStr">
        <is>
          <t>Easy</t>
        </is>
      </c>
      <c r="K133" s="4">
        <v>0.0996</v>
      </c>
      <c r="M133" s="6">
        <v>137</v>
      </c>
      <c r="N133" s="6" t="inlineStr">
        <is>
          <t>2026-10-02 14:48:12.509 | Minigame: Danniel | Type: GunShoot | Outcome: Success | Difficulty: Easy | ExpectedTime: 132.6080 | ActualTime: 132.5084 | TimingOffset: -0.0996 | TimingError: 0.0996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14:48:12.829</t>
        </is>
      </c>
      <c r="C134" s="0" t="inlineStr">
        <is>
          <t>Interaction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Failed</t>
        </is>
      </c>
      <c r="G134" s="0" t="inlineStr">
        <is>
          <t>Easy</t>
        </is>
      </c>
      <c r="M134" s="0">
        <v>138</v>
      </c>
      <c r="N134" s="0" t="inlineStr">
        <is>
          <t>2026-10-02 14:48:12.829 | Minigame: Danniel | Type: GunShoot | Outcome: Failed | Difficulty: Easy | ExpectedTime: 134.2582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14:48:12.829</t>
        </is>
      </c>
      <c r="C135" s="6" t="inlineStr">
        <is>
          <t>PlayerState</t>
        </is>
      </c>
      <c r="H135" s="6" t="inlineStr">
        <is>
          <t>Overloaded</t>
        </is>
      </c>
      <c r="M135" s="6">
        <v>139</v>
      </c>
      <c r="N135" s="6" t="inlineStr">
        <is>
          <t>2026-10-02 14:48:12.829 | PlayerState: Overloaded</t>
        </is>
      </c>
    </row>
    <row r="136" ht="17" customHeight="1">
      <c r="A136" s="0">
        <v>135</v>
      </c>
      <c r="B136" s="0" t="inlineStr">
        <is>
          <t>2026-10-02 14:48:13.593</t>
        </is>
      </c>
      <c r="C136" s="0" t="inlineStr">
        <is>
          <t>Interaction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Failed</t>
        </is>
      </c>
      <c r="G136" s="0" t="inlineStr">
        <is>
          <t>Easy</t>
        </is>
      </c>
      <c r="M136" s="0">
        <v>140</v>
      </c>
      <c r="N136" s="0" t="inlineStr">
        <is>
          <t>2026-10-02 14:48:13.593 | Minigame: Danniel | Type: GunShoot | Outcome: Failed | Difficulty: Easy | ExpectedTime: 135.0222 | ActualTime: N/A | TimingOffset: N/A | TimingError: N/A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14:48:13.593</t>
        </is>
      </c>
      <c r="C137" s="6" t="inlineStr">
        <is>
          <t>Interaction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Success</t>
        </is>
      </c>
      <c r="G137" s="6" t="inlineStr">
        <is>
          <t>Easy</t>
        </is>
      </c>
      <c r="K137" s="4">
        <v>0.1002</v>
      </c>
      <c r="M137" s="6">
        <v>141</v>
      </c>
      <c r="N137" s="6" t="inlineStr">
        <is>
          <t>2026-10-02 14:48:13.593 | Minigame: Danniel | Type: GunShoot | Outcome: Success | Difficulty: Easy | ExpectedTime: 134.1440 | ActualTime: 134.2442 | TimingOffset: 0.1002 | TimingError: 0.1002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14:48:13.870</t>
        </is>
      </c>
      <c r="C138" s="0" t="inlineStr">
        <is>
          <t>Interaction</t>
        </is>
      </c>
      <c r="D138" s="0" t="inlineStr">
        <is>
          <t>Danniel</t>
        </is>
      </c>
      <c r="E138" s="0" t="inlineStr">
        <is>
          <t>PlayerHit</t>
        </is>
      </c>
      <c r="F138" s="0" t="inlineStr">
        <is>
          <t>Failed</t>
        </is>
      </c>
      <c r="G138" s="0" t="inlineStr">
        <is>
          <t>Easy</t>
        </is>
      </c>
      <c r="M138" s="0">
        <v>142</v>
      </c>
      <c r="N138" s="0" t="inlineStr">
        <is>
          <t>2026-10-02 14:48:13.870 | Minigame: Danniel | Type: PlayerHit | Outcome: Failed | Difficulty: Easy | ExpectedTime: 135.3000 | ActualTime: N/A | TimingOffset: N/A | TimingError: N/A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14:48:14.565</t>
        </is>
      </c>
      <c r="C139" s="6" t="inlineStr">
        <is>
          <t>Interaction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Success</t>
        </is>
      </c>
      <c r="G139" s="6" t="inlineStr">
        <is>
          <t>Easy</t>
        </is>
      </c>
      <c r="K139" s="4">
        <v>0.0654</v>
      </c>
      <c r="M139" s="6">
        <v>143</v>
      </c>
      <c r="N139" s="6" t="inlineStr">
        <is>
          <t>2026-10-02 14:48:14.565 | Minigame: Danniel | Type: GunShoot | Outcome: Success | Difficulty: Easy | ExpectedTime: 135.2960 | ActualTime: 135.2306 | TimingOffset: -0.0654 | TimingError: 0.0654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14:48:14.690</t>
        </is>
      </c>
      <c r="C140" s="0" t="inlineStr">
        <is>
          <t>Interaction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Failed</t>
        </is>
      </c>
      <c r="G140" s="0" t="inlineStr">
        <is>
          <t>Easy</t>
        </is>
      </c>
      <c r="M140" s="0">
        <v>144</v>
      </c>
      <c r="N140" s="0" t="inlineStr">
        <is>
          <t>2026-10-02 14:48:14.690 | Minigame: Danniel | Type: GunShoot | Outcome: Failed | Difficulty: Easy | ExpectedTime: 136.1198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14:48:15.412</t>
        </is>
      </c>
      <c r="C141" s="6" t="inlineStr">
        <is>
          <t>Interaction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Failed</t>
        </is>
      </c>
      <c r="G141" s="6" t="inlineStr">
        <is>
          <t>Easy</t>
        </is>
      </c>
      <c r="M141" s="6">
        <v>145</v>
      </c>
      <c r="N141" s="6" t="inlineStr">
        <is>
          <t>2026-10-02 14:48:15.412 | Minigame: Danniel | Type: GunShoot | Outcome: Failed | Difficulty: Easy | ExpectedTime: 136.8421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14:48:16.844</t>
        </is>
      </c>
      <c r="C142" s="0" t="inlineStr">
        <is>
          <t>Interaction</t>
        </is>
      </c>
      <c r="D142" s="0" t="inlineStr">
        <is>
          <t>Danniel</t>
        </is>
      </c>
      <c r="E142" s="0" t="inlineStr">
        <is>
          <t>PlayerHit</t>
        </is>
      </c>
      <c r="F142" s="0" t="inlineStr">
        <is>
          <t>Failed</t>
        </is>
      </c>
      <c r="G142" s="0" t="inlineStr">
        <is>
          <t>Easy</t>
        </is>
      </c>
      <c r="M142" s="0">
        <v>146</v>
      </c>
      <c r="N142" s="0" t="inlineStr">
        <is>
          <t>2026-10-02 14:48:16.844 | Minigame: Danniel | Type: PlayerHit | Outcome: Failed | Difficulty: Easy | ExpectedTime: 138.2734 | ActualTime: N/A | TimingOffset: N/A | TimingError: N/A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14:48:17.343</t>
        </is>
      </c>
      <c r="C143" s="6" t="inlineStr">
        <is>
          <t>Interaction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Failed</t>
        </is>
      </c>
      <c r="G143" s="6" t="inlineStr">
        <is>
          <t>Easy</t>
        </is>
      </c>
      <c r="M143" s="6">
        <v>147</v>
      </c>
      <c r="N143" s="6" t="inlineStr">
        <is>
          <t>2026-10-02 14:48:17.343 | Minigame: Danniel | Type: GunShoot | Outcome: Failed | Difficulty: Easy | ExpectedTime: 138.7734 | ActualTime: N/A | TimingOffset: N/A | TimingError: N/A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14:48:19.774</t>
        </is>
      </c>
      <c r="C144" s="0" t="inlineStr">
        <is>
          <t>Interaction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Success</t>
        </is>
      </c>
      <c r="G144" s="0" t="inlineStr">
        <is>
          <t>Easy</t>
        </is>
      </c>
      <c r="K144" s="4">
        <v>0.0273</v>
      </c>
      <c r="M144" s="0">
        <v>148</v>
      </c>
      <c r="N144" s="0" t="inlineStr">
        <is>
          <t>2026-10-02 14:48:19.774 | Minigame: Danniel | Type: GunShoot | Outcome: Success | Difficulty: Easy | ExpectedTime: 140.2880 | ActualTime: 140.3153 | TimingOffset: 0.0273 | TimingError: 0.0273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14:48:21.371</t>
        </is>
      </c>
      <c r="C145" s="6" t="inlineStr">
        <is>
          <t>Interaction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Failed</t>
        </is>
      </c>
      <c r="G145" s="6" t="inlineStr">
        <is>
          <t>Easy</t>
        </is>
      </c>
      <c r="M145" s="6">
        <v>149</v>
      </c>
      <c r="N145" s="6" t="inlineStr">
        <is>
          <t>2026-10-02 14:48:21.371 | Minigame: Danniel | Type: GunShoot | Outcome: Failed | Difficulty: Easy | ExpectedTime: 142.8014 | ActualTime: N/A | TimingOffset: N/A | TimingError: N/A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14:48:24.774</t>
        </is>
      </c>
      <c r="C146" s="0" t="inlineStr">
        <is>
          <t>Interaction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Success</t>
        </is>
      </c>
      <c r="G146" s="0" t="inlineStr">
        <is>
          <t>Easy</t>
        </is>
      </c>
      <c r="K146" s="4">
        <v>0.0854</v>
      </c>
      <c r="M146" s="0">
        <v>150</v>
      </c>
      <c r="N146" s="0" t="inlineStr">
        <is>
          <t>2026-10-02 14:48:24.774 | Minigame: Danniel | Type: GunShoot | Outcome: Success | Difficulty: Easy | ExpectedTime: 144.8960 | ActualTime: 144.9814 | TimingOffset: 0.0854 | TimingError: 0.0854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14:48:26.107</t>
        </is>
      </c>
      <c r="C147" s="6" t="inlineStr">
        <is>
          <t>Interaction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Failed</t>
        </is>
      </c>
      <c r="G147" s="6" t="inlineStr">
        <is>
          <t>Easy</t>
        </is>
      </c>
      <c r="M147" s="6">
        <v>151</v>
      </c>
      <c r="N147" s="6" t="inlineStr">
        <is>
          <t>2026-10-02 14:48:26.107 | Minigame: Danniel | Type: GunShoot | Outcome: Failed | Difficulty: Easy | ExpectedTime: 147.5369 | ActualTime: N/A | TimingOffset: N/A | TimingError: N/A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14:48:28.564</t>
        </is>
      </c>
      <c r="C148" s="0" t="inlineStr">
        <is>
          <t>Interaction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Success</t>
        </is>
      </c>
      <c r="G148" s="0" t="inlineStr">
        <is>
          <t>Easy</t>
        </is>
      </c>
      <c r="K148" s="4">
        <v>0.0509</v>
      </c>
      <c r="M148" s="0">
        <v>152</v>
      </c>
      <c r="N148" s="0" t="inlineStr">
        <is>
          <t>2026-10-02 14:48:28.564 | Minigame: Danniel | Type: GunShoot | Outcome: Success | Difficulty: Easy | ExpectedTime: 148.7360 | ActualTime: 148.7869 | TimingOffset: 0.0509 | TimingError: 0.0509 | ReactionTime: N/A | SpatialAccuracy: N/A | DirectionAccuracy: N/A | CorrectHand: N/A</t>
        </is>
      </c>
    </row>
    <row r="149" ht="17" customHeight="1">
      <c r="A149" s="6">
        <v>148</v>
      </c>
      <c r="B149" s="6" t="inlineStr">
        <is>
          <t>2026-10-02 14:48:29.870</t>
        </is>
      </c>
      <c r="C149" s="6" t="inlineStr">
        <is>
          <t>Interaction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Success</t>
        </is>
      </c>
      <c r="G149" s="6" t="inlineStr">
        <is>
          <t>Easy</t>
        </is>
      </c>
      <c r="K149" s="4">
        <v>0.022</v>
      </c>
      <c r="M149" s="6">
        <v>153</v>
      </c>
      <c r="N149" s="6" t="inlineStr">
        <is>
          <t>2026-10-02 14:48:29.870 | Minigame: Danniel | Type: GunShoot | Outcome: Success | Difficulty: Easy | ExpectedTime: 150.6560 | ActualTime: 150.6340 | TimingOffset: -0.0220 | TimingError: 0.0220 | ReactionTime: N/A | SpatialAccuracy: N/A | DirectionAccuracy: N/A | CorrectHand: N/A</t>
        </is>
      </c>
    </row>
    <row r="150" ht="17" customHeight="1">
      <c r="A150" s="0">
        <v>149</v>
      </c>
      <c r="B150" s="0" t="inlineStr">
        <is>
          <t>2026-10-02 14:48:30.593</t>
        </is>
      </c>
      <c r="C150" s="0" t="inlineStr">
        <is>
          <t>Interaction</t>
        </is>
      </c>
      <c r="D150" s="0" t="inlineStr">
        <is>
          <t>Danniel</t>
        </is>
      </c>
      <c r="E150" s="0" t="inlineStr">
        <is>
          <t>GunShoot</t>
        </is>
      </c>
      <c r="F150" s="0" t="inlineStr">
        <is>
          <t>Failed</t>
        </is>
      </c>
      <c r="G150" s="0" t="inlineStr">
        <is>
          <t>Easy</t>
        </is>
      </c>
      <c r="M150" s="0">
        <v>154</v>
      </c>
      <c r="N150" s="0" t="inlineStr">
        <is>
          <t>2026-10-02 14:48:30.593 | Minigame: Danniel | Type: GunShoot | Outcome: Failed | Difficulty: Easy | ExpectedTime: 152.0231 | ActualTime: N/A | TimingOffset: N/A | TimingError: N/A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14:48:31.481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Missed</t>
        </is>
      </c>
      <c r="G151" s="6" t="inlineStr">
        <is>
          <t>Normal</t>
        </is>
      </c>
      <c r="M151" s="6">
        <v>155</v>
      </c>
      <c r="N151" s="6" t="inlineStr">
        <is>
          <t>2026-10-02 14:48:31.481 | Minigame: Danniel | Type: GunShoot | Outcome: Missed | Difficulty: Normal | ExpectedTime: 152.9113 | ActualTime: N/A | TimingOffset: N/A | TimingError: N/A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14:48:31.481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Missed</t>
        </is>
      </c>
      <c r="G152" s="0" t="inlineStr">
        <is>
          <t>Normal</t>
        </is>
      </c>
      <c r="M152" s="0">
        <v>156</v>
      </c>
      <c r="N152" s="0" t="inlineStr">
        <is>
          <t>2026-10-02 14:48:31.481 | Minigame: Danniel | Type: GunShoot | Outcome: Missed | Difficulty: Normal | ExpectedTime: 152.9113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14:48:33.870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Success</t>
        </is>
      </c>
      <c r="G153" s="6" t="inlineStr">
        <is>
          <t>Easy</t>
        </is>
      </c>
      <c r="K153" s="4">
        <v>0.0713</v>
      </c>
      <c r="M153" s="6">
        <v>157</v>
      </c>
      <c r="N153" s="6" t="inlineStr">
        <is>
          <t>2026-10-02 14:48:33.870 | Minigame: Danniel | Type: GunShoot | Outcome: Success | Difficulty: Easy | ExpectedTime: 154.4960 | ActualTime: 154.4247 | TimingOffset: -0.0713 | TimingError: 0.0713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14:48:38.871</t>
        </is>
      </c>
      <c r="C154" s="0" t="inlineStr">
        <is>
          <t>PlayerState</t>
        </is>
      </c>
      <c r="H154" s="0" t="inlineStr">
        <is>
          <t>Idle</t>
        </is>
      </c>
      <c r="M154" s="0">
        <v>158</v>
      </c>
      <c r="N154" s="0" t="inlineStr">
        <is>
          <t>2026-10-02 14:48:38.871 | PlayerState: Idle</t>
        </is>
      </c>
    </row>
    <row r="155" ht="17" customHeight="1">
      <c r="A155" s="6">
        <v>154</v>
      </c>
      <c r="B155" s="6" t="inlineStr">
        <is>
          <t>2026-10-02 14:48:44.147</t>
        </is>
      </c>
      <c r="C155" s="6" t="inlineStr">
        <is>
          <t>Interaction</t>
        </is>
      </c>
      <c r="D155" s="6" t="inlineStr">
        <is>
          <t>Jeremy</t>
        </is>
      </c>
      <c r="E155" s="6" t="inlineStr">
        <is>
          <t>SwordCut</t>
        </is>
      </c>
      <c r="F155" s="6" t="inlineStr">
        <is>
          <t>Failed</t>
        </is>
      </c>
      <c r="G155" s="6" t="inlineStr">
        <is>
          <t>Easy</t>
        </is>
      </c>
      <c r="K155" s="4">
        <v>0.1698</v>
      </c>
      <c r="M155" s="6">
        <v>159</v>
      </c>
      <c r="N155" s="6" t="inlineStr">
        <is>
          <t>2026-10-02 14:48:44.147 | Minigame: Jeremy | Type: SwordCut | Outcome: Failed | Difficulty: Easy | ExpectedTime: 165.4073 | ActualTime: 165.5771 | TimingOffset: 0.1698 | TimingError: 0.1698 | ReactionTime: N/A | SpatialAccuracy: N/A | DirectionAccuracy: 0.0000 | CorrectHand: True</t>
        </is>
      </c>
    </row>
    <row r="156" ht="17" customHeight="1">
      <c r="A156" s="0">
        <v>155</v>
      </c>
      <c r="B156" s="0" t="inlineStr">
        <is>
          <t>2026-10-02 14:48:44.148</t>
        </is>
      </c>
      <c r="C156" s="0" t="inlineStr">
        <is>
          <t>PlayerState</t>
        </is>
      </c>
      <c r="H156" s="0" t="inlineStr">
        <is>
          <t>Engaged</t>
        </is>
      </c>
      <c r="M156" s="0">
        <v>160</v>
      </c>
      <c r="N156" s="0" t="inlineStr">
        <is>
          <t>2026-10-02 14:48:44.148 | PlayerState: Engaged</t>
        </is>
      </c>
    </row>
    <row r="157" ht="17" customHeight="1">
      <c r="A157" s="6">
        <v>156</v>
      </c>
      <c r="B157" s="6" t="inlineStr">
        <is>
          <t>2026-10-02 14:48:46.230</t>
        </is>
      </c>
      <c r="C157" s="6" t="inlineStr">
        <is>
          <t>Interaction</t>
        </is>
      </c>
      <c r="D157" s="6" t="inlineStr">
        <is>
          <t>Jeremy</t>
        </is>
      </c>
      <c r="E157" s="6" t="inlineStr">
        <is>
          <t>SwordCut</t>
        </is>
      </c>
      <c r="F157" s="6" t="inlineStr">
        <is>
          <t>Failed</t>
        </is>
      </c>
      <c r="G157" s="6" t="inlineStr">
        <is>
          <t>Easy</t>
        </is>
      </c>
      <c r="K157" s="4">
        <v>0.0451</v>
      </c>
      <c r="M157" s="6">
        <v>161</v>
      </c>
      <c r="N157" s="6" t="inlineStr">
        <is>
          <t>2026-10-02 14:48:46.230 | Minigame: Jeremy | Type: SwordCut | Outcome: Failed | Difficulty: Easy | ExpectedTime: 167.7061 | ActualTime: 167.6610 | TimingOffset: -0.0451 | TimingError: 0.0451 | ReactionTime: N/A | SpatialAccuracy: N/A | DirectionAccuracy: 0.0000 | CorrectHand: True</t>
        </is>
      </c>
    </row>
    <row r="158" ht="17" customHeight="1">
      <c r="A158" s="0">
        <v>157</v>
      </c>
      <c r="B158" s="0" t="inlineStr">
        <is>
          <t>2026-10-02 14:48:48.912</t>
        </is>
      </c>
      <c r="C158" s="0" t="inlineStr">
        <is>
          <t>Interaction</t>
        </is>
      </c>
      <c r="D158" s="0" t="inlineStr">
        <is>
          <t>Jeremy</t>
        </is>
      </c>
      <c r="E158" s="0" t="inlineStr">
        <is>
          <t>SwordCut</t>
        </is>
      </c>
      <c r="F158" s="0" t="inlineStr">
        <is>
          <t>Failed</t>
        </is>
      </c>
      <c r="G158" s="0" t="inlineStr">
        <is>
          <t>Easy</t>
        </is>
      </c>
      <c r="K158" s="4">
        <v>0.3374</v>
      </c>
      <c r="M158" s="0">
        <v>162</v>
      </c>
      <c r="N158" s="0" t="inlineStr">
        <is>
          <t>2026-10-02 14:48:48.912 | Minigame: Jeremy | Type: SwordCut | Outcome: Failed | Difficulty: Easy | ExpectedTime: 170.0049 | ActualTime: 170.3423 | TimingOffset: 0.3374 | TimingError: 0.3374 | ReactionTime: N/A | SpatialAccuracy: N/A | DirectionAccuracy: 1.0000 | CorrectHand: False</t>
        </is>
      </c>
    </row>
    <row r="159" ht="17" customHeight="1">
      <c r="A159" s="6">
        <v>158</v>
      </c>
      <c r="B159" s="6" t="inlineStr">
        <is>
          <t>2026-10-02 14:48:50.829</t>
        </is>
      </c>
      <c r="C159" s="6" t="inlineStr">
        <is>
          <t>Interaction</t>
        </is>
      </c>
      <c r="D159" s="6" t="inlineStr">
        <is>
          <t>Jeremy</t>
        </is>
      </c>
      <c r="E159" s="6" t="inlineStr">
        <is>
          <t>SwordCut</t>
        </is>
      </c>
      <c r="F159" s="6" t="inlineStr">
        <is>
          <t>Success</t>
        </is>
      </c>
      <c r="G159" s="6" t="inlineStr">
        <is>
          <t>Easy</t>
        </is>
      </c>
      <c r="K159" s="4">
        <v>0.0438</v>
      </c>
      <c r="M159" s="6">
        <v>163</v>
      </c>
      <c r="N159" s="6" t="inlineStr">
        <is>
          <t>2026-10-02 14:48:50.829 | Minigame: Jeremy | Type: SwordCut | Outcome: Success | Difficulty: Easy | ExpectedTime: 172.3037 | ActualTime: 172.2599 | TimingOffset: -0.0438 | TimingError: 0.0438 | ReactionTime: N/A | SpatialAccuracy: N/A | DirectionAccuracy: 1.0000 | CorrectHand: True</t>
        </is>
      </c>
    </row>
    <row r="160" ht="17" customHeight="1">
      <c r="A160" s="0">
        <v>159</v>
      </c>
      <c r="B160" s="0" t="inlineStr">
        <is>
          <t>2026-10-02 14:48:53.817</t>
        </is>
      </c>
      <c r="C160" s="0" t="inlineStr">
        <is>
          <t>Interaction</t>
        </is>
      </c>
      <c r="D160" s="0" t="inlineStr">
        <is>
          <t>Jeremy</t>
        </is>
      </c>
      <c r="E160" s="0" t="inlineStr">
        <is>
          <t>SwordCut</t>
        </is>
      </c>
      <c r="F160" s="0" t="inlineStr">
        <is>
          <t>Missed</t>
        </is>
      </c>
      <c r="G160" s="0" t="inlineStr">
        <is>
          <t>Easy</t>
        </is>
      </c>
      <c r="M160" s="0">
        <v>164</v>
      </c>
      <c r="N160" s="0" t="inlineStr">
        <is>
          <t>2026-10-02 14:48:53.817 | Minigame: Jeremy | Type: SwordCut | Outcome: Missed | Difficulty: Easy | ExpectedTime: 174.6024 | ActualTime: N/A | TimingOffset: N/A | TimingError: N/A | ReactionTime: N/A | SpatialAccuracy: N/A | DirectionAccuracy: N/A | CorrectHand: N/A</t>
        </is>
      </c>
    </row>
    <row r="161" ht="17" customHeight="1">
      <c r="A161" s="6">
        <v>160</v>
      </c>
      <c r="B161" s="6" t="inlineStr">
        <is>
          <t>2026-10-02 14:48:53.817</t>
        </is>
      </c>
      <c r="C161" s="6" t="inlineStr">
        <is>
          <t>PlayerState</t>
        </is>
      </c>
      <c r="H161" s="6" t="inlineStr">
        <is>
          <t>Overloaded</t>
        </is>
      </c>
      <c r="M161" s="6">
        <v>165</v>
      </c>
      <c r="N161" s="6" t="inlineStr">
        <is>
          <t>2026-10-02 14:48:53.817 | PlayerState: Overloaded</t>
        </is>
      </c>
    </row>
    <row r="162" ht="17" customHeight="1">
      <c r="A162" s="0">
        <v>161</v>
      </c>
      <c r="B162" s="0" t="inlineStr">
        <is>
          <t>2026-10-02 14:48:55.830</t>
        </is>
      </c>
      <c r="C162" s="0" t="inlineStr">
        <is>
          <t>PlayerState</t>
        </is>
      </c>
      <c r="H162" s="0" t="inlineStr">
        <is>
          <t>Idle</t>
        </is>
      </c>
      <c r="M162" s="0">
        <v>166</v>
      </c>
      <c r="N162" s="0" t="inlineStr">
        <is>
          <t>2026-10-02 14:48:55.830 | PlayerState: Idle</t>
        </is>
      </c>
    </row>
    <row r="163" ht="17" customHeight="1">
      <c r="A163" s="6">
        <v>162</v>
      </c>
      <c r="B163" s="6" t="inlineStr">
        <is>
          <t>2026-10-02 14:48:56.107</t>
        </is>
      </c>
      <c r="C163" s="6" t="inlineStr">
        <is>
          <t>Interaction</t>
        </is>
      </c>
      <c r="D163" s="6" t="inlineStr">
        <is>
          <t>Jeremy</t>
        </is>
      </c>
      <c r="E163" s="6" t="inlineStr">
        <is>
          <t>SwordCut</t>
        </is>
      </c>
      <c r="F163" s="6" t="inlineStr">
        <is>
          <t>Missed</t>
        </is>
      </c>
      <c r="G163" s="6" t="inlineStr">
        <is>
          <t>Easy</t>
        </is>
      </c>
      <c r="M163" s="6">
        <v>167</v>
      </c>
      <c r="N163" s="6" t="inlineStr">
        <is>
          <t>2026-10-02 14:48:56.107 | Minigame: Jeremy | Type: SwordCut | Outcome: Missed | Difficulty: Easy | ExpectedTime: 176.9012 | ActualTime: N/A | TimingOffset: N/A | TimingError: N/A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14:48:57.940</t>
        </is>
      </c>
      <c r="C164" s="0" t="inlineStr">
        <is>
          <t>Interaction</t>
        </is>
      </c>
      <c r="D164" s="0" t="inlineStr">
        <is>
          <t>Jeremy</t>
        </is>
      </c>
      <c r="E164" s="0" t="inlineStr">
        <is>
          <t>SwordCut</t>
        </is>
      </c>
      <c r="F164" s="0" t="inlineStr">
        <is>
          <t>Success</t>
        </is>
      </c>
      <c r="G164" s="0" t="inlineStr">
        <is>
          <t>Easy</t>
        </is>
      </c>
      <c r="K164" s="4">
        <v>0.1708</v>
      </c>
      <c r="M164" s="0">
        <v>168</v>
      </c>
      <c r="N164" s="0" t="inlineStr">
        <is>
          <t>2026-10-02 14:48:57.940 | Minigame: Jeremy | Type: SwordCut | Outcome: Success | Difficulty: Easy | ExpectedTime: 179.2000 | ActualTime: 179.3707 | TimingOffset: 0.1708 | TimingError: 0.1708 | ReactionTime: N/A | SpatialAccuracy: N/A | DirectionAccuracy: 1.0000 | CorrectHand: True</t>
        </is>
      </c>
    </row>
    <row r="165" ht="17" customHeight="1">
      <c r="A165" s="6">
        <v>164</v>
      </c>
      <c r="B165" s="6" t="inlineStr">
        <is>
          <t>2026-10-02 14:48:57.940</t>
        </is>
      </c>
      <c r="C165" s="6" t="inlineStr">
        <is>
          <t>PlayerState</t>
        </is>
      </c>
      <c r="H165" s="6" t="inlineStr">
        <is>
          <t>Engaged</t>
        </is>
      </c>
      <c r="M165" s="6">
        <v>169</v>
      </c>
      <c r="N165" s="6" t="inlineStr">
        <is>
          <t>2026-10-02 14:48:57.940 | PlayerState: Engaged</t>
        </is>
      </c>
    </row>
    <row r="166" ht="17" customHeight="1">
      <c r="A166" s="0">
        <v>165</v>
      </c>
      <c r="B166" s="0" t="inlineStr">
        <is>
          <t>2026-10-02 14:48:59.870</t>
        </is>
      </c>
      <c r="C166" s="0" t="inlineStr">
        <is>
          <t>Interaction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Success</t>
        </is>
      </c>
      <c r="G166" s="0" t="inlineStr">
        <is>
          <t>Easy</t>
        </is>
      </c>
      <c r="K166" s="4">
        <v>0.1977</v>
      </c>
      <c r="M166" s="0">
        <v>170</v>
      </c>
      <c r="N166" s="0" t="inlineStr">
        <is>
          <t>2026-10-02 14:48:59.870 | Minigame: Jeremy | Type: SwordCut | Outcome: Success | Difficulty: Easy | ExpectedTime: 181.4988 | ActualTime: 181.3011 | TimingOffset: -0.1977 | TimingError: 0.1977 | ReactionTime: N/A | SpatialAccuracy: N/A | DirectionAccuracy: 1.0000 | CorrectHand: True</t>
        </is>
      </c>
    </row>
    <row r="167" ht="17" customHeight="1">
      <c r="A167" s="6">
        <v>166</v>
      </c>
      <c r="B167" s="6" t="inlineStr">
        <is>
          <t>2026-10-02 14:49:04.869</t>
        </is>
      </c>
      <c r="C167" s="6" t="inlineStr">
        <is>
          <t>PlayerState</t>
        </is>
      </c>
      <c r="H167" s="6" t="inlineStr">
        <is>
          <t>Idle</t>
        </is>
      </c>
      <c r="M167" s="6">
        <v>171</v>
      </c>
      <c r="N167" s="6" t="inlineStr">
        <is>
          <t>2026-10-02 14:49:04.869 | PlayerState: Idle</t>
        </is>
      </c>
    </row>
  </sheetData>
  <autoFilter ref="A1:N167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