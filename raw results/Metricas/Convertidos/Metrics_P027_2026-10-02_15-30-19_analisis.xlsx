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P027</t>
        </is>
      </c>
    </row>
    <row r="2" ht="17" customHeight="1"/>
    <row r="3" ht="17" customHeight="1">
      <c r="A3" s="6" t="inlineStr">
        <is>
          <t>Inicio: 2026-10-02 15:30:19     |     Fuente: Metrics_P027_2026-10-02_15-30-19.txt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117.0</v>
      </c>
      <c r="C6" s="0">
        <f>COUNTA('Interacciones'!$A$2:$A$118)</f>
        <v>117</v>
      </c>
      <c r="E6" s="0" t="inlineStr">
        <is>
          <t>Cambios de dificultad</t>
        </is>
      </c>
      <c r="F6" s="0">
        <v>3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68.0</v>
      </c>
      <c r="C7" s="6">
        <f>COUNTIF('Interacciones'!$F$2:$F$118,"Success")</f>
        <v>68</v>
      </c>
      <c r="E7" s="6" t="inlineStr">
        <is>
          <t>Estados del jugador</t>
        </is>
      </c>
      <c r="F7" s="6">
        <v>18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36.0</v>
      </c>
      <c r="C8" s="0">
        <f>COUNTIF('Interacciones'!$F$2:$F$118,"Failed")</f>
        <v>36</v>
      </c>
      <c r="E8" s="0" t="inlineStr">
        <is>
          <t>Eventos totales</t>
        </is>
      </c>
      <c r="F8" s="0">
        <v>138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13.0</v>
      </c>
      <c r="C9" s="6">
        <f>COUNTIF('Interacciones'!$F$2:$F$118,"Missed")</f>
        <v>13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0.5812</v>
      </c>
      <c r="C10" s="0">
        <f>IFERROR(C7/C6,0)</f>
        <v>0.5811965811965812</v>
      </c>
    </row>
    <row r="11" ht="17" customHeight="1">
      <c r="A11" s="6" t="inlineStr">
        <is>
          <t>Error timing medio (s)</t>
        </is>
      </c>
      <c r="B11" s="6">
        <v>0.2828</v>
      </c>
      <c r="C11" s="6">
        <f>IFERROR(AVERAGE('Interacciones'!$K$2:$K$118),"")</f>
        <v>0.2827818181818182</v>
      </c>
    </row>
    <row r="12" ht="17" customHeight="1">
      <c r="A12" s="0" t="inlineStr">
        <is>
          <t>Reacción media (s)</t>
        </is>
      </c>
      <c r="B12" s="0">
        <v>0.7862</v>
      </c>
      <c r="C12" s="0">
        <f>IFERROR(AVERAGE('Interacciones'!$L$2:$L$118),"")</f>
        <v>0.78623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IFERROR(AVERAGE('Interacciones'!$M$2:$M$118),"")</f>
        <v/>
      </c>
    </row>
    <row r="14" ht="17" customHeight="1">
      <c r="A14" s="0" t="inlineStr">
        <is>
          <t>Precisión dirección media</t>
        </is>
      </c>
      <c r="B14" s="0">
        <v>0.7097</v>
      </c>
      <c r="C14" s="0">
        <f>IFERROR(AVERAGE('Interacciones'!$N$2:$N$118),"")</f>
        <v>0.7096774193548387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COUNTIF('Interacciones'!$D$2:$D$118,$A5)</f>
        <v>45</v>
      </c>
      <c r="C5" s="6">
        <f>COUNTIFS('Interacciones'!$D$2:$D$118,$A5,'Interacciones'!$F$2:$F$118,"Success")</f>
        <v>23</v>
      </c>
      <c r="D5" s="6">
        <f>COUNTIFS('Interacciones'!$D$2:$D$118,$A5,'Interacciones'!$F$2:$F$118,"Failed")</f>
        <v>13</v>
      </c>
      <c r="E5" s="6">
        <f>COUNTIFS('Interacciones'!$D$2:$D$118,$A5,'Interacciones'!$F$2:$F$118,"Missed")</f>
        <v>9</v>
      </c>
      <c r="F5" s="3">
        <f>IFERROR(C5/B5,0)</f>
        <v>0.5111111111111111</v>
      </c>
      <c r="G5" s="4">
        <f>IFERROR(AVERAGEIF('Interacciones'!$D$2:$D$118,$A5,'Interacciones'!$K$2:$K$118),"")</f>
        <v>0.017536</v>
      </c>
      <c r="H5" s="4" t="str">
        <f>IFERROR(AVERAGEIF('Interacciones'!$D$2:$D$118,$A5,'Interacciones'!$L$2:$L$118),"")</f>
        <v/>
      </c>
      <c r="I5" s="6">
        <f>COUNTIF('Adaptaciones'!$C$2:$C$4,$A5)</f>
        <v>3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COUNTIF('Interacciones'!$D$2:$D$118,$A6)</f>
        <v>20</v>
      </c>
      <c r="C6" s="0">
        <f>COUNTIFS('Interacciones'!$D$2:$D$118,$A6,'Interacciones'!$F$2:$F$118,"Success")</f>
        <v>10</v>
      </c>
      <c r="D6" s="0">
        <f>COUNTIFS('Interacciones'!$D$2:$D$118,$A6,'Interacciones'!$F$2:$F$118,"Failed")</f>
        <v>9</v>
      </c>
      <c r="E6" s="0">
        <f>COUNTIFS('Interacciones'!$D$2:$D$118,$A6,'Interacciones'!$F$2:$F$118,"Missed")</f>
        <v>1</v>
      </c>
      <c r="F6" s="3">
        <f>IFERROR(C6/B6,0)</f>
        <v>0.5</v>
      </c>
      <c r="G6" s="4">
        <f>IFERROR(AVERAGEIF('Interacciones'!$D$2:$D$118,$A6,'Interacciones'!$K$2:$K$118),"")</f>
        <v>0.07018</v>
      </c>
      <c r="H6" s="4" t="str">
        <f>IFERROR(AVERAGEIF('Interacciones'!$D$2:$D$118,$A6,'Interacciones'!$L$2:$L$118),"")</f>
        <v/>
      </c>
      <c r="I6" s="0">
        <f>COUNTIF('Adaptaciones'!$C$2:$C$4,$A6)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COUNTIF('Interacciones'!$D$2:$D$118,$A7)</f>
        <v>8</v>
      </c>
      <c r="C7" s="6">
        <f>COUNTIFS('Interacciones'!$D$2:$D$118,$A7,'Interacciones'!$F$2:$F$118,"Success")</f>
        <v>5</v>
      </c>
      <c r="D7" s="6">
        <f>COUNTIFS('Interacciones'!$D$2:$D$118,$A7,'Interacciones'!$F$2:$F$118,"Failed")</f>
        <v>1</v>
      </c>
      <c r="E7" s="6">
        <f>COUNTIFS('Interacciones'!$D$2:$D$118,$A7,'Interacciones'!$F$2:$F$118,"Missed")</f>
        <v>2</v>
      </c>
      <c r="F7" s="3">
        <f>IFERROR(C7/B7,0)</f>
        <v>0.625</v>
      </c>
      <c r="G7" s="4">
        <f>IFERROR(AVERAGEIF('Interacciones'!$D$2:$D$118,$A7,'Interacciones'!$K$2:$K$118),"")</f>
        <v>0.1538</v>
      </c>
      <c r="H7" s="4" t="str">
        <f>IFERROR(AVERAGEIF('Interacciones'!$D$2:$D$118,$A7,'Interacciones'!$L$2:$L$118),"")</f>
        <v/>
      </c>
      <c r="I7" s="6">
        <f>COUNTIF('Adaptaciones'!$C$2:$C$4,$A7)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COUNTIF('Interacciones'!$D$2:$D$118,$A8)</f>
        <v>14</v>
      </c>
      <c r="C8" s="0">
        <f>COUNTIFS('Interacciones'!$D$2:$D$118,$A8,'Interacciones'!$F$2:$F$118,"Success")</f>
        <v>11</v>
      </c>
      <c r="D8" s="0">
        <f>COUNTIFS('Interacciones'!$D$2:$D$118,$A8,'Interacciones'!$F$2:$F$118,"Failed")</f>
        <v>3</v>
      </c>
      <c r="E8" s="0">
        <f>COUNTIFS('Interacciones'!$D$2:$D$118,$A8,'Interacciones'!$F$2:$F$118,"Missed")</f>
        <v>0</v>
      </c>
      <c r="F8" s="3">
        <f>IFERROR(C8/B8,0)</f>
        <v>0.7857142857142857</v>
      </c>
      <c r="G8" s="4">
        <f>IFERROR(AVERAGEIF('Interacciones'!$D$2:$D$118,$A8,'Interacciones'!$K$2:$K$118),"")</f>
        <v>0.09436363636363636</v>
      </c>
      <c r="H8" s="4" t="str">
        <f>IFERROR(AVERAGEIF('Interacciones'!$D$2:$D$118,$A8,'Interacciones'!$L$2:$L$118),"")</f>
        <v/>
      </c>
      <c r="I8" s="0">
        <f>COUNTIF('Adaptaciones'!$C$2:$C$4,$A8)</f>
        <v>0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COUNTIF('Interacciones'!$D$2:$D$118,$A9)</f>
        <v>16</v>
      </c>
      <c r="C9" s="6">
        <f>COUNTIFS('Interacciones'!$D$2:$D$118,$A9,'Interacciones'!$F$2:$F$118,"Success")</f>
        <v>8</v>
      </c>
      <c r="D9" s="6">
        <f>COUNTIFS('Interacciones'!$D$2:$D$118,$A9,'Interacciones'!$F$2:$F$118,"Failed")</f>
        <v>7</v>
      </c>
      <c r="E9" s="6">
        <f>COUNTIFS('Interacciones'!$D$2:$D$118,$A9,'Interacciones'!$F$2:$F$118,"Missed")</f>
        <v>1</v>
      </c>
      <c r="F9" s="3">
        <f>IFERROR(C9/B9,0)</f>
        <v>0.5</v>
      </c>
      <c r="G9" s="4">
        <f>IFERROR(AVERAGEIF('Interacciones'!$D$2:$D$118,$A9,'Interacciones'!$K$2:$K$118),"")</f>
        <v>1.0065</v>
      </c>
      <c r="H9" s="4" t="str">
        <f>IFERROR(AVERAGEIF('Interacciones'!$D$2:$D$118,$A9,'Interacciones'!$L$2:$L$118),"")</f>
        <v/>
      </c>
      <c r="I9" s="6">
        <f>COUNTIF('Adaptaciones'!$C$2:$C$4,$A9)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COUNTIF('Interacciones'!$D$2:$D$118,$A10)</f>
        <v>14</v>
      </c>
      <c r="C10" s="0">
        <f>COUNTIFS('Interacciones'!$D$2:$D$118,$A10,'Interacciones'!$F$2:$F$118,"Success")</f>
        <v>11</v>
      </c>
      <c r="D10" s="0">
        <f>COUNTIFS('Interacciones'!$D$2:$D$118,$A10,'Interacciones'!$F$2:$F$118,"Failed")</f>
        <v>3</v>
      </c>
      <c r="E10" s="0">
        <f>COUNTIFS('Interacciones'!$D$2:$D$118,$A10,'Interacciones'!$F$2:$F$118,"Missed")</f>
        <v>0</v>
      </c>
      <c r="F10" s="3">
        <f>IFERROR(C10/B10,0)</f>
        <v>0.7857142857142857</v>
      </c>
      <c r="G10" s="4">
        <f>IFERROR(AVERAGEIF('Interacciones'!$D$2:$D$118,$A10,'Interacciones'!$K$2:$K$118),"")</f>
        <v>0.35757</v>
      </c>
      <c r="H10" s="4">
        <f>IFERROR(AVERAGEIF('Interacciones'!$D$2:$D$118,$A10,'Interacciones'!$L$2:$L$118),"")</f>
        <v>0.78623</v>
      </c>
      <c r="I10" s="0">
        <f>COUNTIF('Adaptaciones'!$C$2:$C$4,$A10)</f>
        <v>0</v>
      </c>
      <c r="J10" s="0" t="inlineStr">
        <is>
          <t>FoodClear, 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4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COUNTIFS('Interacciones'!$D$2:$D$118,$A5,'Interacciones'!$E$2:$E$118,$B5)</f>
        <v>26</v>
      </c>
      <c r="D5" s="6">
        <f>COUNTIFS('Interacciones'!$D$2:$D$118,$A5,'Interacciones'!$E$2:$E$118,$B5,'Interacciones'!$F$2:$F$118,"Success")</f>
        <v>16</v>
      </c>
      <c r="E5" s="6">
        <f>COUNTIFS('Interacciones'!$D$2:$D$118,$A5,'Interacciones'!$E$2:$E$118,$B5,'Interacciones'!$F$2:$F$118,"Failed")</f>
        <v>10</v>
      </c>
      <c r="F5" s="6">
        <f>COUNTIFS('Interacciones'!$D$2:$D$118,$A5,'Interacciones'!$E$2:$E$118,$B5,'Interacciones'!$F$2:$F$118,"Missed")</f>
        <v>0</v>
      </c>
      <c r="G5" s="3">
        <f>IFERROR(D5/C5,0)</f>
        <v>0.6153846153846154</v>
      </c>
      <c r="H5" s="4">
        <f>IFERROR(AVERAGEIFS('Interacciones'!$K$2:$K$118,'Interacciones'!$D$2:$D$118,$A5,'Interacciones'!$E$2:$E$118,$B5),"")</f>
        <v>0.017536</v>
      </c>
      <c r="I5" s="4" t="str">
        <f>IFERROR(AVERAGEIFS('Interacciones'!$L$2:$L$118,'Interacciones'!$D$2:$D$118,$A5,'Interacciones'!$E$2:$E$118,$B5),"")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COUNTIFS('Interacciones'!$D$2:$D$118,$A6,'Interacciones'!$E$2:$E$118,$B6)</f>
        <v>19</v>
      </c>
      <c r="D6" s="0">
        <f>COUNTIFS('Interacciones'!$D$2:$D$118,$A6,'Interacciones'!$E$2:$E$118,$B6,'Interacciones'!$F$2:$F$118,"Success")</f>
        <v>7</v>
      </c>
      <c r="E6" s="0">
        <f>COUNTIFS('Interacciones'!$D$2:$D$118,$A6,'Interacciones'!$E$2:$E$118,$B6,'Interacciones'!$F$2:$F$118,"Failed")</f>
        <v>3</v>
      </c>
      <c r="F6" s="0">
        <f>COUNTIFS('Interacciones'!$D$2:$D$118,$A6,'Interacciones'!$E$2:$E$118,$B6,'Interacciones'!$F$2:$F$118,"Missed")</f>
        <v>9</v>
      </c>
      <c r="G6" s="3">
        <f>IFERROR(D6/C6,0)</f>
        <v>0.3684210526315789</v>
      </c>
      <c r="H6" s="4" t="str">
        <f>IFERROR(AVERAGEIFS('Interacciones'!$K$2:$K$118,'Interacciones'!$D$2:$D$118,$A6,'Interacciones'!$E$2:$E$118,$B6),"")</f>
        <v/>
      </c>
      <c r="I6" s="4" t="str">
        <f>IFERROR(AVERAGEIFS('Interacciones'!$L$2:$L$118,'Interacciones'!$D$2:$D$118,$A6,'Interacciones'!$E$2:$E$118,$B6),"")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COUNTIFS('Interacciones'!$D$2:$D$118,$A7,'Interacciones'!$E$2:$E$118,$B7)</f>
        <v>18</v>
      </c>
      <c r="D7" s="6">
        <f>COUNTIFS('Interacciones'!$D$2:$D$118,$A7,'Interacciones'!$E$2:$E$118,$B7,'Interacciones'!$F$2:$F$118,"Success")</f>
        <v>10</v>
      </c>
      <c r="E7" s="6">
        <f>COUNTIFS('Interacciones'!$D$2:$D$118,$A7,'Interacciones'!$E$2:$E$118,$B7,'Interacciones'!$F$2:$F$118,"Failed")</f>
        <v>7</v>
      </c>
      <c r="F7" s="6">
        <f>COUNTIFS('Interacciones'!$D$2:$D$118,$A7,'Interacciones'!$E$2:$E$118,$B7,'Interacciones'!$F$2:$F$118,"Missed")</f>
        <v>1</v>
      </c>
      <c r="G7" s="3">
        <f>IFERROR(D7/C7,0)</f>
        <v>0.5555555555555556</v>
      </c>
      <c r="H7" s="4">
        <f>IFERROR(AVERAGEIFS('Interacciones'!$K$2:$K$118,'Interacciones'!$D$2:$D$118,$A7,'Interacciones'!$E$2:$E$118,$B7),"")</f>
        <v>0.07018</v>
      </c>
      <c r="I7" s="4" t="str">
        <f>IFERROR(AVERAGEIFS('Interacciones'!$L$2:$L$118,'Interacciones'!$D$2:$D$118,$A7,'Interacciones'!$E$2:$E$118,$B7),"")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COUNTIFS('Interacciones'!$D$2:$D$118,$A8,'Interacciones'!$E$2:$E$118,$B8)</f>
        <v>2</v>
      </c>
      <c r="D8" s="0">
        <f>COUNTIFS('Interacciones'!$D$2:$D$118,$A8,'Interacciones'!$E$2:$E$118,$B8,'Interacciones'!$F$2:$F$118,"Success")</f>
        <v>0</v>
      </c>
      <c r="E8" s="0">
        <f>COUNTIFS('Interacciones'!$D$2:$D$118,$A8,'Interacciones'!$E$2:$E$118,$B8,'Interacciones'!$F$2:$F$118,"Failed")</f>
        <v>2</v>
      </c>
      <c r="F8" s="0">
        <f>COUNTIFS('Interacciones'!$D$2:$D$118,$A8,'Interacciones'!$E$2:$E$118,$B8,'Interacciones'!$F$2:$F$118,"Missed")</f>
        <v>0</v>
      </c>
      <c r="G8" s="3">
        <f>IFERROR(D8/C8,0)</f>
        <v>0.0</v>
      </c>
      <c r="H8" s="4" t="str">
        <f>IFERROR(AVERAGEIFS('Interacciones'!$K$2:$K$118,'Interacciones'!$D$2:$D$118,$A8,'Interacciones'!$E$2:$E$118,$B8),"")</f>
        <v/>
      </c>
      <c r="I8" s="4" t="str">
        <f>IFERROR(AVERAGEIFS('Interacciones'!$L$2:$L$118,'Interacciones'!$D$2:$D$118,$A8,'Interacciones'!$E$2:$E$118,$B8),"")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COUNTIFS('Interacciones'!$D$2:$D$118,$A9,'Interacciones'!$E$2:$E$118,$B9)</f>
        <v>8</v>
      </c>
      <c r="D9" s="6">
        <f>COUNTIFS('Interacciones'!$D$2:$D$118,$A9,'Interacciones'!$E$2:$E$118,$B9,'Interacciones'!$F$2:$F$118,"Success")</f>
        <v>5</v>
      </c>
      <c r="E9" s="6">
        <f>COUNTIFS('Interacciones'!$D$2:$D$118,$A9,'Interacciones'!$E$2:$E$118,$B9,'Interacciones'!$F$2:$F$118,"Failed")</f>
        <v>1</v>
      </c>
      <c r="F9" s="6">
        <f>COUNTIFS('Interacciones'!$D$2:$D$118,$A9,'Interacciones'!$E$2:$E$118,$B9,'Interacciones'!$F$2:$F$118,"Missed")</f>
        <v>2</v>
      </c>
      <c r="G9" s="3">
        <f>IFERROR(D9/C9,0)</f>
        <v>0.625</v>
      </c>
      <c r="H9" s="4">
        <f>IFERROR(AVERAGEIFS('Interacciones'!$K$2:$K$118,'Interacciones'!$D$2:$D$118,$A9,'Interacciones'!$E$2:$E$118,$B9),"")</f>
        <v>0.1538</v>
      </c>
      <c r="I9" s="4" t="str">
        <f>IFERROR(AVERAGEIFS('Interacciones'!$L$2:$L$118,'Interacciones'!$D$2:$D$118,$A9,'Interacciones'!$E$2:$E$118,$B9),"")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COUNTIFS('Interacciones'!$D$2:$D$118,$A10,'Interacciones'!$E$2:$E$118,$B10)</f>
        <v>11</v>
      </c>
      <c r="D10" s="0">
        <f>COUNTIFS('Interacciones'!$D$2:$D$118,$A10,'Interacciones'!$E$2:$E$118,$B10,'Interacciones'!$F$2:$F$118,"Success")</f>
        <v>11</v>
      </c>
      <c r="E10" s="0">
        <f>COUNTIFS('Interacciones'!$D$2:$D$118,$A10,'Interacciones'!$E$2:$E$118,$B10,'Interacciones'!$F$2:$F$118,"Failed")</f>
        <v>0</v>
      </c>
      <c r="F10" s="0">
        <f>COUNTIFS('Interacciones'!$D$2:$D$118,$A10,'Interacciones'!$E$2:$E$118,$B10,'Interacciones'!$F$2:$F$118,"Missed")</f>
        <v>0</v>
      </c>
      <c r="G10" s="3">
        <f>IFERROR(D10/C10,0)</f>
        <v>1.0</v>
      </c>
      <c r="H10" s="4">
        <f>IFERROR(AVERAGEIFS('Interacciones'!$K$2:$K$118,'Interacciones'!$D$2:$D$118,$A10,'Interacciones'!$E$2:$E$118,$B10),"")</f>
        <v>0.09436363636363636</v>
      </c>
      <c r="I10" s="4" t="str">
        <f>IFERROR(AVERAGEIFS('Interacciones'!$L$2:$L$118,'Interacciones'!$D$2:$D$118,$A10,'Interacciones'!$E$2:$E$118,$B10),"")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COUNTIFS('Interacciones'!$D$2:$D$118,$A11,'Interacciones'!$E$2:$E$118,$B11)</f>
        <v>3</v>
      </c>
      <c r="D11" s="6">
        <f>COUNTIFS('Interacciones'!$D$2:$D$118,$A11,'Interacciones'!$E$2:$E$118,$B11,'Interacciones'!$F$2:$F$118,"Success")</f>
        <v>0</v>
      </c>
      <c r="E11" s="6">
        <f>COUNTIFS('Interacciones'!$D$2:$D$118,$A11,'Interacciones'!$E$2:$E$118,$B11,'Interacciones'!$F$2:$F$118,"Failed")</f>
        <v>3</v>
      </c>
      <c r="F11" s="6">
        <f>COUNTIFS('Interacciones'!$D$2:$D$118,$A11,'Interacciones'!$E$2:$E$118,$B11,'Interacciones'!$F$2:$F$118,"Missed")</f>
        <v>0</v>
      </c>
      <c r="G11" s="3">
        <f>IFERROR(D11/C11,0)</f>
        <v>0.0</v>
      </c>
      <c r="H11" s="4" t="str">
        <f>IFERROR(AVERAGEIFS('Interacciones'!$K$2:$K$118,'Interacciones'!$D$2:$D$118,$A11,'Interacciones'!$E$2:$E$118,$B11),"")</f>
        <v/>
      </c>
      <c r="I11" s="4" t="str">
        <f>IFERROR(AVERAGEIFS('Interacciones'!$L$2:$L$118,'Interacciones'!$D$2:$D$118,$A11,'Interacciones'!$E$2:$E$118,$B11),"")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COUNTIFS('Interacciones'!$D$2:$D$118,$A12,'Interacciones'!$E$2:$E$118,$B12)</f>
        <v>16</v>
      </c>
      <c r="D12" s="0">
        <f>COUNTIFS('Interacciones'!$D$2:$D$118,$A12,'Interacciones'!$E$2:$E$118,$B12,'Interacciones'!$F$2:$F$118,"Success")</f>
        <v>8</v>
      </c>
      <c r="E12" s="0">
        <f>COUNTIFS('Interacciones'!$D$2:$D$118,$A12,'Interacciones'!$E$2:$E$118,$B12,'Interacciones'!$F$2:$F$118,"Failed")</f>
        <v>7</v>
      </c>
      <c r="F12" s="0">
        <f>COUNTIFS('Interacciones'!$D$2:$D$118,$A12,'Interacciones'!$E$2:$E$118,$B12,'Interacciones'!$F$2:$F$118,"Missed")</f>
        <v>1</v>
      </c>
      <c r="G12" s="3">
        <f>IFERROR(D12/C12,0)</f>
        <v>0.5</v>
      </c>
      <c r="H12" s="4">
        <f>IFERROR(AVERAGEIFS('Interacciones'!$K$2:$K$118,'Interacciones'!$D$2:$D$118,$A12,'Interacciones'!$E$2:$E$118,$B12),"")</f>
        <v>1.0065</v>
      </c>
      <c r="I12" s="4" t="str">
        <f>IFERROR(AVERAGEIFS('Interacciones'!$L$2:$L$118,'Interacciones'!$D$2:$D$118,$A12,'Interacciones'!$E$2:$E$118,$B12),"")</f>
        <v/>
      </c>
    </row>
    <row r="13" ht="17" customHeight="1">
      <c r="A13" s="6" t="inlineStr">
        <is>
          <t>Shipi</t>
        </is>
      </c>
      <c r="B13" s="6" t="inlineStr">
        <is>
          <t>FoodClear</t>
        </is>
      </c>
      <c r="C13" s="6">
        <f>COUNTIFS('Interacciones'!$D$2:$D$118,$A13,'Interacciones'!$E$2:$E$118,$B13)</f>
        <v>3</v>
      </c>
      <c r="D13" s="6">
        <f>COUNTIFS('Interacciones'!$D$2:$D$118,$A13,'Interacciones'!$E$2:$E$118,$B13,'Interacciones'!$F$2:$F$118,"Success")</f>
        <v>3</v>
      </c>
      <c r="E13" s="6">
        <f>COUNTIFS('Interacciones'!$D$2:$D$118,$A13,'Interacciones'!$E$2:$E$118,$B13,'Interacciones'!$F$2:$F$118,"Failed")</f>
        <v>0</v>
      </c>
      <c r="F13" s="6">
        <f>COUNTIFS('Interacciones'!$D$2:$D$118,$A13,'Interacciones'!$E$2:$E$118,$B13,'Interacciones'!$F$2:$F$118,"Missed")</f>
        <v>0</v>
      </c>
      <c r="G13" s="3">
        <f>IFERROR(D13/C13,0)</f>
        <v>1.0</v>
      </c>
      <c r="H13" s="4" t="str">
        <f>IFERROR(AVERAGEIFS('Interacciones'!$K$2:$K$118,'Interacciones'!$D$2:$D$118,$A13,'Interacciones'!$E$2:$E$118,$B13),"")</f>
        <v/>
      </c>
      <c r="I13" s="4" t="str">
        <f>IFERROR(AVERAGEIFS('Interacciones'!$L$2:$L$118,'Interacciones'!$D$2:$D$118,$A13,'Interacciones'!$E$2:$E$118,$B13),"")</f>
        <v/>
      </c>
    </row>
    <row r="14" ht="17" customHeight="1">
      <c r="A14" s="0" t="inlineStr">
        <is>
          <t>Shipi</t>
        </is>
      </c>
      <c r="B14" s="0" t="inlineStr">
        <is>
          <t>FoodCut</t>
        </is>
      </c>
      <c r="C14" s="0">
        <f>COUNTIFS('Interacciones'!$D$2:$D$118,$A14,'Interacciones'!$E$2:$E$118,$B14)</f>
        <v>11</v>
      </c>
      <c r="D14" s="0">
        <f>COUNTIFS('Interacciones'!$D$2:$D$118,$A14,'Interacciones'!$E$2:$E$118,$B14,'Interacciones'!$F$2:$F$118,"Success")</f>
        <v>8</v>
      </c>
      <c r="E14" s="0">
        <f>COUNTIFS('Interacciones'!$D$2:$D$118,$A14,'Interacciones'!$E$2:$E$118,$B14,'Interacciones'!$F$2:$F$118,"Failed")</f>
        <v>3</v>
      </c>
      <c r="F14" s="0">
        <f>COUNTIFS('Interacciones'!$D$2:$D$118,$A14,'Interacciones'!$E$2:$E$118,$B14,'Interacciones'!$F$2:$F$118,"Missed")</f>
        <v>0</v>
      </c>
      <c r="G14" s="3">
        <f>IFERROR(D14/C14,0)</f>
        <v>0.7272727272727273</v>
      </c>
      <c r="H14" s="4">
        <f>IFERROR(AVERAGEIFS('Interacciones'!$K$2:$K$118,'Interacciones'!$D$2:$D$118,$A14,'Interacciones'!$E$2:$E$118,$B14),"")</f>
        <v>0.35757</v>
      </c>
      <c r="I14" s="4">
        <f>IFERROR(AVERAGEIFS('Interacciones'!$L$2:$L$118,'Interacciones'!$D$2:$D$118,$A14,'Interacciones'!$E$2:$E$118,$B14),"")</f>
        <v>0.78623</v>
      </c>
    </row>
  </sheetData>
  <autoFilter ref="A4:I14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18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P027</t>
        </is>
      </c>
      <c r="C2" s="0" t="inlineStr">
        <is>
          <t>2026-10-02 15:30:22.511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Missed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3</v>
      </c>
      <c r="B3" s="6" t="inlineStr">
        <is>
          <t>P027</t>
        </is>
      </c>
      <c r="C3" s="6" t="inlineStr">
        <is>
          <t>2026-10-02 15:30:23.275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Missed</t>
        </is>
      </c>
      <c r="G3" s="6" t="inlineStr">
        <is>
          <t>Normal</t>
        </is>
      </c>
      <c r="H3" s="4">
        <v>1.664</v>
      </c>
      <c r="P3" s="6">
        <v>8</v>
      </c>
    </row>
    <row r="4" ht="17" customHeight="1">
      <c r="A4" s="0">
        <v>4</v>
      </c>
      <c r="B4" s="0" t="inlineStr">
        <is>
          <t>P027</t>
        </is>
      </c>
      <c r="C4" s="0" t="inlineStr">
        <is>
          <t>2026-10-02 15:30:23.284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Missed</t>
        </is>
      </c>
      <c r="G4" s="0" t="inlineStr">
        <is>
          <t>Normal</t>
        </is>
      </c>
      <c r="H4" s="4">
        <v>1.664</v>
      </c>
      <c r="P4" s="0">
        <v>9</v>
      </c>
    </row>
    <row r="5" ht="17" customHeight="1">
      <c r="A5" s="6">
        <v>5</v>
      </c>
      <c r="B5" s="6" t="inlineStr">
        <is>
          <t>P027</t>
        </is>
      </c>
      <c r="C5" s="6" t="inlineStr">
        <is>
          <t>2026-10-02 15:30:23.789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H5" s="4">
        <v>2.432</v>
      </c>
      <c r="P5" s="6">
        <v>10</v>
      </c>
    </row>
    <row r="6" ht="17" customHeight="1">
      <c r="A6" s="0">
        <v>7</v>
      </c>
      <c r="B6" s="0" t="inlineStr">
        <is>
          <t>P027</t>
        </is>
      </c>
      <c r="C6" s="0" t="inlineStr">
        <is>
          <t>2026-10-02 15:30:24.038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Missed</t>
        </is>
      </c>
      <c r="G6" s="0" t="inlineStr">
        <is>
          <t>Normal</t>
        </is>
      </c>
      <c r="H6" s="4">
        <v>2.432</v>
      </c>
      <c r="P6" s="0">
        <v>12</v>
      </c>
    </row>
    <row r="7" ht="17" customHeight="1">
      <c r="A7" s="6">
        <v>8</v>
      </c>
      <c r="B7" s="6" t="inlineStr">
        <is>
          <t>P027</t>
        </is>
      </c>
      <c r="C7" s="6" t="inlineStr">
        <is>
          <t>2026-10-02 15:30:24.539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Success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9</v>
      </c>
      <c r="B8" s="0" t="inlineStr">
        <is>
          <t>P027</t>
        </is>
      </c>
      <c r="C8" s="0" t="inlineStr">
        <is>
          <t>2026-10-02 15:30:24.817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H8" s="4">
        <v>3.2</v>
      </c>
      <c r="P8" s="0">
        <v>14</v>
      </c>
    </row>
    <row r="9" ht="17" customHeight="1">
      <c r="A9" s="6">
        <v>10</v>
      </c>
      <c r="B9" s="6" t="inlineStr">
        <is>
          <t>P027</t>
        </is>
      </c>
      <c r="C9" s="6" t="inlineStr">
        <is>
          <t>2026-10-02 15:30:25.276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H9" s="4">
        <v>3.968</v>
      </c>
      <c r="I9" s="4">
        <v>3.9858</v>
      </c>
      <c r="J9" s="4">
        <v>0.0178</v>
      </c>
      <c r="K9" s="4">
        <v>0.0178</v>
      </c>
      <c r="P9" s="6">
        <v>15</v>
      </c>
    </row>
    <row r="10" ht="17" customHeight="1">
      <c r="A10" s="0">
        <v>11</v>
      </c>
      <c r="B10" s="0" t="inlineStr">
        <is>
          <t>P027</t>
        </is>
      </c>
      <c r="C10" s="0" t="inlineStr">
        <is>
          <t>2026-10-02 15:30:26.054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Success</t>
        </is>
      </c>
      <c r="G10" s="0" t="inlineStr">
        <is>
          <t>Normal</t>
        </is>
      </c>
      <c r="H10" s="4">
        <v>4.736</v>
      </c>
      <c r="P10" s="0">
        <v>16</v>
      </c>
    </row>
    <row r="11" ht="17" customHeight="1">
      <c r="A11" s="6">
        <v>12</v>
      </c>
      <c r="B11" s="6" t="inlineStr">
        <is>
          <t>P027</t>
        </is>
      </c>
      <c r="C11" s="6" t="inlineStr">
        <is>
          <t>2026-10-02 15:30:26.054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H11" s="4">
        <v>4.736</v>
      </c>
      <c r="I11" s="4">
        <v>4.7638</v>
      </c>
      <c r="J11" s="4">
        <v>0.0278</v>
      </c>
      <c r="K11" s="4">
        <v>0.0278</v>
      </c>
      <c r="P11" s="6">
        <v>17</v>
      </c>
    </row>
    <row r="12" ht="17" customHeight="1">
      <c r="A12" s="0">
        <v>13</v>
      </c>
      <c r="B12" s="0" t="inlineStr">
        <is>
          <t>P027</t>
        </is>
      </c>
      <c r="C12" s="0" t="inlineStr">
        <is>
          <t>2026-10-02 15:30:26.859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Normal</t>
        </is>
      </c>
      <c r="H12" s="4">
        <v>5.504</v>
      </c>
      <c r="I12" s="4">
        <v>5.5554</v>
      </c>
      <c r="J12" s="4">
        <v>0.0514</v>
      </c>
      <c r="K12" s="4">
        <v>0.0514</v>
      </c>
      <c r="P12" s="0">
        <v>18</v>
      </c>
    </row>
    <row r="13" ht="17" customHeight="1">
      <c r="A13" s="6">
        <v>14</v>
      </c>
      <c r="B13" s="6" t="inlineStr">
        <is>
          <t>P027</t>
        </is>
      </c>
      <c r="C13" s="6" t="inlineStr">
        <is>
          <t>2026-10-02 15:30:27.595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Success</t>
        </is>
      </c>
      <c r="G13" s="6" t="inlineStr">
        <is>
          <t>Normal</t>
        </is>
      </c>
      <c r="H13" s="4">
        <v>6.272</v>
      </c>
      <c r="P13" s="6">
        <v>19</v>
      </c>
    </row>
    <row r="14" ht="17" customHeight="1">
      <c r="A14" s="0">
        <v>15</v>
      </c>
      <c r="B14" s="0" t="inlineStr">
        <is>
          <t>P027</t>
        </is>
      </c>
      <c r="C14" s="0" t="inlineStr">
        <is>
          <t>2026-10-02 15:30:27.900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Missed</t>
        </is>
      </c>
      <c r="G14" s="0" t="inlineStr">
        <is>
          <t>Normal</t>
        </is>
      </c>
      <c r="H14" s="4">
        <v>6.272</v>
      </c>
      <c r="P14" s="0">
        <v>20</v>
      </c>
    </row>
    <row r="15" ht="17" customHeight="1">
      <c r="A15" s="6">
        <v>16</v>
      </c>
      <c r="B15" s="6" t="inlineStr">
        <is>
          <t>P027</t>
        </is>
      </c>
      <c r="C15" s="6" t="inlineStr">
        <is>
          <t>2026-10-02 15:30:28.359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Normal</t>
        </is>
      </c>
      <c r="H15" s="4">
        <v>7.04</v>
      </c>
      <c r="I15" s="4">
        <v>7.0684</v>
      </c>
      <c r="J15" s="4">
        <v>0.0284</v>
      </c>
      <c r="K15" s="4">
        <v>0.0284</v>
      </c>
      <c r="P15" s="6">
        <v>21</v>
      </c>
    </row>
    <row r="16" ht="17" customHeight="1">
      <c r="A16" s="0">
        <v>17</v>
      </c>
      <c r="B16" s="0" t="inlineStr">
        <is>
          <t>P027</t>
        </is>
      </c>
      <c r="C16" s="0" t="inlineStr">
        <is>
          <t>2026-10-02 15:30:29.122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Failed</t>
        </is>
      </c>
      <c r="G16" s="0" t="inlineStr">
        <is>
          <t>Normal</t>
        </is>
      </c>
      <c r="H16" s="4">
        <v>7.808</v>
      </c>
      <c r="P16" s="0">
        <v>22</v>
      </c>
    </row>
    <row r="17" ht="17" customHeight="1">
      <c r="A17" s="6">
        <v>18</v>
      </c>
      <c r="B17" s="6" t="inlineStr">
        <is>
          <t>P027</t>
        </is>
      </c>
      <c r="C17" s="6" t="inlineStr">
        <is>
          <t>2026-10-02 15:30:29.150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Success</t>
        </is>
      </c>
      <c r="G17" s="6" t="inlineStr">
        <is>
          <t>Normal</t>
        </is>
      </c>
      <c r="H17" s="4">
        <v>7.808</v>
      </c>
      <c r="P17" s="6">
        <v>23</v>
      </c>
    </row>
    <row r="18" ht="17" customHeight="1">
      <c r="A18" s="0">
        <v>19</v>
      </c>
      <c r="B18" s="0" t="inlineStr">
        <is>
          <t>P027</t>
        </is>
      </c>
      <c r="C18" s="0" t="inlineStr">
        <is>
          <t>2026-10-02 15:30:29.928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Normal</t>
        </is>
      </c>
      <c r="H18" s="4">
        <v>8.576</v>
      </c>
      <c r="I18" s="4">
        <v>8.6375</v>
      </c>
      <c r="J18" s="4">
        <v>0.0615</v>
      </c>
      <c r="K18" s="4">
        <v>0.0615</v>
      </c>
      <c r="P18" s="0">
        <v>24</v>
      </c>
    </row>
    <row r="19" ht="17" customHeight="1">
      <c r="A19" s="6">
        <v>20</v>
      </c>
      <c r="B19" s="6" t="inlineStr">
        <is>
          <t>P027</t>
        </is>
      </c>
      <c r="C19" s="6" t="inlineStr">
        <is>
          <t>2026-10-02 15:30:30.650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Normal</t>
        </is>
      </c>
      <c r="H19" s="4">
        <v>9.344</v>
      </c>
      <c r="I19" s="4">
        <v>9.3594</v>
      </c>
      <c r="J19" s="4">
        <v>0.0154</v>
      </c>
      <c r="K19" s="4">
        <v>0.0154</v>
      </c>
      <c r="P19" s="6">
        <v>25</v>
      </c>
    </row>
    <row r="20" ht="17" customHeight="1">
      <c r="A20" s="0">
        <v>21</v>
      </c>
      <c r="B20" s="0" t="inlineStr">
        <is>
          <t>P027</t>
        </is>
      </c>
      <c r="C20" s="0" t="inlineStr">
        <is>
          <t>2026-10-02 15:30:30.955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Missed</t>
        </is>
      </c>
      <c r="G20" s="0" t="inlineStr">
        <is>
          <t>Normal</t>
        </is>
      </c>
      <c r="H20" s="4">
        <v>9.344</v>
      </c>
      <c r="P20" s="0">
        <v>26</v>
      </c>
    </row>
    <row r="21" ht="17" customHeight="1">
      <c r="A21" s="6">
        <v>22</v>
      </c>
      <c r="B21" s="6" t="inlineStr">
        <is>
          <t>P027</t>
        </is>
      </c>
      <c r="C21" s="6" t="inlineStr">
        <is>
          <t>2026-10-02 15:30:31.413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Normal</t>
        </is>
      </c>
      <c r="H21" s="4">
        <v>10.112</v>
      </c>
      <c r="I21" s="4">
        <v>10.1231</v>
      </c>
      <c r="J21" s="4">
        <v>0.0111</v>
      </c>
      <c r="K21" s="4">
        <v>0.0111</v>
      </c>
      <c r="P21" s="6">
        <v>27</v>
      </c>
    </row>
    <row r="22" ht="17" customHeight="1">
      <c r="A22" s="0">
        <v>23</v>
      </c>
      <c r="B22" s="0" t="inlineStr">
        <is>
          <t>P027</t>
        </is>
      </c>
      <c r="C22" s="0" t="inlineStr">
        <is>
          <t>2026-10-02 15:30:32.177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Failed</t>
        </is>
      </c>
      <c r="G22" s="0" t="inlineStr">
        <is>
          <t>Normal</t>
        </is>
      </c>
      <c r="H22" s="4">
        <v>10.88</v>
      </c>
      <c r="I22" s="4">
        <v>10.8871</v>
      </c>
      <c r="J22" s="4">
        <v>0.0071</v>
      </c>
      <c r="K22" s="4">
        <v>0.0071</v>
      </c>
      <c r="P22" s="0">
        <v>28</v>
      </c>
    </row>
    <row r="23" ht="17" customHeight="1">
      <c r="A23" s="6">
        <v>24</v>
      </c>
      <c r="B23" s="6" t="inlineStr">
        <is>
          <t>P027</t>
        </is>
      </c>
      <c r="C23" s="6" t="inlineStr">
        <is>
          <t>2026-10-02 15:30:32.496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Missed</t>
        </is>
      </c>
      <c r="G23" s="6" t="inlineStr">
        <is>
          <t>Normal</t>
        </is>
      </c>
      <c r="H23" s="4">
        <v>10.88</v>
      </c>
      <c r="P23" s="6">
        <v>29</v>
      </c>
    </row>
    <row r="24" ht="17" customHeight="1">
      <c r="A24" s="0">
        <v>25</v>
      </c>
      <c r="B24" s="0" t="inlineStr">
        <is>
          <t>P027</t>
        </is>
      </c>
      <c r="C24" s="0" t="inlineStr">
        <is>
          <t>2026-10-02 15:30:32.940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Failed</t>
        </is>
      </c>
      <c r="G24" s="0" t="inlineStr">
        <is>
          <t>Normal</t>
        </is>
      </c>
      <c r="H24" s="4">
        <v>11.648</v>
      </c>
      <c r="I24" s="4">
        <v>11.6507</v>
      </c>
      <c r="J24" s="4">
        <v>0.0027</v>
      </c>
      <c r="K24" s="4">
        <v>0.0027</v>
      </c>
      <c r="P24" s="0">
        <v>30</v>
      </c>
    </row>
    <row r="25" ht="17" customHeight="1">
      <c r="A25" s="6">
        <v>29</v>
      </c>
      <c r="B25" s="6" t="inlineStr">
        <is>
          <t>P027</t>
        </is>
      </c>
      <c r="C25" s="6" t="inlineStr">
        <is>
          <t>2026-10-02 15:30:34.455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Failed</t>
        </is>
      </c>
      <c r="G25" s="6" t="inlineStr">
        <is>
          <t>Easy</t>
        </is>
      </c>
      <c r="H25" s="4">
        <v>13.184</v>
      </c>
      <c r="I25" s="4">
        <v>13.1642</v>
      </c>
      <c r="J25" s="4">
        <v>-0.0198</v>
      </c>
      <c r="K25" s="4">
        <v>0.0198</v>
      </c>
      <c r="P25" s="6">
        <v>34</v>
      </c>
    </row>
    <row r="26" ht="17" customHeight="1">
      <c r="A26" s="0">
        <v>30</v>
      </c>
      <c r="B26" s="0" t="inlineStr">
        <is>
          <t>P027</t>
        </is>
      </c>
      <c r="C26" s="0" t="inlineStr">
        <is>
          <t>2026-10-02 15:30:34.482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Failed</t>
        </is>
      </c>
      <c r="G26" s="0" t="inlineStr">
        <is>
          <t>Easy</t>
        </is>
      </c>
      <c r="H26" s="4">
        <v>13.184</v>
      </c>
      <c r="I26" s="4">
        <v>13.1922</v>
      </c>
      <c r="J26" s="4">
        <v>0.0082</v>
      </c>
      <c r="K26" s="4">
        <v>0.0082</v>
      </c>
      <c r="P26" s="0">
        <v>35</v>
      </c>
    </row>
    <row r="27" ht="17" customHeight="1">
      <c r="A27" s="6">
        <v>31</v>
      </c>
      <c r="B27" s="6" t="inlineStr">
        <is>
          <t>P027</t>
        </is>
      </c>
      <c r="C27" s="6" t="inlineStr">
        <is>
          <t>2026-10-02 15:30:36.009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Failed</t>
        </is>
      </c>
      <c r="G27" s="6" t="inlineStr">
        <is>
          <t>Easy</t>
        </is>
      </c>
      <c r="H27" s="4">
        <v>14.72</v>
      </c>
      <c r="I27" s="4">
        <v>14.7058</v>
      </c>
      <c r="J27" s="4">
        <v>-0.0142</v>
      </c>
      <c r="K27" s="4">
        <v>0.0142</v>
      </c>
      <c r="P27" s="6">
        <v>36</v>
      </c>
    </row>
    <row r="28" ht="17" customHeight="1">
      <c r="A28" s="0">
        <v>32</v>
      </c>
      <c r="B28" s="0" t="inlineStr">
        <is>
          <t>P027</t>
        </is>
      </c>
      <c r="C28" s="0" t="inlineStr">
        <is>
          <t>2026-10-02 15:30:36.038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Failed</t>
        </is>
      </c>
      <c r="G28" s="0" t="inlineStr">
        <is>
          <t>Easy</t>
        </is>
      </c>
      <c r="H28" s="4">
        <v>14.72</v>
      </c>
      <c r="P28" s="0">
        <v>37</v>
      </c>
    </row>
    <row r="29" ht="17" customHeight="1">
      <c r="A29" s="6">
        <v>33</v>
      </c>
      <c r="B29" s="6" t="inlineStr">
        <is>
          <t>P027</t>
        </is>
      </c>
      <c r="C29" s="6" t="inlineStr">
        <is>
          <t>2026-10-02 15:30:37.536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Easy</t>
        </is>
      </c>
      <c r="H29" s="4">
        <v>16.256</v>
      </c>
      <c r="I29" s="4">
        <v>16.2471</v>
      </c>
      <c r="J29" s="4">
        <v>-0.0089</v>
      </c>
      <c r="K29" s="4">
        <v>0.0089</v>
      </c>
      <c r="P29" s="6">
        <v>38</v>
      </c>
    </row>
    <row r="30" ht="17" customHeight="1">
      <c r="A30" s="0">
        <v>35</v>
      </c>
      <c r="B30" s="0" t="inlineStr">
        <is>
          <t>P027</t>
        </is>
      </c>
      <c r="C30" s="0" t="inlineStr">
        <is>
          <t>2026-10-02 15:30:37.538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Failed</t>
        </is>
      </c>
      <c r="G30" s="0" t="inlineStr">
        <is>
          <t>Easy</t>
        </is>
      </c>
      <c r="H30" s="4">
        <v>16.256</v>
      </c>
      <c r="I30" s="4">
        <v>16.2471</v>
      </c>
      <c r="J30" s="4">
        <v>-0.0089</v>
      </c>
      <c r="K30" s="4">
        <v>0.0089</v>
      </c>
      <c r="P30" s="0">
        <v>40</v>
      </c>
    </row>
    <row r="31" ht="17" customHeight="1">
      <c r="A31" s="6">
        <v>36</v>
      </c>
      <c r="B31" s="6" t="inlineStr">
        <is>
          <t>P027</t>
        </is>
      </c>
      <c r="C31" s="6" t="inlineStr">
        <is>
          <t>2026-10-02 15:30:39.079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Failed</t>
        </is>
      </c>
      <c r="G31" s="6" t="inlineStr">
        <is>
          <t>Easy</t>
        </is>
      </c>
      <c r="H31" s="4">
        <v>17.792</v>
      </c>
      <c r="I31" s="4">
        <v>17.7882</v>
      </c>
      <c r="J31" s="4">
        <v>-0.0038</v>
      </c>
      <c r="K31" s="4">
        <v>0.0038</v>
      </c>
      <c r="P31" s="6">
        <v>41</v>
      </c>
    </row>
    <row r="32" ht="17" customHeight="1">
      <c r="A32" s="0">
        <v>37</v>
      </c>
      <c r="B32" s="0" t="inlineStr">
        <is>
          <t>P027</t>
        </is>
      </c>
      <c r="C32" s="0" t="inlineStr">
        <is>
          <t>2026-10-02 15:30:40.632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Failed</t>
        </is>
      </c>
      <c r="G32" s="0" t="inlineStr">
        <is>
          <t>Easy</t>
        </is>
      </c>
      <c r="H32" s="4">
        <v>19.328</v>
      </c>
      <c r="P32" s="0">
        <v>42</v>
      </c>
    </row>
    <row r="33" ht="17" customHeight="1">
      <c r="A33" s="6">
        <v>38</v>
      </c>
      <c r="B33" s="6" t="inlineStr">
        <is>
          <t>P027</t>
        </is>
      </c>
      <c r="C33" s="6" t="inlineStr">
        <is>
          <t>2026-10-02 15:30:40.632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Success</t>
        </is>
      </c>
      <c r="G33" s="6" t="inlineStr">
        <is>
          <t>Easy</t>
        </is>
      </c>
      <c r="H33" s="4">
        <v>19.328</v>
      </c>
      <c r="P33" s="6">
        <v>43</v>
      </c>
    </row>
    <row r="34" ht="17" customHeight="1">
      <c r="A34" s="0">
        <v>39</v>
      </c>
      <c r="B34" s="0" t="inlineStr">
        <is>
          <t>P027</t>
        </is>
      </c>
      <c r="C34" s="0" t="inlineStr">
        <is>
          <t>2026-10-02 15:30:42.160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Failed</t>
        </is>
      </c>
      <c r="G34" s="0" t="inlineStr">
        <is>
          <t>Easy</t>
        </is>
      </c>
      <c r="H34" s="4">
        <v>20.864</v>
      </c>
      <c r="P34" s="0">
        <v>44</v>
      </c>
    </row>
    <row r="35" ht="17" customHeight="1">
      <c r="A35" s="6">
        <v>40</v>
      </c>
      <c r="B35" s="6" t="inlineStr">
        <is>
          <t>P027</t>
        </is>
      </c>
      <c r="C35" s="6" t="inlineStr">
        <is>
          <t>2026-10-02 15:30:43.701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Easy</t>
        </is>
      </c>
      <c r="H35" s="4">
        <v>22.4</v>
      </c>
      <c r="I35" s="4">
        <v>22.412</v>
      </c>
      <c r="J35" s="4">
        <v>0.012</v>
      </c>
      <c r="K35" s="4">
        <v>0.012</v>
      </c>
      <c r="P35" s="6">
        <v>45</v>
      </c>
    </row>
    <row r="36" ht="17" customHeight="1">
      <c r="A36" s="0">
        <v>41</v>
      </c>
      <c r="B36" s="0" t="inlineStr">
        <is>
          <t>P027</t>
        </is>
      </c>
      <c r="C36" s="0" t="inlineStr">
        <is>
          <t>2026-10-02 15:30:43.703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Easy</t>
        </is>
      </c>
      <c r="H36" s="4">
        <v>22.4</v>
      </c>
      <c r="I36" s="4">
        <v>22.412</v>
      </c>
      <c r="J36" s="4">
        <v>0.012</v>
      </c>
      <c r="K36" s="4">
        <v>0.012</v>
      </c>
      <c r="P36" s="0">
        <v>46</v>
      </c>
    </row>
    <row r="37" ht="17" customHeight="1">
      <c r="A37" s="6">
        <v>42</v>
      </c>
      <c r="B37" s="6" t="inlineStr">
        <is>
          <t>P027</t>
        </is>
      </c>
      <c r="C37" s="6" t="inlineStr">
        <is>
          <t>2026-10-02 15:30:45.229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Easy</t>
        </is>
      </c>
      <c r="H37" s="4">
        <v>23.936</v>
      </c>
      <c r="I37" s="4">
        <v>23.9394</v>
      </c>
      <c r="J37" s="4">
        <v>0.0034</v>
      </c>
      <c r="K37" s="4">
        <v>0.0034</v>
      </c>
      <c r="P37" s="6">
        <v>47</v>
      </c>
    </row>
    <row r="38" ht="17" customHeight="1">
      <c r="A38" s="0">
        <v>43</v>
      </c>
      <c r="B38" s="0" t="inlineStr">
        <is>
          <t>P027</t>
        </is>
      </c>
      <c r="C38" s="0" t="inlineStr">
        <is>
          <t>2026-10-02 15:30:46.771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Easy</t>
        </is>
      </c>
      <c r="H38" s="4">
        <v>25.472</v>
      </c>
      <c r="I38" s="4">
        <v>25.4808</v>
      </c>
      <c r="J38" s="4">
        <v>0.0088</v>
      </c>
      <c r="K38" s="4">
        <v>0.0088</v>
      </c>
      <c r="P38" s="0">
        <v>48</v>
      </c>
    </row>
    <row r="39" ht="17" customHeight="1">
      <c r="A39" s="6">
        <v>44</v>
      </c>
      <c r="B39" s="6" t="inlineStr">
        <is>
          <t>P027</t>
        </is>
      </c>
      <c r="C39" s="6" t="inlineStr">
        <is>
          <t>2026-10-02 15:30:46.771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Easy</t>
        </is>
      </c>
      <c r="H39" s="4">
        <v>25.472</v>
      </c>
      <c r="I39" s="4">
        <v>25.4808</v>
      </c>
      <c r="J39" s="4">
        <v>0.0088</v>
      </c>
      <c r="K39" s="4">
        <v>0.0088</v>
      </c>
      <c r="P39" s="6">
        <v>49</v>
      </c>
    </row>
    <row r="40" ht="17" customHeight="1">
      <c r="A40" s="0">
        <v>46</v>
      </c>
      <c r="B40" s="0" t="inlineStr">
        <is>
          <t>P027</t>
        </is>
      </c>
      <c r="C40" s="0" t="inlineStr">
        <is>
          <t>2026-10-02 15:30:48.313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Success</t>
        </is>
      </c>
      <c r="G40" s="0" t="inlineStr">
        <is>
          <t>Easy</t>
        </is>
      </c>
      <c r="H40" s="4">
        <v>27.008</v>
      </c>
      <c r="P40" s="0">
        <v>51</v>
      </c>
    </row>
    <row r="41" ht="17" customHeight="1">
      <c r="A41" s="6">
        <v>48</v>
      </c>
      <c r="B41" s="6" t="inlineStr">
        <is>
          <t>P027</t>
        </is>
      </c>
      <c r="C41" s="6" t="inlineStr">
        <is>
          <t>2026-10-02 15:30:49.841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Failed</t>
        </is>
      </c>
      <c r="G41" s="6" t="inlineStr">
        <is>
          <t>Normal</t>
        </is>
      </c>
      <c r="H41" s="4">
        <v>28.544</v>
      </c>
      <c r="I41" s="4">
        <v>28.5508</v>
      </c>
      <c r="J41" s="4">
        <v>0.0068</v>
      </c>
      <c r="K41" s="4">
        <v>0.0068</v>
      </c>
      <c r="P41" s="6">
        <v>53</v>
      </c>
    </row>
    <row r="42" ht="17" customHeight="1">
      <c r="A42" s="0">
        <v>49</v>
      </c>
      <c r="B42" s="0" t="inlineStr">
        <is>
          <t>P027</t>
        </is>
      </c>
      <c r="C42" s="0" t="inlineStr">
        <is>
          <t>2026-10-02 15:30:49.841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Failed</t>
        </is>
      </c>
      <c r="G42" s="0" t="inlineStr">
        <is>
          <t>Normal</t>
        </is>
      </c>
      <c r="H42" s="4">
        <v>28.544</v>
      </c>
      <c r="I42" s="4">
        <v>28.5508</v>
      </c>
      <c r="J42" s="4">
        <v>0.0068</v>
      </c>
      <c r="K42" s="4">
        <v>0.0068</v>
      </c>
      <c r="P42" s="0">
        <v>54</v>
      </c>
    </row>
    <row r="43" ht="17" customHeight="1">
      <c r="A43" s="6">
        <v>50</v>
      </c>
      <c r="B43" s="6" t="inlineStr">
        <is>
          <t>P027</t>
        </is>
      </c>
      <c r="C43" s="6" t="inlineStr">
        <is>
          <t>2026-10-02 15:30:50.661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Normal</t>
        </is>
      </c>
      <c r="H43" s="4">
        <v>29.312</v>
      </c>
      <c r="I43" s="4">
        <v>29.3706</v>
      </c>
      <c r="J43" s="4">
        <v>0.0586</v>
      </c>
      <c r="K43" s="4">
        <v>0.0586</v>
      </c>
      <c r="P43" s="6">
        <v>55</v>
      </c>
    </row>
    <row r="44" ht="17" customHeight="1">
      <c r="A44" s="0">
        <v>51</v>
      </c>
      <c r="B44" s="0" t="inlineStr">
        <is>
          <t>P027</t>
        </is>
      </c>
      <c r="C44" s="0" t="inlineStr">
        <is>
          <t>2026-10-02 15:30:51.382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Normal</t>
        </is>
      </c>
      <c r="H44" s="4">
        <v>30.08</v>
      </c>
      <c r="I44" s="4">
        <v>30.0923</v>
      </c>
      <c r="J44" s="4">
        <v>0.0123</v>
      </c>
      <c r="K44" s="4">
        <v>0.0123</v>
      </c>
      <c r="P44" s="0">
        <v>56</v>
      </c>
    </row>
    <row r="45" ht="17" customHeight="1">
      <c r="A45" s="6">
        <v>52</v>
      </c>
      <c r="B45" s="6" t="inlineStr">
        <is>
          <t>P027</t>
        </is>
      </c>
      <c r="C45" s="6" t="inlineStr">
        <is>
          <t>2026-10-02 15:30:51.702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Missed</t>
        </is>
      </c>
      <c r="G45" s="6" t="inlineStr">
        <is>
          <t>Normal</t>
        </is>
      </c>
      <c r="H45" s="4">
        <v>30.08</v>
      </c>
      <c r="P45" s="6">
        <v>57</v>
      </c>
    </row>
    <row r="46" ht="17" customHeight="1">
      <c r="A46" s="0">
        <v>56</v>
      </c>
      <c r="B46" s="0" t="inlineStr">
        <is>
          <t>P027</t>
        </is>
      </c>
      <c r="C46" s="0" t="inlineStr">
        <is>
          <t>2026-10-02 15:30:52.160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Easy</t>
        </is>
      </c>
      <c r="H46" s="4">
        <v>30.848</v>
      </c>
      <c r="I46" s="4">
        <v>30.8699</v>
      </c>
      <c r="J46" s="4">
        <v>0.0219</v>
      </c>
      <c r="K46" s="4">
        <v>0.0219</v>
      </c>
      <c r="P46" s="0">
        <v>61</v>
      </c>
    </row>
    <row r="47" ht="17" customHeight="1">
      <c r="A47" s="6">
        <v>57</v>
      </c>
      <c r="B47" s="6" t="inlineStr">
        <is>
          <t>P027</t>
        </is>
      </c>
      <c r="C47" s="6" t="inlineStr">
        <is>
          <t>2026-10-02 15:30:55.352</t>
        </is>
      </c>
      <c r="D47" s="6" t="inlineStr">
        <is>
          <t>Joaquin</t>
        </is>
      </c>
      <c r="E47" s="6" t="inlineStr">
        <is>
          <t>GuitarHit</t>
        </is>
      </c>
      <c r="F47" s="6" t="inlineStr">
        <is>
          <t>Success</t>
        </is>
      </c>
      <c r="G47" s="6" t="inlineStr">
        <is>
          <t>Easy</t>
        </is>
      </c>
      <c r="H47" s="4">
        <v>33.92</v>
      </c>
      <c r="I47" s="4">
        <v>34.0488</v>
      </c>
      <c r="J47" s="4">
        <v>0.1288</v>
      </c>
      <c r="K47" s="4">
        <v>0.1288</v>
      </c>
      <c r="P47" s="6">
        <v>62</v>
      </c>
    </row>
    <row r="48" ht="17" customHeight="1">
      <c r="A48" s="0">
        <v>58</v>
      </c>
      <c r="B48" s="0" t="inlineStr">
        <is>
          <t>P027</t>
        </is>
      </c>
      <c r="C48" s="0" t="inlineStr">
        <is>
          <t>2026-10-02 15:30:57.797</t>
        </is>
      </c>
      <c r="D48" s="0" t="inlineStr">
        <is>
          <t>Joaquin</t>
        </is>
      </c>
      <c r="E48" s="0" t="inlineStr">
        <is>
          <t>GuitarHit</t>
        </is>
      </c>
      <c r="F48" s="0" t="inlineStr">
        <is>
          <t>Success</t>
        </is>
      </c>
      <c r="G48" s="0" t="inlineStr">
        <is>
          <t>Easy</t>
        </is>
      </c>
      <c r="H48" s="4">
        <v>36.608</v>
      </c>
      <c r="I48" s="4">
        <v>36.4938</v>
      </c>
      <c r="J48" s="4">
        <v>-0.1142</v>
      </c>
      <c r="K48" s="4">
        <v>0.1142</v>
      </c>
      <c r="P48" s="0">
        <v>63</v>
      </c>
    </row>
    <row r="49" ht="17" customHeight="1">
      <c r="A49" s="6">
        <v>59</v>
      </c>
      <c r="B49" s="6" t="inlineStr">
        <is>
          <t>P027</t>
        </is>
      </c>
      <c r="C49" s="6" t="inlineStr">
        <is>
          <t>2026-10-02 15:31:00.118</t>
        </is>
      </c>
      <c r="D49" s="6" t="inlineStr">
        <is>
          <t>Joaquin</t>
        </is>
      </c>
      <c r="E49" s="6" t="inlineStr">
        <is>
          <t>GuitarHit</t>
        </is>
      </c>
      <c r="F49" s="6" t="inlineStr">
        <is>
          <t>Success</t>
        </is>
      </c>
      <c r="G49" s="6" t="inlineStr">
        <is>
          <t>Easy</t>
        </is>
      </c>
      <c r="H49" s="4">
        <v>38.912</v>
      </c>
      <c r="I49" s="4">
        <v>38.8136</v>
      </c>
      <c r="J49" s="4">
        <v>-0.0984</v>
      </c>
      <c r="K49" s="4">
        <v>0.0984</v>
      </c>
      <c r="P49" s="6">
        <v>64</v>
      </c>
    </row>
    <row r="50" ht="17" customHeight="1">
      <c r="A50" s="0">
        <v>60</v>
      </c>
      <c r="B50" s="0" t="inlineStr">
        <is>
          <t>P027</t>
        </is>
      </c>
      <c r="C50" s="0" t="inlineStr">
        <is>
          <t>2026-10-02 15:31:02.741</t>
        </is>
      </c>
      <c r="D50" s="0" t="inlineStr">
        <is>
          <t>Joaquin</t>
        </is>
      </c>
      <c r="E50" s="0" t="inlineStr">
        <is>
          <t>GuitarHit</t>
        </is>
      </c>
      <c r="F50" s="0" t="inlineStr">
        <is>
          <t>Success</t>
        </is>
      </c>
      <c r="G50" s="0" t="inlineStr">
        <is>
          <t>Easy</t>
        </is>
      </c>
      <c r="H50" s="4">
        <v>41.6</v>
      </c>
      <c r="I50" s="4">
        <v>41.4377</v>
      </c>
      <c r="J50" s="4">
        <v>-0.1623</v>
      </c>
      <c r="K50" s="4">
        <v>0.1623</v>
      </c>
      <c r="P50" s="0">
        <v>65</v>
      </c>
    </row>
    <row r="51" ht="17" customHeight="1">
      <c r="A51" s="6">
        <v>61</v>
      </c>
      <c r="B51" s="6" t="inlineStr">
        <is>
          <t>P027</t>
        </is>
      </c>
      <c r="C51" s="6" t="inlineStr">
        <is>
          <t>2026-10-02 15:31:05.103</t>
        </is>
      </c>
      <c r="D51" s="6" t="inlineStr">
        <is>
          <t>Joaquin</t>
        </is>
      </c>
      <c r="E51" s="6" t="inlineStr">
        <is>
          <t>PlayerHit</t>
        </is>
      </c>
      <c r="F51" s="6" t="inlineStr">
        <is>
          <t>Failed</t>
        </is>
      </c>
      <c r="G51" s="6" t="inlineStr">
        <is>
          <t>Easy</t>
        </is>
      </c>
      <c r="H51" s="4">
        <v>43.7987</v>
      </c>
      <c r="P51" s="6">
        <v>66</v>
      </c>
    </row>
    <row r="52" ht="17" customHeight="1">
      <c r="A52" s="0">
        <v>62</v>
      </c>
      <c r="B52" s="0" t="inlineStr">
        <is>
          <t>P027</t>
        </is>
      </c>
      <c r="C52" s="0" t="inlineStr">
        <is>
          <t>2026-10-02 15:31:06.659</t>
        </is>
      </c>
      <c r="D52" s="0" t="inlineStr">
        <is>
          <t>Joaquin</t>
        </is>
      </c>
      <c r="E52" s="0" t="inlineStr">
        <is>
          <t>GuitarHit</t>
        </is>
      </c>
      <c r="F52" s="0" t="inlineStr">
        <is>
          <t>Success</t>
        </is>
      </c>
      <c r="G52" s="0" t="inlineStr">
        <is>
          <t>Easy</t>
        </is>
      </c>
      <c r="H52" s="4">
        <v>45.44</v>
      </c>
      <c r="I52" s="4">
        <v>45.3548</v>
      </c>
      <c r="J52" s="4">
        <v>-0.0852</v>
      </c>
      <c r="K52" s="4">
        <v>0.0852</v>
      </c>
      <c r="P52" s="0">
        <v>67</v>
      </c>
    </row>
    <row r="53" ht="17" customHeight="1">
      <c r="A53" s="6">
        <v>63</v>
      </c>
      <c r="B53" s="6" t="inlineStr">
        <is>
          <t>P027</t>
        </is>
      </c>
      <c r="C53" s="6" t="inlineStr">
        <is>
          <t>2026-10-02 15:31:09.340</t>
        </is>
      </c>
      <c r="D53" s="6" t="inlineStr">
        <is>
          <t>Joaquin</t>
        </is>
      </c>
      <c r="E53" s="6" t="inlineStr">
        <is>
          <t>GuitarHit</t>
        </is>
      </c>
      <c r="F53" s="6" t="inlineStr">
        <is>
          <t>Success</t>
        </is>
      </c>
      <c r="G53" s="6" t="inlineStr">
        <is>
          <t>Easy</t>
        </is>
      </c>
      <c r="H53" s="4">
        <v>48.128</v>
      </c>
      <c r="I53" s="4">
        <v>48.035</v>
      </c>
      <c r="J53" s="4">
        <v>-0.093</v>
      </c>
      <c r="K53" s="4">
        <v>0.093</v>
      </c>
      <c r="P53" s="6">
        <v>68</v>
      </c>
    </row>
    <row r="54" ht="17" customHeight="1">
      <c r="A54" s="0">
        <v>64</v>
      </c>
      <c r="B54" s="0" t="inlineStr">
        <is>
          <t>P027</t>
        </is>
      </c>
      <c r="C54" s="0" t="inlineStr">
        <is>
          <t>2026-10-02 15:31:11.130</t>
        </is>
      </c>
      <c r="D54" s="0" t="inlineStr">
        <is>
          <t>Joaquin</t>
        </is>
      </c>
      <c r="E54" s="0" t="inlineStr">
        <is>
          <t>PlayerHit</t>
        </is>
      </c>
      <c r="F54" s="0" t="inlineStr">
        <is>
          <t>Failed</t>
        </is>
      </c>
      <c r="G54" s="0" t="inlineStr">
        <is>
          <t>Easy</t>
        </is>
      </c>
      <c r="H54" s="4">
        <v>49.8265</v>
      </c>
      <c r="P54" s="0">
        <v>69</v>
      </c>
    </row>
    <row r="55" ht="17" customHeight="1">
      <c r="A55" s="6">
        <v>65</v>
      </c>
      <c r="B55" s="6" t="inlineStr">
        <is>
          <t>P027</t>
        </is>
      </c>
      <c r="C55" s="6" t="inlineStr">
        <is>
          <t>2026-10-02 15:31:11.630</t>
        </is>
      </c>
      <c r="D55" s="6" t="inlineStr">
        <is>
          <t>Joaquin</t>
        </is>
      </c>
      <c r="E55" s="6" t="inlineStr">
        <is>
          <t>GuitarHit</t>
        </is>
      </c>
      <c r="F55" s="6" t="inlineStr">
        <is>
          <t>Success</t>
        </is>
      </c>
      <c r="G55" s="6" t="inlineStr">
        <is>
          <t>Easy</t>
        </is>
      </c>
      <c r="H55" s="4">
        <v>50.432</v>
      </c>
      <c r="I55" s="4">
        <v>50.3266</v>
      </c>
      <c r="J55" s="4">
        <v>-0.1054</v>
      </c>
      <c r="K55" s="4">
        <v>0.1054</v>
      </c>
      <c r="P55" s="6">
        <v>70</v>
      </c>
    </row>
    <row r="56" ht="17" customHeight="1">
      <c r="A56" s="0">
        <v>66</v>
      </c>
      <c r="B56" s="0" t="inlineStr">
        <is>
          <t>P027</t>
        </is>
      </c>
      <c r="C56" s="0" t="inlineStr">
        <is>
          <t>2026-10-02 15:31:13.991</t>
        </is>
      </c>
      <c r="D56" s="0" t="inlineStr">
        <is>
          <t>Joaquin</t>
        </is>
      </c>
      <c r="E56" s="0" t="inlineStr">
        <is>
          <t>GuitarHit</t>
        </is>
      </c>
      <c r="F56" s="0" t="inlineStr">
        <is>
          <t>Success</t>
        </is>
      </c>
      <c r="G56" s="0" t="inlineStr">
        <is>
          <t>Easy</t>
        </is>
      </c>
      <c r="H56" s="4">
        <v>52.736</v>
      </c>
      <c r="I56" s="4">
        <v>52.6871</v>
      </c>
      <c r="J56" s="4">
        <v>-0.0489</v>
      </c>
      <c r="K56" s="4">
        <v>0.0489</v>
      </c>
      <c r="P56" s="0">
        <v>71</v>
      </c>
    </row>
    <row r="57" ht="17" customHeight="1">
      <c r="A57" s="6">
        <v>67</v>
      </c>
      <c r="B57" s="6" t="inlineStr">
        <is>
          <t>P027</t>
        </is>
      </c>
      <c r="C57" s="6" t="inlineStr">
        <is>
          <t>2026-10-02 15:31:16.297</t>
        </is>
      </c>
      <c r="D57" s="6" t="inlineStr">
        <is>
          <t>Joaquin</t>
        </is>
      </c>
      <c r="E57" s="6" t="inlineStr">
        <is>
          <t>GuitarHit</t>
        </is>
      </c>
      <c r="F57" s="6" t="inlineStr">
        <is>
          <t>Success</t>
        </is>
      </c>
      <c r="G57" s="6" t="inlineStr">
        <is>
          <t>Easy</t>
        </is>
      </c>
      <c r="H57" s="4">
        <v>55.04</v>
      </c>
      <c r="I57" s="4">
        <v>54.993</v>
      </c>
      <c r="J57" s="4">
        <v>-0.047</v>
      </c>
      <c r="K57" s="4">
        <v>0.047</v>
      </c>
      <c r="P57" s="6">
        <v>72</v>
      </c>
    </row>
    <row r="58" ht="17" customHeight="1">
      <c r="A58" s="0">
        <v>68</v>
      </c>
      <c r="B58" s="0" t="inlineStr">
        <is>
          <t>P027</t>
        </is>
      </c>
      <c r="C58" s="0" t="inlineStr">
        <is>
          <t>2026-10-02 15:31:17.172</t>
        </is>
      </c>
      <c r="D58" s="0" t="inlineStr">
        <is>
          <t>Joaquin</t>
        </is>
      </c>
      <c r="E58" s="0" t="inlineStr">
        <is>
          <t>PlayerHit</t>
        </is>
      </c>
      <c r="F58" s="0" t="inlineStr">
        <is>
          <t>Failed</t>
        </is>
      </c>
      <c r="G58" s="0" t="inlineStr">
        <is>
          <t>Easy</t>
        </is>
      </c>
      <c r="H58" s="4">
        <v>55.8683</v>
      </c>
      <c r="P58" s="0">
        <v>73</v>
      </c>
    </row>
    <row r="59" ht="17" customHeight="1">
      <c r="A59" s="6">
        <v>69</v>
      </c>
      <c r="B59" s="6" t="inlineStr">
        <is>
          <t>P027</t>
        </is>
      </c>
      <c r="C59" s="6" t="inlineStr">
        <is>
          <t>2026-10-02 15:31:18.617</t>
        </is>
      </c>
      <c r="D59" s="6" t="inlineStr">
        <is>
          <t>Joaquin</t>
        </is>
      </c>
      <c r="E59" s="6" t="inlineStr">
        <is>
          <t>GuitarHit</t>
        </is>
      </c>
      <c r="F59" s="6" t="inlineStr">
        <is>
          <t>Success</t>
        </is>
      </c>
      <c r="G59" s="6" t="inlineStr">
        <is>
          <t>Easy</t>
        </is>
      </c>
      <c r="H59" s="4">
        <v>57.344</v>
      </c>
      <c r="I59" s="4">
        <v>57.3122</v>
      </c>
      <c r="J59" s="4">
        <v>-0.0318</v>
      </c>
      <c r="K59" s="4">
        <v>0.0318</v>
      </c>
      <c r="P59" s="6">
        <v>74</v>
      </c>
    </row>
    <row r="60" ht="17" customHeight="1">
      <c r="A60" s="0">
        <v>70</v>
      </c>
      <c r="B60" s="0" t="inlineStr">
        <is>
          <t>P027</t>
        </is>
      </c>
      <c r="C60" s="0" t="inlineStr">
        <is>
          <t>2026-10-02 15:31:21.075</t>
        </is>
      </c>
      <c r="D60" s="0" t="inlineStr">
        <is>
          <t>Joaquin</t>
        </is>
      </c>
      <c r="E60" s="0" t="inlineStr">
        <is>
          <t>GuitarHit</t>
        </is>
      </c>
      <c r="F60" s="0" t="inlineStr">
        <is>
          <t>Success</t>
        </is>
      </c>
      <c r="G60" s="0" t="inlineStr">
        <is>
          <t>Easy</t>
        </is>
      </c>
      <c r="H60" s="4">
        <v>59.648</v>
      </c>
      <c r="I60" s="4">
        <v>59.771</v>
      </c>
      <c r="J60" s="4">
        <v>0.123</v>
      </c>
      <c r="K60" s="4">
        <v>0.123</v>
      </c>
      <c r="P60" s="0">
        <v>75</v>
      </c>
    </row>
    <row r="61" ht="17" customHeight="1">
      <c r="A61" s="6">
        <v>72</v>
      </c>
      <c r="B61" s="6" t="inlineStr">
        <is>
          <t>P027</t>
        </is>
      </c>
      <c r="C61" s="6" t="inlineStr">
        <is>
          <t>2026-10-02 15:31:28.022</t>
        </is>
      </c>
      <c r="D61" s="6" t="inlineStr">
        <is>
          <t>Shipi</t>
        </is>
      </c>
      <c r="E61" s="6" t="inlineStr">
        <is>
          <t>FoodCut</t>
        </is>
      </c>
      <c r="F61" s="6" t="inlineStr">
        <is>
          <t>Success</t>
        </is>
      </c>
      <c r="G61" s="6" t="inlineStr">
        <is>
          <t>Easy</t>
        </is>
      </c>
      <c r="H61" s="4">
        <v>67.616</v>
      </c>
      <c r="I61" s="4">
        <v>66.7181</v>
      </c>
      <c r="J61" s="4">
        <v>-0.8979</v>
      </c>
      <c r="K61" s="4">
        <v>0.8979</v>
      </c>
      <c r="L61" s="4">
        <v>0.1581</v>
      </c>
      <c r="N61" s="4">
        <v>1.0</v>
      </c>
      <c r="P61" s="6">
        <v>77</v>
      </c>
    </row>
    <row r="62" ht="17" customHeight="1">
      <c r="A62" s="0">
        <v>74</v>
      </c>
      <c r="B62" s="0" t="inlineStr">
        <is>
          <t>P027</t>
        </is>
      </c>
      <c r="C62" s="0" t="inlineStr">
        <is>
          <t>2026-10-02 15:31:30.132</t>
        </is>
      </c>
      <c r="D62" s="0" t="inlineStr">
        <is>
          <t>Shipi</t>
        </is>
      </c>
      <c r="E62" s="0" t="inlineStr">
        <is>
          <t>FoodCut</t>
        </is>
      </c>
      <c r="F62" s="0" t="inlineStr">
        <is>
          <t>Failed</t>
        </is>
      </c>
      <c r="G62" s="0" t="inlineStr">
        <is>
          <t>Easy</t>
        </is>
      </c>
      <c r="H62" s="4">
        <v>69.536</v>
      </c>
      <c r="P62" s="0">
        <v>79</v>
      </c>
    </row>
    <row r="63" ht="17" customHeight="1">
      <c r="A63" s="6">
        <v>75</v>
      </c>
      <c r="B63" s="6" t="inlineStr">
        <is>
          <t>P027</t>
        </is>
      </c>
      <c r="C63" s="6" t="inlineStr">
        <is>
          <t>2026-10-02 15:31:32.899</t>
        </is>
      </c>
      <c r="D63" s="6" t="inlineStr">
        <is>
          <t>Shipi</t>
        </is>
      </c>
      <c r="E63" s="6" t="inlineStr">
        <is>
          <t>FoodCut</t>
        </is>
      </c>
      <c r="F63" s="6" t="inlineStr">
        <is>
          <t>Success</t>
        </is>
      </c>
      <c r="G63" s="6" t="inlineStr">
        <is>
          <t>Easy</t>
        </is>
      </c>
      <c r="H63" s="4">
        <v>71.456</v>
      </c>
      <c r="I63" s="4">
        <v>71.5939</v>
      </c>
      <c r="J63" s="4">
        <v>0.1379</v>
      </c>
      <c r="K63" s="4">
        <v>0.1379</v>
      </c>
      <c r="L63" s="4">
        <v>1.1939</v>
      </c>
      <c r="N63" s="4">
        <v>1.0</v>
      </c>
      <c r="P63" s="6">
        <v>80</v>
      </c>
    </row>
    <row r="64" ht="17" customHeight="1">
      <c r="A64" s="0">
        <v>76</v>
      </c>
      <c r="B64" s="0" t="inlineStr">
        <is>
          <t>P027</t>
        </is>
      </c>
      <c r="C64" s="0" t="inlineStr">
        <is>
          <t>2026-10-02 15:31:34.981</t>
        </is>
      </c>
      <c r="D64" s="0" t="inlineStr">
        <is>
          <t>Shipi</t>
        </is>
      </c>
      <c r="E64" s="0" t="inlineStr">
        <is>
          <t>FoodCut</t>
        </is>
      </c>
      <c r="F64" s="0" t="inlineStr">
        <is>
          <t>Success</t>
        </is>
      </c>
      <c r="G64" s="0" t="inlineStr">
        <is>
          <t>Easy</t>
        </is>
      </c>
      <c r="H64" s="4">
        <v>73.376</v>
      </c>
      <c r="I64" s="4">
        <v>73.6771</v>
      </c>
      <c r="J64" s="4">
        <v>0.3011</v>
      </c>
      <c r="K64" s="4">
        <v>0.3011</v>
      </c>
      <c r="L64" s="4">
        <v>1.3571</v>
      </c>
      <c r="N64" s="4">
        <v>1.0</v>
      </c>
      <c r="P64" s="0">
        <v>81</v>
      </c>
    </row>
    <row r="65" ht="17" customHeight="1">
      <c r="A65" s="6">
        <v>77</v>
      </c>
      <c r="B65" s="6" t="inlineStr">
        <is>
          <t>P027</t>
        </is>
      </c>
      <c r="C65" s="6" t="inlineStr">
        <is>
          <t>2026-10-02 15:31:36.438</t>
        </is>
      </c>
      <c r="D65" s="6" t="inlineStr">
        <is>
          <t>Shipi</t>
        </is>
      </c>
      <c r="E65" s="6" t="inlineStr">
        <is>
          <t>FoodCut</t>
        </is>
      </c>
      <c r="F65" s="6" t="inlineStr">
        <is>
          <t>Success</t>
        </is>
      </c>
      <c r="G65" s="6" t="inlineStr">
        <is>
          <t>Easy</t>
        </is>
      </c>
      <c r="H65" s="4">
        <v>75.296</v>
      </c>
      <c r="I65" s="4">
        <v>75.1343</v>
      </c>
      <c r="J65" s="4">
        <v>-0.1617</v>
      </c>
      <c r="K65" s="4">
        <v>0.1617</v>
      </c>
      <c r="L65" s="4">
        <v>0.8943</v>
      </c>
      <c r="N65" s="4">
        <v>1.0</v>
      </c>
      <c r="P65" s="6">
        <v>82</v>
      </c>
    </row>
    <row r="66" ht="17" customHeight="1">
      <c r="A66" s="0">
        <v>78</v>
      </c>
      <c r="B66" s="0" t="inlineStr">
        <is>
          <t>P027</t>
        </is>
      </c>
      <c r="C66" s="0" t="inlineStr">
        <is>
          <t>2026-10-02 15:31:38.258</t>
        </is>
      </c>
      <c r="D66" s="0" t="inlineStr">
        <is>
          <t>Shipi</t>
        </is>
      </c>
      <c r="E66" s="0" t="inlineStr">
        <is>
          <t>FoodCut</t>
        </is>
      </c>
      <c r="F66" s="0" t="inlineStr">
        <is>
          <t>Failed</t>
        </is>
      </c>
      <c r="G66" s="0" t="inlineStr">
        <is>
          <t>Easy</t>
        </is>
      </c>
      <c r="H66" s="4">
        <v>77.216</v>
      </c>
      <c r="I66" s="4">
        <v>76.9539</v>
      </c>
      <c r="J66" s="4">
        <v>-0.2621</v>
      </c>
      <c r="K66" s="4">
        <v>0.2621</v>
      </c>
      <c r="L66" s="4">
        <v>0.7939</v>
      </c>
      <c r="N66" s="4">
        <v>0.0</v>
      </c>
      <c r="P66" s="0">
        <v>83</v>
      </c>
    </row>
    <row r="67" ht="17" customHeight="1">
      <c r="A67" s="6">
        <v>79</v>
      </c>
      <c r="B67" s="6" t="inlineStr">
        <is>
          <t>P027</t>
        </is>
      </c>
      <c r="C67" s="6" t="inlineStr">
        <is>
          <t>2026-10-02 15:31:40.161</t>
        </is>
      </c>
      <c r="D67" s="6" t="inlineStr">
        <is>
          <t>Shipi</t>
        </is>
      </c>
      <c r="E67" s="6" t="inlineStr">
        <is>
          <t>FoodCut</t>
        </is>
      </c>
      <c r="F67" s="6" t="inlineStr">
        <is>
          <t>Success</t>
        </is>
      </c>
      <c r="G67" s="6" t="inlineStr">
        <is>
          <t>Easy</t>
        </is>
      </c>
      <c r="H67" s="4">
        <v>79.136</v>
      </c>
      <c r="I67" s="4">
        <v>78.8573</v>
      </c>
      <c r="J67" s="4">
        <v>-0.2787</v>
      </c>
      <c r="K67" s="4">
        <v>0.2787</v>
      </c>
      <c r="L67" s="4">
        <v>0.7773</v>
      </c>
      <c r="N67" s="4">
        <v>1.0</v>
      </c>
      <c r="P67" s="6">
        <v>84</v>
      </c>
    </row>
    <row r="68" ht="17" customHeight="1">
      <c r="A68" s="0">
        <v>80</v>
      </c>
      <c r="B68" s="0" t="inlineStr">
        <is>
          <t>P027</t>
        </is>
      </c>
      <c r="C68" s="0" t="inlineStr">
        <is>
          <t>2026-10-02 15:31:43.232</t>
        </is>
      </c>
      <c r="D68" s="0" t="inlineStr">
        <is>
          <t>Shipi</t>
        </is>
      </c>
      <c r="E68" s="0" t="inlineStr">
        <is>
          <t>FoodClear</t>
        </is>
      </c>
      <c r="F68" s="0" t="inlineStr">
        <is>
          <t>Success</t>
        </is>
      </c>
      <c r="G68" s="0" t="inlineStr">
        <is>
          <t>Easy</t>
        </is>
      </c>
      <c r="H68" s="4">
        <v>81.056</v>
      </c>
      <c r="P68" s="0">
        <v>85</v>
      </c>
    </row>
    <row r="69" ht="17" customHeight="1">
      <c r="A69" s="6">
        <v>81</v>
      </c>
      <c r="B69" s="6" t="inlineStr">
        <is>
          <t>P027</t>
        </is>
      </c>
      <c r="C69" s="6" t="inlineStr">
        <is>
          <t>2026-10-02 15:31:43.855</t>
        </is>
      </c>
      <c r="D69" s="6" t="inlineStr">
        <is>
          <t>Shipi</t>
        </is>
      </c>
      <c r="E69" s="6" t="inlineStr">
        <is>
          <t>FoodCut</t>
        </is>
      </c>
      <c r="F69" s="6" t="inlineStr">
        <is>
          <t>Success</t>
        </is>
      </c>
      <c r="G69" s="6" t="inlineStr">
        <is>
          <t>Easy</t>
        </is>
      </c>
      <c r="H69" s="4">
        <v>82.976</v>
      </c>
      <c r="I69" s="4">
        <v>82.5512</v>
      </c>
      <c r="J69" s="4">
        <v>-0.4248</v>
      </c>
      <c r="K69" s="4">
        <v>0.4248</v>
      </c>
      <c r="L69" s="4">
        <v>0.6312</v>
      </c>
      <c r="N69" s="4">
        <v>1.0</v>
      </c>
      <c r="P69" s="6">
        <v>86</v>
      </c>
    </row>
    <row r="70" ht="17" customHeight="1">
      <c r="A70" s="0">
        <v>82</v>
      </c>
      <c r="B70" s="0" t="inlineStr">
        <is>
          <t>P027</t>
        </is>
      </c>
      <c r="C70" s="0" t="inlineStr">
        <is>
          <t>2026-10-02 15:31:47.077</t>
        </is>
      </c>
      <c r="D70" s="0" t="inlineStr">
        <is>
          <t>Shipi</t>
        </is>
      </c>
      <c r="E70" s="0" t="inlineStr">
        <is>
          <t>FoodClear</t>
        </is>
      </c>
      <c r="F70" s="0" t="inlineStr">
        <is>
          <t>Success</t>
        </is>
      </c>
      <c r="G70" s="0" t="inlineStr">
        <is>
          <t>Easy</t>
        </is>
      </c>
      <c r="H70" s="4">
        <v>84.896</v>
      </c>
      <c r="P70" s="0">
        <v>87</v>
      </c>
    </row>
    <row r="71" ht="17" customHeight="1">
      <c r="A71" s="6">
        <v>83</v>
      </c>
      <c r="B71" s="6" t="inlineStr">
        <is>
          <t>P027</t>
        </is>
      </c>
      <c r="C71" s="6" t="inlineStr">
        <is>
          <t>2026-10-02 15:31:47.757</t>
        </is>
      </c>
      <c r="D71" s="6" t="inlineStr">
        <is>
          <t>Shipi</t>
        </is>
      </c>
      <c r="E71" s="6" t="inlineStr">
        <is>
          <t>FoodCut</t>
        </is>
      </c>
      <c r="F71" s="6" t="inlineStr">
        <is>
          <t>Success</t>
        </is>
      </c>
      <c r="G71" s="6" t="inlineStr">
        <is>
          <t>Easy</t>
        </is>
      </c>
      <c r="H71" s="4">
        <v>86.816</v>
      </c>
      <c r="I71" s="4">
        <v>86.4532</v>
      </c>
      <c r="J71" s="4">
        <v>-0.3628</v>
      </c>
      <c r="K71" s="4">
        <v>0.3628</v>
      </c>
      <c r="L71" s="4">
        <v>0.6932</v>
      </c>
      <c r="N71" s="4">
        <v>1.0</v>
      </c>
      <c r="P71" s="6">
        <v>88</v>
      </c>
    </row>
    <row r="72" ht="17" customHeight="1">
      <c r="A72" s="0">
        <v>84</v>
      </c>
      <c r="B72" s="0" t="inlineStr">
        <is>
          <t>P027</t>
        </is>
      </c>
      <c r="C72" s="0" t="inlineStr">
        <is>
          <t>2026-10-02 15:31:49.674</t>
        </is>
      </c>
      <c r="D72" s="0" t="inlineStr">
        <is>
          <t>Shipi</t>
        </is>
      </c>
      <c r="E72" s="0" t="inlineStr">
        <is>
          <t>FoodCut</t>
        </is>
      </c>
      <c r="F72" s="0" t="inlineStr">
        <is>
          <t>Success</t>
        </is>
      </c>
      <c r="G72" s="0" t="inlineStr">
        <is>
          <t>Easy</t>
        </is>
      </c>
      <c r="H72" s="4">
        <v>88.736</v>
      </c>
      <c r="I72" s="4">
        <v>88.37</v>
      </c>
      <c r="J72" s="4">
        <v>-0.366</v>
      </c>
      <c r="K72" s="4">
        <v>0.366</v>
      </c>
      <c r="L72" s="4">
        <v>0.69</v>
      </c>
      <c r="N72" s="4">
        <v>1.0</v>
      </c>
      <c r="P72" s="0">
        <v>89</v>
      </c>
    </row>
    <row r="73" ht="17" customHeight="1">
      <c r="A73" s="6">
        <v>85</v>
      </c>
      <c r="B73" s="6" t="inlineStr">
        <is>
          <t>P027</t>
        </is>
      </c>
      <c r="C73" s="6" t="inlineStr">
        <is>
          <t>2026-10-02 15:31:51.577</t>
        </is>
      </c>
      <c r="D73" s="6" t="inlineStr">
        <is>
          <t>Shipi</t>
        </is>
      </c>
      <c r="E73" s="6" t="inlineStr">
        <is>
          <t>FoodCut</t>
        </is>
      </c>
      <c r="F73" s="6" t="inlineStr">
        <is>
          <t>Failed</t>
        </is>
      </c>
      <c r="G73" s="6" t="inlineStr">
        <is>
          <t>Easy</t>
        </is>
      </c>
      <c r="H73" s="4">
        <v>90.656</v>
      </c>
      <c r="I73" s="4">
        <v>90.2733</v>
      </c>
      <c r="J73" s="4">
        <v>-0.3827</v>
      </c>
      <c r="K73" s="4">
        <v>0.3827</v>
      </c>
      <c r="L73" s="4">
        <v>0.6733</v>
      </c>
      <c r="N73" s="4">
        <v>0.0</v>
      </c>
      <c r="P73" s="6">
        <v>90</v>
      </c>
    </row>
    <row r="74" ht="17" customHeight="1">
      <c r="A74" s="0">
        <v>86</v>
      </c>
      <c r="B74" s="0" t="inlineStr">
        <is>
          <t>P027</t>
        </is>
      </c>
      <c r="C74" s="0" t="inlineStr">
        <is>
          <t>2026-10-02 15:31:54.757</t>
        </is>
      </c>
      <c r="D74" s="0" t="inlineStr">
        <is>
          <t>Shipi</t>
        </is>
      </c>
      <c r="E74" s="0" t="inlineStr">
        <is>
          <t>FoodClear</t>
        </is>
      </c>
      <c r="F74" s="0" t="inlineStr">
        <is>
          <t>Success</t>
        </is>
      </c>
      <c r="G74" s="0" t="inlineStr">
        <is>
          <t>Easy</t>
        </is>
      </c>
      <c r="H74" s="4">
        <v>92.576</v>
      </c>
      <c r="P74" s="0">
        <v>91</v>
      </c>
    </row>
    <row r="75" ht="17" customHeight="1">
      <c r="A75" s="6">
        <v>88</v>
      </c>
      <c r="B75" s="6" t="inlineStr">
        <is>
          <t>P027</t>
        </is>
      </c>
      <c r="C75" s="6" t="inlineStr">
        <is>
          <t>2026-10-02 15:32:00.077</t>
        </is>
      </c>
      <c r="D75" s="6" t="inlineStr">
        <is>
          <t>JuanAndres</t>
        </is>
      </c>
      <c r="E75" s="6" t="inlineStr">
        <is>
          <t>GroomStroke</t>
        </is>
      </c>
      <c r="F75" s="6" t="inlineStr">
        <is>
          <t>Success</t>
        </is>
      </c>
      <c r="G75" s="6" t="inlineStr">
        <is>
          <t>Easy</t>
        </is>
      </c>
      <c r="H75" s="4">
        <v>94.976</v>
      </c>
      <c r="I75" s="4">
        <v>98.5089</v>
      </c>
      <c r="J75" s="4">
        <v>3.5329</v>
      </c>
      <c r="K75" s="4">
        <v>3.5329</v>
      </c>
      <c r="N75" s="4">
        <v>1.0</v>
      </c>
      <c r="O75" s="6" t="b">
        <v>1</v>
      </c>
      <c r="P75" s="6">
        <v>93</v>
      </c>
    </row>
    <row r="76" ht="17" customHeight="1">
      <c r="A76" s="0">
        <v>90</v>
      </c>
      <c r="B76" s="0" t="inlineStr">
        <is>
          <t>P027</t>
        </is>
      </c>
      <c r="C76" s="0" t="inlineStr">
        <is>
          <t>2026-10-02 15:32:03.439</t>
        </is>
      </c>
      <c r="D76" s="0" t="inlineStr">
        <is>
          <t>JuanAndres</t>
        </is>
      </c>
      <c r="E76" s="0" t="inlineStr">
        <is>
          <t>GroomStroke</t>
        </is>
      </c>
      <c r="F76" s="0" t="inlineStr">
        <is>
          <t>Missed</t>
        </is>
      </c>
      <c r="G76" s="0" t="inlineStr">
        <is>
          <t>Easy</t>
        </is>
      </c>
      <c r="H76" s="4">
        <v>96.128</v>
      </c>
      <c r="P76" s="0">
        <v>95</v>
      </c>
    </row>
    <row r="77" ht="17" customHeight="1">
      <c r="A77" s="6">
        <v>91</v>
      </c>
      <c r="B77" s="6" t="inlineStr">
        <is>
          <t>P027</t>
        </is>
      </c>
      <c r="C77" s="6" t="inlineStr">
        <is>
          <t>2026-10-02 15:32:04.980</t>
        </is>
      </c>
      <c r="D77" s="6" t="inlineStr">
        <is>
          <t>JuanAndres</t>
        </is>
      </c>
      <c r="E77" s="6" t="inlineStr">
        <is>
          <t>GroomStroke</t>
        </is>
      </c>
      <c r="F77" s="6" t="inlineStr">
        <is>
          <t>Success</t>
        </is>
      </c>
      <c r="G77" s="6" t="inlineStr">
        <is>
          <t>Easy</t>
        </is>
      </c>
      <c r="H77" s="4">
        <v>102.656</v>
      </c>
      <c r="I77" s="4">
        <v>103.4122</v>
      </c>
      <c r="J77" s="4">
        <v>0.7562</v>
      </c>
      <c r="K77" s="4">
        <v>0.7562</v>
      </c>
      <c r="N77" s="4">
        <v>1.0</v>
      </c>
      <c r="O77" s="6" t="b">
        <v>1</v>
      </c>
      <c r="P77" s="6">
        <v>96</v>
      </c>
    </row>
    <row r="78" ht="17" customHeight="1">
      <c r="A78" s="0">
        <v>92</v>
      </c>
      <c r="B78" s="0" t="inlineStr">
        <is>
          <t>P027</t>
        </is>
      </c>
      <c r="C78" s="0" t="inlineStr">
        <is>
          <t>2026-10-02 15:32:06.521</t>
        </is>
      </c>
      <c r="D78" s="0" t="inlineStr">
        <is>
          <t>JuanAndres</t>
        </is>
      </c>
      <c r="E78" s="0" t="inlineStr">
        <is>
          <t>GroomStroke</t>
        </is>
      </c>
      <c r="F78" s="0" t="inlineStr">
        <is>
          <t>Failed</t>
        </is>
      </c>
      <c r="G78" s="0" t="inlineStr">
        <is>
          <t>Easy</t>
        </is>
      </c>
      <c r="H78" s="4">
        <v>101.12</v>
      </c>
      <c r="I78" s="4">
        <v>104.6065</v>
      </c>
      <c r="J78" s="4">
        <v>3.4865</v>
      </c>
      <c r="K78" s="4">
        <v>3.4865</v>
      </c>
      <c r="N78" s="4">
        <v>1.0</v>
      </c>
      <c r="O78" s="0" t="b">
        <v>0</v>
      </c>
      <c r="P78" s="0">
        <v>97</v>
      </c>
    </row>
    <row r="79" ht="17" customHeight="1">
      <c r="A79" s="6">
        <v>93</v>
      </c>
      <c r="B79" s="6" t="inlineStr">
        <is>
          <t>P027</t>
        </is>
      </c>
      <c r="C79" s="6" t="inlineStr">
        <is>
          <t>2026-10-02 15:32:07.299</t>
        </is>
      </c>
      <c r="D79" s="6" t="inlineStr">
        <is>
          <t>JuanAndres</t>
        </is>
      </c>
      <c r="E79" s="6" t="inlineStr">
        <is>
          <t>GroomStroke</t>
        </is>
      </c>
      <c r="F79" s="6" t="inlineStr">
        <is>
          <t>Failed</t>
        </is>
      </c>
      <c r="G79" s="6" t="inlineStr">
        <is>
          <t>Easy</t>
        </is>
      </c>
      <c r="H79" s="4">
        <v>104.192</v>
      </c>
      <c r="I79" s="4">
        <v>105.8146</v>
      </c>
      <c r="J79" s="4">
        <v>1.6226</v>
      </c>
      <c r="K79" s="4">
        <v>1.6226</v>
      </c>
      <c r="N79" s="4">
        <v>0.0</v>
      </c>
      <c r="O79" s="6" t="b">
        <v>1</v>
      </c>
      <c r="P79" s="6">
        <v>98</v>
      </c>
    </row>
    <row r="80" ht="17" customHeight="1">
      <c r="A80" s="0">
        <v>95</v>
      </c>
      <c r="B80" s="0" t="inlineStr">
        <is>
          <t>P027</t>
        </is>
      </c>
      <c r="C80" s="0" t="inlineStr">
        <is>
          <t>2026-10-02 15:32:08.631</t>
        </is>
      </c>
      <c r="D80" s="0" t="inlineStr">
        <is>
          <t>JuanAndres</t>
        </is>
      </c>
      <c r="E80" s="0" t="inlineStr">
        <is>
          <t>GroomStroke</t>
        </is>
      </c>
      <c r="F80" s="0" t="inlineStr">
        <is>
          <t>Success</t>
        </is>
      </c>
      <c r="G80" s="0" t="inlineStr">
        <is>
          <t>Easy</t>
        </is>
      </c>
      <c r="H80" s="4">
        <v>106.88</v>
      </c>
      <c r="I80" s="4">
        <v>106.8279</v>
      </c>
      <c r="J80" s="4">
        <v>-0.0521</v>
      </c>
      <c r="K80" s="4">
        <v>0.0521</v>
      </c>
      <c r="N80" s="4">
        <v>1.0</v>
      </c>
      <c r="O80" s="0" t="b">
        <v>1</v>
      </c>
      <c r="P80" s="0">
        <v>100</v>
      </c>
    </row>
    <row r="81" ht="17" customHeight="1">
      <c r="A81" s="6">
        <v>96</v>
      </c>
      <c r="B81" s="6" t="inlineStr">
        <is>
          <t>P027</t>
        </is>
      </c>
      <c r="C81" s="6" t="inlineStr">
        <is>
          <t>2026-10-02 15:32:10.118</t>
        </is>
      </c>
      <c r="D81" s="6" t="inlineStr">
        <is>
          <t>JuanAndres</t>
        </is>
      </c>
      <c r="E81" s="6" t="inlineStr">
        <is>
          <t>GroomStroke</t>
        </is>
      </c>
      <c r="F81" s="6" t="inlineStr">
        <is>
          <t>Failed</t>
        </is>
      </c>
      <c r="G81" s="6" t="inlineStr">
        <is>
          <t>Easy</t>
        </is>
      </c>
      <c r="H81" s="4">
        <v>108.032</v>
      </c>
      <c r="I81" s="4">
        <v>108.4113</v>
      </c>
      <c r="J81" s="4">
        <v>0.3793</v>
      </c>
      <c r="K81" s="4">
        <v>0.3793</v>
      </c>
      <c r="N81" s="4">
        <v>0.0</v>
      </c>
      <c r="O81" s="6" t="b">
        <v>1</v>
      </c>
      <c r="P81" s="6">
        <v>101</v>
      </c>
    </row>
    <row r="82" ht="17" customHeight="1">
      <c r="A82" s="0">
        <v>97</v>
      </c>
      <c r="B82" s="0" t="inlineStr">
        <is>
          <t>P027</t>
        </is>
      </c>
      <c r="C82" s="0" t="inlineStr">
        <is>
          <t>2026-10-02 15:32:11.049</t>
        </is>
      </c>
      <c r="D82" s="0" t="inlineStr">
        <is>
          <t>JuanAndres</t>
        </is>
      </c>
      <c r="E82" s="0" t="inlineStr">
        <is>
          <t>GroomStroke</t>
        </is>
      </c>
      <c r="F82" s="0" t="inlineStr">
        <is>
          <t>Success</t>
        </is>
      </c>
      <c r="G82" s="0" t="inlineStr">
        <is>
          <t>Easy</t>
        </is>
      </c>
      <c r="H82" s="4">
        <v>109.184</v>
      </c>
      <c r="I82" s="4">
        <v>109.717</v>
      </c>
      <c r="J82" s="4">
        <v>0.533</v>
      </c>
      <c r="K82" s="4">
        <v>0.533</v>
      </c>
      <c r="N82" s="4">
        <v>1.0</v>
      </c>
      <c r="O82" s="0" t="b">
        <v>1</v>
      </c>
      <c r="P82" s="0">
        <v>102</v>
      </c>
    </row>
    <row r="83" ht="17" customHeight="1">
      <c r="A83" s="6">
        <v>98</v>
      </c>
      <c r="B83" s="6" t="inlineStr">
        <is>
          <t>P027</t>
        </is>
      </c>
      <c r="C83" s="6" t="inlineStr">
        <is>
          <t>2026-10-02 15:32:13.591</t>
        </is>
      </c>
      <c r="D83" s="6" t="inlineStr">
        <is>
          <t>JuanAndres</t>
        </is>
      </c>
      <c r="E83" s="6" t="inlineStr">
        <is>
          <t>GroomStroke</t>
        </is>
      </c>
      <c r="F83" s="6" t="inlineStr">
        <is>
          <t>Success</t>
        </is>
      </c>
      <c r="G83" s="6" t="inlineStr">
        <is>
          <t>Easy</t>
        </is>
      </c>
      <c r="H83" s="4">
        <v>111.104</v>
      </c>
      <c r="I83" s="4">
        <v>112.1902</v>
      </c>
      <c r="J83" s="4">
        <v>1.0862</v>
      </c>
      <c r="K83" s="4">
        <v>1.0862</v>
      </c>
      <c r="N83" s="4">
        <v>1.0</v>
      </c>
      <c r="O83" s="6" t="b">
        <v>1</v>
      </c>
      <c r="P83" s="6">
        <v>103</v>
      </c>
    </row>
    <row r="84" ht="17" customHeight="1">
      <c r="A84" s="0">
        <v>99</v>
      </c>
      <c r="B84" s="0" t="inlineStr">
        <is>
          <t>P027</t>
        </is>
      </c>
      <c r="C84" s="0" t="inlineStr">
        <is>
          <t>2026-10-02 15:32:14.869</t>
        </is>
      </c>
      <c r="D84" s="0" t="inlineStr">
        <is>
          <t>JuanAndres</t>
        </is>
      </c>
      <c r="E84" s="0" t="inlineStr">
        <is>
          <t>GroomStroke</t>
        </is>
      </c>
      <c r="F84" s="0" t="inlineStr">
        <is>
          <t>Success</t>
        </is>
      </c>
      <c r="G84" s="0" t="inlineStr">
        <is>
          <t>Easy</t>
        </is>
      </c>
      <c r="H84" s="4">
        <v>113.024</v>
      </c>
      <c r="I84" s="4">
        <v>113.5099</v>
      </c>
      <c r="J84" s="4">
        <v>0.4859</v>
      </c>
      <c r="K84" s="4">
        <v>0.4859</v>
      </c>
      <c r="N84" s="4">
        <v>1.0</v>
      </c>
      <c r="O84" s="0" t="b">
        <v>1</v>
      </c>
      <c r="P84" s="0">
        <v>104</v>
      </c>
    </row>
    <row r="85" ht="17" customHeight="1">
      <c r="A85" s="6">
        <v>100</v>
      </c>
      <c r="B85" s="6" t="inlineStr">
        <is>
          <t>P027</t>
        </is>
      </c>
      <c r="C85" s="6" t="inlineStr">
        <is>
          <t>2026-10-02 15:32:16.591</t>
        </is>
      </c>
      <c r="D85" s="6" t="inlineStr">
        <is>
          <t>JuanAndres</t>
        </is>
      </c>
      <c r="E85" s="6" t="inlineStr">
        <is>
          <t>GroomStroke</t>
        </is>
      </c>
      <c r="F85" s="6" t="inlineStr">
        <is>
          <t>Success</t>
        </is>
      </c>
      <c r="G85" s="6" t="inlineStr">
        <is>
          <t>Easy</t>
        </is>
      </c>
      <c r="H85" s="4">
        <v>113.792</v>
      </c>
      <c r="I85" s="4">
        <v>115.0103</v>
      </c>
      <c r="J85" s="4">
        <v>1.2183</v>
      </c>
      <c r="K85" s="4">
        <v>1.2183</v>
      </c>
      <c r="N85" s="4">
        <v>1.0</v>
      </c>
      <c r="O85" s="6" t="b">
        <v>1</v>
      </c>
      <c r="P85" s="6">
        <v>105</v>
      </c>
    </row>
    <row r="86" ht="17" customHeight="1">
      <c r="A86" s="0">
        <v>101</v>
      </c>
      <c r="B86" s="0" t="inlineStr">
        <is>
          <t>P027</t>
        </is>
      </c>
      <c r="C86" s="0" t="inlineStr">
        <is>
          <t>2026-10-02 15:32:17.758</t>
        </is>
      </c>
      <c r="D86" s="0" t="inlineStr">
        <is>
          <t>JuanAndres</t>
        </is>
      </c>
      <c r="E86" s="0" t="inlineStr">
        <is>
          <t>GroomStroke</t>
        </is>
      </c>
      <c r="F86" s="0" t="inlineStr">
        <is>
          <t>Failed</t>
        </is>
      </c>
      <c r="G86" s="0" t="inlineStr">
        <is>
          <t>Easy</t>
        </is>
      </c>
      <c r="H86" s="4">
        <v>116.096</v>
      </c>
      <c r="I86" s="4">
        <v>116.0378</v>
      </c>
      <c r="J86" s="4">
        <v>-0.0582</v>
      </c>
      <c r="K86" s="4">
        <v>0.0582</v>
      </c>
      <c r="N86" s="4">
        <v>0.0</v>
      </c>
      <c r="O86" s="0" t="b">
        <v>1</v>
      </c>
      <c r="P86" s="0">
        <v>106</v>
      </c>
    </row>
    <row r="87" ht="17" customHeight="1">
      <c r="A87" s="6">
        <v>102</v>
      </c>
      <c r="B87" s="6" t="inlineStr">
        <is>
          <t>P027</t>
        </is>
      </c>
      <c r="C87" s="6" t="inlineStr">
        <is>
          <t>2026-10-02 15:32:18.842</t>
        </is>
      </c>
      <c r="D87" s="6" t="inlineStr">
        <is>
          <t>JuanAndres</t>
        </is>
      </c>
      <c r="E87" s="6" t="inlineStr">
        <is>
          <t>GroomStroke</t>
        </is>
      </c>
      <c r="F87" s="6" t="inlineStr">
        <is>
          <t>Failed</t>
        </is>
      </c>
      <c r="G87" s="6" t="inlineStr">
        <is>
          <t>Easy</t>
        </is>
      </c>
      <c r="H87" s="4">
        <v>117.248</v>
      </c>
      <c r="I87" s="4">
        <v>117.3711</v>
      </c>
      <c r="J87" s="4">
        <v>0.1231</v>
      </c>
      <c r="K87" s="4">
        <v>0.1231</v>
      </c>
      <c r="N87" s="4">
        <v>0.0</v>
      </c>
      <c r="O87" s="6" t="b">
        <v>1</v>
      </c>
      <c r="P87" s="6">
        <v>107</v>
      </c>
    </row>
    <row r="88" ht="17" customHeight="1">
      <c r="A88" s="0">
        <v>103</v>
      </c>
      <c r="B88" s="0" t="inlineStr">
        <is>
          <t>P027</t>
        </is>
      </c>
      <c r="C88" s="0" t="inlineStr">
        <is>
          <t>2026-10-02 15:32:20.217</t>
        </is>
      </c>
      <c r="D88" s="0" t="inlineStr">
        <is>
          <t>JuanAndres</t>
        </is>
      </c>
      <c r="E88" s="0" t="inlineStr">
        <is>
          <t>GroomStroke</t>
        </is>
      </c>
      <c r="F88" s="0" t="inlineStr">
        <is>
          <t>Success</t>
        </is>
      </c>
      <c r="G88" s="0" t="inlineStr">
        <is>
          <t>Easy</t>
        </is>
      </c>
      <c r="H88" s="4">
        <v>118.4</v>
      </c>
      <c r="I88" s="4">
        <v>118.6355</v>
      </c>
      <c r="J88" s="4">
        <v>0.2355</v>
      </c>
      <c r="K88" s="4">
        <v>0.2355</v>
      </c>
      <c r="N88" s="4">
        <v>1.0</v>
      </c>
      <c r="O88" s="0" t="b">
        <v>1</v>
      </c>
      <c r="P88" s="0">
        <v>108</v>
      </c>
    </row>
    <row r="89" ht="17" customHeight="1">
      <c r="A89" s="6">
        <v>104</v>
      </c>
      <c r="B89" s="6" t="inlineStr">
        <is>
          <t>P027</t>
        </is>
      </c>
      <c r="C89" s="6" t="inlineStr">
        <is>
          <t>2026-10-02 15:32:22.454</t>
        </is>
      </c>
      <c r="D89" s="6" t="inlineStr">
        <is>
          <t>JuanAndres</t>
        </is>
      </c>
      <c r="E89" s="6" t="inlineStr">
        <is>
          <t>GroomStroke</t>
        </is>
      </c>
      <c r="F89" s="6" t="inlineStr">
        <is>
          <t>Failed</t>
        </is>
      </c>
      <c r="G89" s="6" t="inlineStr">
        <is>
          <t>Easy</t>
        </is>
      </c>
      <c r="H89" s="4">
        <v>119.936</v>
      </c>
      <c r="I89" s="4">
        <v>120.5666</v>
      </c>
      <c r="J89" s="4">
        <v>0.6306</v>
      </c>
      <c r="K89" s="4">
        <v>0.6306</v>
      </c>
      <c r="N89" s="4">
        <v>0.0</v>
      </c>
      <c r="O89" s="6" t="b">
        <v>1</v>
      </c>
      <c r="P89" s="6">
        <v>109</v>
      </c>
    </row>
    <row r="90" ht="17" customHeight="1">
      <c r="A90" s="0">
        <v>105</v>
      </c>
      <c r="B90" s="0" t="inlineStr">
        <is>
          <t>P027</t>
        </is>
      </c>
      <c r="C90" s="0" t="inlineStr">
        <is>
          <t>2026-10-02 15:32:25.676</t>
        </is>
      </c>
      <c r="D90" s="0" t="inlineStr">
        <is>
          <t>JuanAndres</t>
        </is>
      </c>
      <c r="E90" s="0" t="inlineStr">
        <is>
          <t>GroomStroke</t>
        </is>
      </c>
      <c r="F90" s="0" t="inlineStr">
        <is>
          <t>Failed</t>
        </is>
      </c>
      <c r="G90" s="0" t="inlineStr">
        <is>
          <t>Easy</t>
        </is>
      </c>
      <c r="H90" s="4">
        <v>123.392</v>
      </c>
      <c r="I90" s="4">
        <v>124.2891</v>
      </c>
      <c r="J90" s="4">
        <v>0.8971</v>
      </c>
      <c r="K90" s="4">
        <v>0.8971</v>
      </c>
      <c r="N90" s="4">
        <v>0.0</v>
      </c>
      <c r="O90" s="0" t="b">
        <v>1</v>
      </c>
      <c r="P90" s="0">
        <v>110</v>
      </c>
    </row>
    <row r="91" ht="17" customHeight="1">
      <c r="A91" s="6">
        <v>106</v>
      </c>
      <c r="B91" s="6" t="inlineStr">
        <is>
          <t>P027</t>
        </is>
      </c>
      <c r="C91" s="6" t="inlineStr">
        <is>
          <t>2026-10-02 15:32:28.216</t>
        </is>
      </c>
      <c r="D91" s="6" t="inlineStr">
        <is>
          <t>Danniel</t>
        </is>
      </c>
      <c r="E91" s="6" t="inlineStr">
        <is>
          <t>GunShoot</t>
        </is>
      </c>
      <c r="F91" s="6" t="inlineStr">
        <is>
          <t>Success</t>
        </is>
      </c>
      <c r="G91" s="6" t="inlineStr">
        <is>
          <t>Easy</t>
        </is>
      </c>
      <c r="H91" s="4">
        <v>126.848</v>
      </c>
      <c r="I91" s="4">
        <v>126.8419</v>
      </c>
      <c r="J91" s="4">
        <v>-0.0061</v>
      </c>
      <c r="K91" s="4">
        <v>0.0061</v>
      </c>
      <c r="P91" s="6">
        <v>111</v>
      </c>
    </row>
    <row r="92" ht="17" customHeight="1">
      <c r="A92" s="0">
        <v>108</v>
      </c>
      <c r="B92" s="0" t="inlineStr">
        <is>
          <t>P027</t>
        </is>
      </c>
      <c r="C92" s="0" t="inlineStr">
        <is>
          <t>2026-10-02 15:32:29.398</t>
        </is>
      </c>
      <c r="D92" s="0" t="inlineStr">
        <is>
          <t>Danniel</t>
        </is>
      </c>
      <c r="E92" s="0" t="inlineStr">
        <is>
          <t>GunShoot</t>
        </is>
      </c>
      <c r="F92" s="0" t="inlineStr">
        <is>
          <t>Success</t>
        </is>
      </c>
      <c r="G92" s="0" t="inlineStr">
        <is>
          <t>Easy</t>
        </is>
      </c>
      <c r="H92" s="4">
        <v>128.0</v>
      </c>
      <c r="I92" s="4">
        <v>127.9127</v>
      </c>
      <c r="J92" s="4">
        <v>-0.0873</v>
      </c>
      <c r="K92" s="4">
        <v>0.0873</v>
      </c>
      <c r="P92" s="0">
        <v>113</v>
      </c>
    </row>
    <row r="93" ht="17" customHeight="1">
      <c r="A93" s="6">
        <v>109</v>
      </c>
      <c r="B93" s="6" t="inlineStr">
        <is>
          <t>P027</t>
        </is>
      </c>
      <c r="C93" s="6" t="inlineStr">
        <is>
          <t>2026-10-02 15:32:32.077</t>
        </is>
      </c>
      <c r="D93" s="6" t="inlineStr">
        <is>
          <t>Danniel</t>
        </is>
      </c>
      <c r="E93" s="6" t="inlineStr">
        <is>
          <t>PlayerHit</t>
        </is>
      </c>
      <c r="F93" s="6" t="inlineStr">
        <is>
          <t>Failed</t>
        </is>
      </c>
      <c r="G93" s="6" t="inlineStr">
        <is>
          <t>Easy</t>
        </is>
      </c>
      <c r="H93" s="4">
        <v>130.7728</v>
      </c>
      <c r="P93" s="6">
        <v>114</v>
      </c>
    </row>
    <row r="94" ht="17" customHeight="1">
      <c r="A94" s="0">
        <v>110</v>
      </c>
      <c r="B94" s="0" t="inlineStr">
        <is>
          <t>P027</t>
        </is>
      </c>
      <c r="C94" s="0" t="inlineStr">
        <is>
          <t>2026-10-02 15:32:32.299</t>
        </is>
      </c>
      <c r="D94" s="0" t="inlineStr">
        <is>
          <t>Danniel</t>
        </is>
      </c>
      <c r="E94" s="0" t="inlineStr">
        <is>
          <t>GunShoot</t>
        </is>
      </c>
      <c r="F94" s="0" t="inlineStr">
        <is>
          <t>Success</t>
        </is>
      </c>
      <c r="G94" s="0" t="inlineStr">
        <is>
          <t>Easy</t>
        </is>
      </c>
      <c r="H94" s="4">
        <v>130.304</v>
      </c>
      <c r="I94" s="4">
        <v>130.3562</v>
      </c>
      <c r="J94" s="4">
        <v>0.0522</v>
      </c>
      <c r="K94" s="4">
        <v>0.0522</v>
      </c>
      <c r="P94" s="0">
        <v>115</v>
      </c>
    </row>
    <row r="95" ht="17" customHeight="1">
      <c r="A95" s="6">
        <v>111</v>
      </c>
      <c r="B95" s="6" t="inlineStr">
        <is>
          <t>P027</t>
        </is>
      </c>
      <c r="C95" s="6" t="inlineStr">
        <is>
          <t>2026-10-02 15:32:33.452</t>
        </is>
      </c>
      <c r="D95" s="6" t="inlineStr">
        <is>
          <t>Danniel</t>
        </is>
      </c>
      <c r="E95" s="6" t="inlineStr">
        <is>
          <t>GunShoot</t>
        </is>
      </c>
      <c r="F95" s="6" t="inlineStr">
        <is>
          <t>Failed</t>
        </is>
      </c>
      <c r="G95" s="6" t="inlineStr">
        <is>
          <t>Easy</t>
        </is>
      </c>
      <c r="H95" s="4">
        <v>132.1479</v>
      </c>
      <c r="P95" s="6">
        <v>116</v>
      </c>
    </row>
    <row r="96" ht="17" customHeight="1">
      <c r="A96" s="0">
        <v>112</v>
      </c>
      <c r="B96" s="0" t="inlineStr">
        <is>
          <t>P027</t>
        </is>
      </c>
      <c r="C96" s="0" t="inlineStr">
        <is>
          <t>2026-10-02 15:32:34.909</t>
        </is>
      </c>
      <c r="D96" s="0" t="inlineStr">
        <is>
          <t>Danniel</t>
        </is>
      </c>
      <c r="E96" s="0" t="inlineStr">
        <is>
          <t>PlayerHit</t>
        </is>
      </c>
      <c r="F96" s="0" t="inlineStr">
        <is>
          <t>Failed</t>
        </is>
      </c>
      <c r="G96" s="0" t="inlineStr">
        <is>
          <t>Easy</t>
        </is>
      </c>
      <c r="H96" s="4">
        <v>133.6059</v>
      </c>
      <c r="P96" s="0">
        <v>117</v>
      </c>
    </row>
    <row r="97" ht="17" customHeight="1">
      <c r="A97" s="6">
        <v>113</v>
      </c>
      <c r="B97" s="6" t="inlineStr">
        <is>
          <t>P027</t>
        </is>
      </c>
      <c r="C97" s="6" t="inlineStr">
        <is>
          <t>2026-10-02 15:32:35.618</t>
        </is>
      </c>
      <c r="D97" s="6" t="inlineStr">
        <is>
          <t>Danniel</t>
        </is>
      </c>
      <c r="E97" s="6" t="inlineStr">
        <is>
          <t>GunShoot</t>
        </is>
      </c>
      <c r="F97" s="6" t="inlineStr">
        <is>
          <t>Success</t>
        </is>
      </c>
      <c r="G97" s="6" t="inlineStr">
        <is>
          <t>Easy</t>
        </is>
      </c>
      <c r="H97" s="4">
        <v>133.376</v>
      </c>
      <c r="I97" s="4">
        <v>133.3559</v>
      </c>
      <c r="J97" s="4">
        <v>-0.0201</v>
      </c>
      <c r="K97" s="4">
        <v>0.0201</v>
      </c>
      <c r="P97" s="6">
        <v>118</v>
      </c>
    </row>
    <row r="98" ht="17" customHeight="1">
      <c r="A98" s="0">
        <v>114</v>
      </c>
      <c r="B98" s="0" t="inlineStr">
        <is>
          <t>P027</t>
        </is>
      </c>
      <c r="C98" s="0" t="inlineStr">
        <is>
          <t>2026-10-02 15:32:36.854</t>
        </is>
      </c>
      <c r="D98" s="0" t="inlineStr">
        <is>
          <t>Danniel</t>
        </is>
      </c>
      <c r="E98" s="0" t="inlineStr">
        <is>
          <t>GunShoot</t>
        </is>
      </c>
      <c r="F98" s="0" t="inlineStr">
        <is>
          <t>Failed</t>
        </is>
      </c>
      <c r="G98" s="0" t="inlineStr">
        <is>
          <t>Easy</t>
        </is>
      </c>
      <c r="H98" s="4">
        <v>135.5505</v>
      </c>
      <c r="P98" s="0">
        <v>119</v>
      </c>
    </row>
    <row r="99" ht="17" customHeight="1">
      <c r="A99" s="6">
        <v>115</v>
      </c>
      <c r="B99" s="6" t="inlineStr">
        <is>
          <t>P027</t>
        </is>
      </c>
      <c r="C99" s="6" t="inlineStr">
        <is>
          <t>2026-10-02 15:32:37.340</t>
        </is>
      </c>
      <c r="D99" s="6" t="inlineStr">
        <is>
          <t>Danniel</t>
        </is>
      </c>
      <c r="E99" s="6" t="inlineStr">
        <is>
          <t>GunShoot</t>
        </is>
      </c>
      <c r="F99" s="6" t="inlineStr">
        <is>
          <t>Success</t>
        </is>
      </c>
      <c r="G99" s="6" t="inlineStr">
        <is>
          <t>Easy</t>
        </is>
      </c>
      <c r="H99" s="4">
        <v>134.912</v>
      </c>
      <c r="I99" s="4">
        <v>135.0922</v>
      </c>
      <c r="J99" s="4">
        <v>0.1802</v>
      </c>
      <c r="K99" s="4">
        <v>0.1802</v>
      </c>
      <c r="P99" s="6">
        <v>120</v>
      </c>
    </row>
    <row r="100" ht="17" customHeight="1">
      <c r="A100" s="0">
        <v>116</v>
      </c>
      <c r="B100" s="0" t="inlineStr">
        <is>
          <t>P027</t>
        </is>
      </c>
      <c r="C100" s="0" t="inlineStr">
        <is>
          <t>2026-10-02 15:32:38.298</t>
        </is>
      </c>
      <c r="D100" s="0" t="inlineStr">
        <is>
          <t>Danniel</t>
        </is>
      </c>
      <c r="E100" s="0" t="inlineStr">
        <is>
          <t>GunShoot</t>
        </is>
      </c>
      <c r="F100" s="0" t="inlineStr">
        <is>
          <t>Success</t>
        </is>
      </c>
      <c r="G100" s="0" t="inlineStr">
        <is>
          <t>Easy</t>
        </is>
      </c>
      <c r="H100" s="4">
        <v>136.448</v>
      </c>
      <c r="I100" s="4">
        <v>136.4257</v>
      </c>
      <c r="J100" s="4">
        <v>-0.0223</v>
      </c>
      <c r="K100" s="4">
        <v>0.0223</v>
      </c>
      <c r="P100" s="0">
        <v>121</v>
      </c>
    </row>
    <row r="101" ht="17" customHeight="1">
      <c r="A101" s="6">
        <v>117</v>
      </c>
      <c r="B101" s="6" t="inlineStr">
        <is>
          <t>P027</t>
        </is>
      </c>
      <c r="C101" s="6" t="inlineStr">
        <is>
          <t>2026-10-02 15:32:39.840</t>
        </is>
      </c>
      <c r="D101" s="6" t="inlineStr">
        <is>
          <t>Danniel</t>
        </is>
      </c>
      <c r="E101" s="6" t="inlineStr">
        <is>
          <t>GunShoot</t>
        </is>
      </c>
      <c r="F101" s="6" t="inlineStr">
        <is>
          <t>Failed</t>
        </is>
      </c>
      <c r="G101" s="6" t="inlineStr">
        <is>
          <t>Easy</t>
        </is>
      </c>
      <c r="H101" s="4">
        <v>138.5367</v>
      </c>
      <c r="P101" s="6">
        <v>122</v>
      </c>
    </row>
    <row r="102" ht="17" customHeight="1">
      <c r="A102" s="0">
        <v>118</v>
      </c>
      <c r="B102" s="0" t="inlineStr">
        <is>
          <t>P027</t>
        </is>
      </c>
      <c r="C102" s="0" t="inlineStr">
        <is>
          <t>2026-10-02 15:32:44.174</t>
        </is>
      </c>
      <c r="D102" s="0" t="inlineStr">
        <is>
          <t>Danniel</t>
        </is>
      </c>
      <c r="E102" s="0" t="inlineStr">
        <is>
          <t>GunShoot</t>
        </is>
      </c>
      <c r="F102" s="0" t="inlineStr">
        <is>
          <t>Success</t>
        </is>
      </c>
      <c r="G102" s="0" t="inlineStr">
        <is>
          <t>Easy</t>
        </is>
      </c>
      <c r="H102" s="4">
        <v>142.208</v>
      </c>
      <c r="I102" s="4">
        <v>142.2033</v>
      </c>
      <c r="J102" s="4">
        <v>-0.0047</v>
      </c>
      <c r="K102" s="4">
        <v>0.0047</v>
      </c>
      <c r="P102" s="0">
        <v>123</v>
      </c>
    </row>
    <row r="103" ht="17" customHeight="1">
      <c r="A103" s="6">
        <v>119</v>
      </c>
      <c r="B103" s="6" t="inlineStr">
        <is>
          <t>P027</t>
        </is>
      </c>
      <c r="C103" s="6" t="inlineStr">
        <is>
          <t>2026-10-02 15:32:45.173</t>
        </is>
      </c>
      <c r="D103" s="6" t="inlineStr">
        <is>
          <t>Danniel</t>
        </is>
      </c>
      <c r="E103" s="6" t="inlineStr">
        <is>
          <t>GunShoot</t>
        </is>
      </c>
      <c r="F103" s="6" t="inlineStr">
        <is>
          <t>Failed</t>
        </is>
      </c>
      <c r="G103" s="6" t="inlineStr">
        <is>
          <t>Easy</t>
        </is>
      </c>
      <c r="H103" s="4">
        <v>143.8702</v>
      </c>
      <c r="P103" s="6">
        <v>124</v>
      </c>
    </row>
    <row r="104" ht="17" customHeight="1">
      <c r="A104" s="0">
        <v>120</v>
      </c>
      <c r="B104" s="0" t="inlineStr">
        <is>
          <t>P027</t>
        </is>
      </c>
      <c r="C104" s="0" t="inlineStr">
        <is>
          <t>2026-10-02 15:32:46.590</t>
        </is>
      </c>
      <c r="D104" s="0" t="inlineStr">
        <is>
          <t>Danniel</t>
        </is>
      </c>
      <c r="E104" s="0" t="inlineStr">
        <is>
          <t>GunShoot</t>
        </is>
      </c>
      <c r="F104" s="0" t="inlineStr">
        <is>
          <t>Success</t>
        </is>
      </c>
      <c r="G104" s="0" t="inlineStr">
        <is>
          <t>Easy</t>
        </is>
      </c>
      <c r="H104" s="4">
        <v>144.512</v>
      </c>
      <c r="I104" s="4">
        <v>144.412</v>
      </c>
      <c r="J104" s="4">
        <v>-0.1</v>
      </c>
      <c r="K104" s="4">
        <v>0.1</v>
      </c>
      <c r="P104" s="0">
        <v>125</v>
      </c>
    </row>
    <row r="105" ht="17" customHeight="1">
      <c r="A105" s="6">
        <v>121</v>
      </c>
      <c r="B105" s="6" t="inlineStr">
        <is>
          <t>P027</t>
        </is>
      </c>
      <c r="C105" s="6" t="inlineStr">
        <is>
          <t>2026-10-02 15:32:46.938</t>
        </is>
      </c>
      <c r="D105" s="6" t="inlineStr">
        <is>
          <t>Danniel</t>
        </is>
      </c>
      <c r="E105" s="6" t="inlineStr">
        <is>
          <t>GunShoot</t>
        </is>
      </c>
      <c r="F105" s="6" t="inlineStr">
        <is>
          <t>Failed</t>
        </is>
      </c>
      <c r="G105" s="6" t="inlineStr">
        <is>
          <t>Easy</t>
        </is>
      </c>
      <c r="H105" s="4">
        <v>145.6339</v>
      </c>
      <c r="P105" s="6">
        <v>126</v>
      </c>
    </row>
    <row r="106" ht="17" customHeight="1">
      <c r="A106" s="0">
        <v>122</v>
      </c>
      <c r="B106" s="0" t="inlineStr">
        <is>
          <t>P027</t>
        </is>
      </c>
      <c r="C106" s="0" t="inlineStr">
        <is>
          <t>2026-10-02 15:32:50.895</t>
        </is>
      </c>
      <c r="D106" s="0" t="inlineStr">
        <is>
          <t>Danniel</t>
        </is>
      </c>
      <c r="E106" s="0" t="inlineStr">
        <is>
          <t>GunShoot</t>
        </is>
      </c>
      <c r="F106" s="0" t="inlineStr">
        <is>
          <t>Success</t>
        </is>
      </c>
      <c r="G106" s="0" t="inlineStr">
        <is>
          <t>Easy</t>
        </is>
      </c>
      <c r="H106" s="4">
        <v>148.736</v>
      </c>
      <c r="I106" s="4">
        <v>148.6896</v>
      </c>
      <c r="J106" s="4">
        <v>-0.0464</v>
      </c>
      <c r="K106" s="4">
        <v>0.0464</v>
      </c>
      <c r="P106" s="0">
        <v>127</v>
      </c>
    </row>
    <row r="107" ht="17" customHeight="1">
      <c r="A107" s="6">
        <v>123</v>
      </c>
      <c r="B107" s="6" t="inlineStr">
        <is>
          <t>P027</t>
        </is>
      </c>
      <c r="C107" s="6" t="inlineStr">
        <is>
          <t>2026-10-02 15:32:51.535</t>
        </is>
      </c>
      <c r="D107" s="6" t="inlineStr">
        <is>
          <t>Danniel</t>
        </is>
      </c>
      <c r="E107" s="6" t="inlineStr">
        <is>
          <t>GunShoot</t>
        </is>
      </c>
      <c r="F107" s="6" t="inlineStr">
        <is>
          <t>Failed</t>
        </is>
      </c>
      <c r="G107" s="6" t="inlineStr">
        <is>
          <t>Easy</t>
        </is>
      </c>
      <c r="H107" s="4">
        <v>150.2312</v>
      </c>
      <c r="P107" s="6">
        <v>128</v>
      </c>
    </row>
    <row r="108" ht="17" customHeight="1">
      <c r="A108" s="0">
        <v>124</v>
      </c>
      <c r="B108" s="0" t="inlineStr">
        <is>
          <t>P027</t>
        </is>
      </c>
      <c r="C108" s="0" t="inlineStr">
        <is>
          <t>2026-10-02 15:32:54.133</t>
        </is>
      </c>
      <c r="D108" s="0" t="inlineStr">
        <is>
          <t>Danniel</t>
        </is>
      </c>
      <c r="E108" s="0" t="inlineStr">
        <is>
          <t>GunShoot</t>
        </is>
      </c>
      <c r="F108" s="0" t="inlineStr">
        <is>
          <t>Success</t>
        </is>
      </c>
      <c r="G108" s="0" t="inlineStr">
        <is>
          <t>Easy</t>
        </is>
      </c>
      <c r="H108" s="4">
        <v>152.192</v>
      </c>
      <c r="I108" s="4">
        <v>152.0095</v>
      </c>
      <c r="J108" s="4">
        <v>-0.1825</v>
      </c>
      <c r="K108" s="4">
        <v>0.1825</v>
      </c>
      <c r="P108" s="0">
        <v>129</v>
      </c>
    </row>
    <row r="109" ht="17" customHeight="1">
      <c r="A109" s="6">
        <v>125</v>
      </c>
      <c r="B109" s="6" t="inlineStr">
        <is>
          <t>P027</t>
        </is>
      </c>
      <c r="C109" s="6" t="inlineStr">
        <is>
          <t>2026-10-02 15:32:54.216</t>
        </is>
      </c>
      <c r="D109" s="6" t="inlineStr">
        <is>
          <t>Danniel</t>
        </is>
      </c>
      <c r="E109" s="6" t="inlineStr">
        <is>
          <t>GunShoot</t>
        </is>
      </c>
      <c r="F109" s="6" t="inlineStr">
        <is>
          <t>Missed</t>
        </is>
      </c>
      <c r="G109" s="6" t="inlineStr">
        <is>
          <t>Easy</t>
        </is>
      </c>
      <c r="H109" s="4">
        <v>152.912</v>
      </c>
      <c r="P109" s="6">
        <v>130</v>
      </c>
    </row>
    <row r="110" ht="17" customHeight="1">
      <c r="A110" s="0">
        <v>126</v>
      </c>
      <c r="B110" s="0" t="inlineStr">
        <is>
          <t>P027</t>
        </is>
      </c>
      <c r="C110" s="0" t="inlineStr">
        <is>
          <t>2026-10-02 15:32:54.520</t>
        </is>
      </c>
      <c r="D110" s="0" t="inlineStr">
        <is>
          <t>Danniel</t>
        </is>
      </c>
      <c r="E110" s="0" t="inlineStr">
        <is>
          <t>GunShoot</t>
        </is>
      </c>
      <c r="F110" s="0" t="inlineStr">
        <is>
          <t>Failed</t>
        </is>
      </c>
      <c r="G110" s="0" t="inlineStr">
        <is>
          <t>Easy</t>
        </is>
      </c>
      <c r="H110" s="4">
        <v>153.2169</v>
      </c>
      <c r="P110" s="0">
        <v>131</v>
      </c>
    </row>
    <row r="111" ht="17" customHeight="1">
      <c r="A111" s="6">
        <v>129</v>
      </c>
      <c r="B111" s="6" t="inlineStr">
        <is>
          <t>P027</t>
        </is>
      </c>
      <c r="C111" s="6" t="inlineStr">
        <is>
          <t>2026-10-02 15:33:06.451</t>
        </is>
      </c>
      <c r="D111" s="6" t="inlineStr">
        <is>
          <t>Jeremy</t>
        </is>
      </c>
      <c r="E111" s="6" t="inlineStr">
        <is>
          <t>SwordCut</t>
        </is>
      </c>
      <c r="F111" s="6" t="inlineStr">
        <is>
          <t>Success</t>
        </is>
      </c>
      <c r="G111" s="6" t="inlineStr">
        <is>
          <t>Easy</t>
        </is>
      </c>
      <c r="H111" s="4">
        <v>165.4073</v>
      </c>
      <c r="I111" s="4">
        <v>165.1472</v>
      </c>
      <c r="J111" s="4">
        <v>-0.2601</v>
      </c>
      <c r="K111" s="4">
        <v>0.2601</v>
      </c>
      <c r="N111" s="4">
        <v>1.0</v>
      </c>
      <c r="O111" s="6" t="b">
        <v>1</v>
      </c>
      <c r="P111" s="6">
        <v>134</v>
      </c>
    </row>
    <row r="112" ht="17" customHeight="1">
      <c r="A112" s="0">
        <v>131</v>
      </c>
      <c r="B112" s="0" t="inlineStr">
        <is>
          <t>P027</t>
        </is>
      </c>
      <c r="C112" s="0" t="inlineStr">
        <is>
          <t>2026-10-02 15:33:09.645</t>
        </is>
      </c>
      <c r="D112" s="0" t="inlineStr">
        <is>
          <t>Jeremy</t>
        </is>
      </c>
      <c r="E112" s="0" t="inlineStr">
        <is>
          <t>SwordCut</t>
        </is>
      </c>
      <c r="F112" s="0" t="inlineStr">
        <is>
          <t>Missed</t>
        </is>
      </c>
      <c r="G112" s="0" t="inlineStr">
        <is>
          <t>Easy</t>
        </is>
      </c>
      <c r="H112" s="4">
        <v>167.7061</v>
      </c>
      <c r="P112" s="0">
        <v>136</v>
      </c>
    </row>
    <row r="113" ht="17" customHeight="1">
      <c r="A113" s="6">
        <v>132</v>
      </c>
      <c r="B113" s="6" t="inlineStr">
        <is>
          <t>P027</t>
        </is>
      </c>
      <c r="C113" s="6" t="inlineStr">
        <is>
          <t>2026-10-02 15:33:11.216</t>
        </is>
      </c>
      <c r="D113" s="6" t="inlineStr">
        <is>
          <t>Jeremy</t>
        </is>
      </c>
      <c r="E113" s="6" t="inlineStr">
        <is>
          <t>SwordCut</t>
        </is>
      </c>
      <c r="F113" s="6" t="inlineStr">
        <is>
          <t>Success</t>
        </is>
      </c>
      <c r="G113" s="6" t="inlineStr">
        <is>
          <t>Easy</t>
        </is>
      </c>
      <c r="H113" s="4">
        <v>170.0049</v>
      </c>
      <c r="I113" s="4">
        <v>169.9123</v>
      </c>
      <c r="J113" s="4">
        <v>-0.0926</v>
      </c>
      <c r="K113" s="4">
        <v>0.0926</v>
      </c>
      <c r="N113" s="4">
        <v>1.0</v>
      </c>
      <c r="O113" s="6" t="b">
        <v>1</v>
      </c>
      <c r="P113" s="6">
        <v>137</v>
      </c>
    </row>
    <row r="114" ht="17" customHeight="1">
      <c r="A114" s="0">
        <v>133</v>
      </c>
      <c r="B114" s="0" t="inlineStr">
        <is>
          <t>P027</t>
        </is>
      </c>
      <c r="C114" s="0" t="inlineStr">
        <is>
          <t>2026-10-02 15:33:13.702</t>
        </is>
      </c>
      <c r="D114" s="0" t="inlineStr">
        <is>
          <t>Jeremy</t>
        </is>
      </c>
      <c r="E114" s="0" t="inlineStr">
        <is>
          <t>SwordCut</t>
        </is>
      </c>
      <c r="F114" s="0" t="inlineStr">
        <is>
          <t>Success</t>
        </is>
      </c>
      <c r="G114" s="0" t="inlineStr">
        <is>
          <t>Easy</t>
        </is>
      </c>
      <c r="H114" s="4">
        <v>172.3037</v>
      </c>
      <c r="I114" s="4">
        <v>172.3983</v>
      </c>
      <c r="J114" s="4">
        <v>0.0946</v>
      </c>
      <c r="K114" s="4">
        <v>0.0946</v>
      </c>
      <c r="N114" s="4">
        <v>1.0</v>
      </c>
      <c r="O114" s="0" t="b">
        <v>1</v>
      </c>
      <c r="P114" s="0">
        <v>138</v>
      </c>
    </row>
    <row r="115" ht="17" customHeight="1">
      <c r="A115" s="6">
        <v>134</v>
      </c>
      <c r="B115" s="6" t="inlineStr">
        <is>
          <t>P027</t>
        </is>
      </c>
      <c r="C115" s="6" t="inlineStr">
        <is>
          <t>2026-10-02 15:33:16.548</t>
        </is>
      </c>
      <c r="D115" s="6" t="inlineStr">
        <is>
          <t>Jeremy</t>
        </is>
      </c>
      <c r="E115" s="6" t="inlineStr">
        <is>
          <t>SwordCut</t>
        </is>
      </c>
      <c r="F115" s="6" t="inlineStr">
        <is>
          <t>Missed</t>
        </is>
      </c>
      <c r="G115" s="6" t="inlineStr">
        <is>
          <t>Easy</t>
        </is>
      </c>
      <c r="H115" s="4">
        <v>174.6024</v>
      </c>
      <c r="P115" s="6">
        <v>139</v>
      </c>
    </row>
    <row r="116" ht="17" customHeight="1">
      <c r="A116" s="0">
        <v>135</v>
      </c>
      <c r="B116" s="0" t="inlineStr">
        <is>
          <t>P027</t>
        </is>
      </c>
      <c r="C116" s="0" t="inlineStr">
        <is>
          <t>2026-10-02 15:33:18.340</t>
        </is>
      </c>
      <c r="D116" s="0" t="inlineStr">
        <is>
          <t>Jeremy</t>
        </is>
      </c>
      <c r="E116" s="0" t="inlineStr">
        <is>
          <t>SwordCut</t>
        </is>
      </c>
      <c r="F116" s="0" t="inlineStr">
        <is>
          <t>Success</t>
        </is>
      </c>
      <c r="G116" s="0" t="inlineStr">
        <is>
          <t>Easy</t>
        </is>
      </c>
      <c r="H116" s="4">
        <v>176.9012</v>
      </c>
      <c r="I116" s="4">
        <v>177.0363</v>
      </c>
      <c r="J116" s="4">
        <v>0.1351</v>
      </c>
      <c r="K116" s="4">
        <v>0.1351</v>
      </c>
      <c r="N116" s="4">
        <v>1.0</v>
      </c>
      <c r="O116" s="0" t="b">
        <v>1</v>
      </c>
      <c r="P116" s="0">
        <v>140</v>
      </c>
    </row>
    <row r="117" ht="17" customHeight="1">
      <c r="A117" s="6">
        <v>136</v>
      </c>
      <c r="B117" s="6" t="inlineStr">
        <is>
          <t>P027</t>
        </is>
      </c>
      <c r="C117" s="6" t="inlineStr">
        <is>
          <t>2026-10-02 15:33:20.479</t>
        </is>
      </c>
      <c r="D117" s="6" t="inlineStr">
        <is>
          <t>Jeremy</t>
        </is>
      </c>
      <c r="E117" s="6" t="inlineStr">
        <is>
          <t>SwordCut</t>
        </is>
      </c>
      <c r="F117" s="6" t="inlineStr">
        <is>
          <t>Success</t>
        </is>
      </c>
      <c r="G117" s="6" t="inlineStr">
        <is>
          <t>Easy</t>
        </is>
      </c>
      <c r="H117" s="4">
        <v>179.2</v>
      </c>
      <c r="I117" s="4">
        <v>179.175</v>
      </c>
      <c r="J117" s="4">
        <v>-0.025</v>
      </c>
      <c r="K117" s="4">
        <v>0.025</v>
      </c>
      <c r="N117" s="4">
        <v>1.0</v>
      </c>
      <c r="O117" s="6" t="b">
        <v>1</v>
      </c>
      <c r="P117" s="6">
        <v>141</v>
      </c>
    </row>
    <row r="118" ht="17" customHeight="1">
      <c r="A118" s="0">
        <v>137</v>
      </c>
      <c r="B118" s="0" t="inlineStr">
        <is>
          <t>P027</t>
        </is>
      </c>
      <c r="C118" s="0" t="inlineStr">
        <is>
          <t>2026-10-02 15:33:23.118</t>
        </is>
      </c>
      <c r="D118" s="0" t="inlineStr">
        <is>
          <t>Jeremy</t>
        </is>
      </c>
      <c r="E118" s="0" t="inlineStr">
        <is>
          <t>SwordCut</t>
        </is>
      </c>
      <c r="F118" s="0" t="inlineStr">
        <is>
          <t>Failed</t>
        </is>
      </c>
      <c r="G118" s="0" t="inlineStr">
        <is>
          <t>Easy</t>
        </is>
      </c>
      <c r="H118" s="4">
        <v>181.4988</v>
      </c>
      <c r="I118" s="4">
        <v>181.8141</v>
      </c>
      <c r="J118" s="4">
        <v>0.3154</v>
      </c>
      <c r="K118" s="4">
        <v>0.3154</v>
      </c>
      <c r="N118" s="4">
        <v>0.0</v>
      </c>
      <c r="O118" s="0" t="b">
        <v>1</v>
      </c>
      <c r="P118" s="0">
        <v>142</v>
      </c>
    </row>
  </sheetData>
  <autoFilter ref="A1:P118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4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27</v>
      </c>
      <c r="B2" s="0" t="inlineStr">
        <is>
          <t>2026-10-02 15:30:32.942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Easy</t>
        </is>
      </c>
      <c r="F2" s="0" t="inlineStr">
        <is>
          <t>PlayerState: Overloaded</t>
        </is>
      </c>
      <c r="G2" s="3">
        <v>0.5</v>
      </c>
      <c r="I2" s="0">
        <v>32</v>
      </c>
    </row>
    <row r="3" ht="17" customHeight="1">
      <c r="A3" s="6">
        <v>47</v>
      </c>
      <c r="B3" s="6" t="inlineStr">
        <is>
          <t>2026-10-02 15:30:48.314</t>
        </is>
      </c>
      <c r="C3" s="6" t="inlineStr">
        <is>
          <t>Alex</t>
        </is>
      </c>
      <c r="D3" s="6" t="inlineStr">
        <is>
          <t>Easy</t>
        </is>
      </c>
      <c r="E3" s="6" t="inlineStr">
        <is>
          <t>Normal</t>
        </is>
      </c>
      <c r="F3" s="6" t="inlineStr">
        <is>
          <t>High recent performance</t>
        </is>
      </c>
      <c r="H3" s="3">
        <v>0.88</v>
      </c>
      <c r="I3" s="6">
        <v>52</v>
      </c>
    </row>
    <row r="4" ht="17" customHeight="1">
      <c r="A4" s="0">
        <v>54</v>
      </c>
      <c r="B4" s="0" t="inlineStr">
        <is>
          <t>2026-10-02 15:30:51.702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0.5</v>
      </c>
      <c r="I4" s="0">
        <v>59</v>
      </c>
    </row>
  </sheetData>
  <autoFilter ref="A1:I4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19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15:30:21.304</t>
        </is>
      </c>
      <c r="C2" s="0" t="inlineStr">
        <is>
          <t>Idle</t>
        </is>
      </c>
      <c r="D2" s="0">
        <v>6</v>
      </c>
    </row>
    <row r="3" ht="17" customHeight="1">
      <c r="A3" s="6">
        <v>6</v>
      </c>
      <c r="B3" s="6" t="inlineStr">
        <is>
          <t>2026-10-02 15:30:23.789</t>
        </is>
      </c>
      <c r="C3" s="6" t="inlineStr">
        <is>
          <t>Engaged</t>
        </is>
      </c>
      <c r="D3" s="6">
        <v>11</v>
      </c>
    </row>
    <row r="4" ht="17" customHeight="1">
      <c r="A4" s="0">
        <v>26</v>
      </c>
      <c r="B4" s="0" t="inlineStr">
        <is>
          <t>2026-10-02 15:30:32.942</t>
        </is>
      </c>
      <c r="C4" s="0" t="inlineStr">
        <is>
          <t>Overloaded</t>
        </is>
      </c>
      <c r="D4" s="0">
        <v>31</v>
      </c>
    </row>
    <row r="5" ht="17" customHeight="1">
      <c r="A5" s="6">
        <v>28</v>
      </c>
      <c r="B5" s="6" t="inlineStr">
        <is>
          <t>2026-10-02 15:30:32.954</t>
        </is>
      </c>
      <c r="C5" s="6" t="inlineStr">
        <is>
          <t>Engaged</t>
        </is>
      </c>
      <c r="D5" s="6">
        <v>33</v>
      </c>
    </row>
    <row r="6" ht="17" customHeight="1">
      <c r="A6" s="0">
        <v>34</v>
      </c>
      <c r="B6" s="0" t="inlineStr">
        <is>
          <t>2026-10-02 15:30:37.538</t>
        </is>
      </c>
      <c r="C6" s="0" t="inlineStr">
        <is>
          <t>Overloaded</t>
        </is>
      </c>
      <c r="D6" s="0">
        <v>39</v>
      </c>
    </row>
    <row r="7" ht="17" customHeight="1">
      <c r="A7" s="6">
        <v>45</v>
      </c>
      <c r="B7" s="6" t="inlineStr">
        <is>
          <t>2026-10-02 15:30:46.771</t>
        </is>
      </c>
      <c r="C7" s="6" t="inlineStr">
        <is>
          <t>Engaged</t>
        </is>
      </c>
      <c r="D7" s="6">
        <v>50</v>
      </c>
    </row>
    <row r="8" ht="17" customHeight="1">
      <c r="A8" s="0">
        <v>53</v>
      </c>
      <c r="B8" s="0" t="inlineStr">
        <is>
          <t>2026-10-02 15:30:51.702</t>
        </is>
      </c>
      <c r="C8" s="0" t="inlineStr">
        <is>
          <t>Overloaded</t>
        </is>
      </c>
      <c r="D8" s="0">
        <v>58</v>
      </c>
    </row>
    <row r="9" ht="17" customHeight="1">
      <c r="A9" s="6">
        <v>55</v>
      </c>
      <c r="B9" s="6" t="inlineStr">
        <is>
          <t>2026-10-02 15:30:51.703</t>
        </is>
      </c>
      <c r="C9" s="6" t="inlineStr">
        <is>
          <t>Engaged</t>
        </is>
      </c>
      <c r="D9" s="6">
        <v>60</v>
      </c>
    </row>
    <row r="10" ht="17" customHeight="1">
      <c r="A10" s="0">
        <v>71</v>
      </c>
      <c r="B10" s="0" t="inlineStr">
        <is>
          <t>2026-10-02 15:31:26.076</t>
        </is>
      </c>
      <c r="C10" s="0" t="inlineStr">
        <is>
          <t>Idle</t>
        </is>
      </c>
      <c r="D10" s="0">
        <v>76</v>
      </c>
    </row>
    <row r="11" ht="17" customHeight="1">
      <c r="A11" s="6">
        <v>73</v>
      </c>
      <c r="B11" s="6" t="inlineStr">
        <is>
          <t>2026-10-02 15:31:28.022</t>
        </is>
      </c>
      <c r="C11" s="6" t="inlineStr">
        <is>
          <t>Engaged</t>
        </is>
      </c>
      <c r="D11" s="6">
        <v>78</v>
      </c>
    </row>
    <row r="12" ht="17" customHeight="1">
      <c r="A12" s="0">
        <v>87</v>
      </c>
      <c r="B12" s="0" t="inlineStr">
        <is>
          <t>2026-10-02 15:31:56.577</t>
        </is>
      </c>
      <c r="C12" s="0" t="inlineStr">
        <is>
          <t>Idle</t>
        </is>
      </c>
      <c r="D12" s="0">
        <v>92</v>
      </c>
    </row>
    <row r="13" ht="17" customHeight="1">
      <c r="A13" s="6">
        <v>89</v>
      </c>
      <c r="B13" s="6" t="inlineStr">
        <is>
          <t>2026-10-02 15:32:00.077</t>
        </is>
      </c>
      <c r="C13" s="6" t="inlineStr">
        <is>
          <t>Engaged</t>
        </is>
      </c>
      <c r="D13" s="6">
        <v>94</v>
      </c>
    </row>
    <row r="14" ht="17" customHeight="1">
      <c r="A14" s="0">
        <v>94</v>
      </c>
      <c r="B14" s="0" t="inlineStr">
        <is>
          <t>2026-10-02 15:32:07.300</t>
        </is>
      </c>
      <c r="C14" s="0" t="inlineStr">
        <is>
          <t>Overloaded</t>
        </is>
      </c>
      <c r="D14" s="0">
        <v>99</v>
      </c>
    </row>
    <row r="15" ht="17" customHeight="1">
      <c r="A15" s="6">
        <v>107</v>
      </c>
      <c r="B15" s="6" t="inlineStr">
        <is>
          <t>2026-10-02 15:32:28.216</t>
        </is>
      </c>
      <c r="C15" s="6" t="inlineStr">
        <is>
          <t>Engaged</t>
        </is>
      </c>
      <c r="D15" s="6">
        <v>112</v>
      </c>
    </row>
    <row r="16" ht="17" customHeight="1">
      <c r="A16" s="0">
        <v>127</v>
      </c>
      <c r="B16" s="0" t="inlineStr">
        <is>
          <t>2026-10-02 15:32:54.522</t>
        </is>
      </c>
      <c r="C16" s="0" t="inlineStr">
        <is>
          <t>Overloaded</t>
        </is>
      </c>
      <c r="D16" s="0">
        <v>132</v>
      </c>
    </row>
    <row r="17" ht="17" customHeight="1">
      <c r="A17" s="6">
        <v>128</v>
      </c>
      <c r="B17" s="6" t="inlineStr">
        <is>
          <t>2026-10-02 15:32:59.522</t>
        </is>
      </c>
      <c r="C17" s="6" t="inlineStr">
        <is>
          <t>Idle</t>
        </is>
      </c>
      <c r="D17" s="6">
        <v>133</v>
      </c>
    </row>
    <row r="18" ht="17" customHeight="1">
      <c r="A18" s="0">
        <v>130</v>
      </c>
      <c r="B18" s="0" t="inlineStr">
        <is>
          <t>2026-10-02 15:33:06.451</t>
        </is>
      </c>
      <c r="C18" s="0" t="inlineStr">
        <is>
          <t>Engaged</t>
        </is>
      </c>
      <c r="D18" s="0">
        <v>135</v>
      </c>
    </row>
    <row r="19" ht="17" customHeight="1">
      <c r="A19" s="6">
        <v>138</v>
      </c>
      <c r="B19" s="6" t="inlineStr">
        <is>
          <t>2026-10-02 15:33:28.118</t>
        </is>
      </c>
      <c r="C19" s="6" t="inlineStr">
        <is>
          <t>Idle</t>
        </is>
      </c>
      <c r="D19" s="6">
        <v>143</v>
      </c>
    </row>
  </sheetData>
  <autoFilter ref="A1:D19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39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15:30:21.304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15:30:21.304 | PlayerState: Idle</t>
        </is>
      </c>
    </row>
    <row r="3" ht="17" customHeight="1">
      <c r="A3" s="6">
        <v>2</v>
      </c>
      <c r="B3" s="6" t="inlineStr">
        <is>
          <t>2026-10-02 15:30:22.511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Missed</t>
        </is>
      </c>
      <c r="G3" s="6" t="inlineStr">
        <is>
          <t>Normal</t>
        </is>
      </c>
      <c r="M3" s="6">
        <v>7</v>
      </c>
      <c r="N3" s="6" t="inlineStr">
        <is>
          <t>2026-10-02 15:30:22.511 | Minigame: Alex | Type: HammerTouch | Outcome: Missed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15:30:23.275</t>
        </is>
      </c>
      <c r="C4" s="0" t="inlineStr">
        <is>
          <t>Interaction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Missed</t>
        </is>
      </c>
      <c r="G4" s="0" t="inlineStr">
        <is>
          <t>Normal</t>
        </is>
      </c>
      <c r="M4" s="0">
        <v>8</v>
      </c>
      <c r="N4" s="0" t="inlineStr">
        <is>
          <t>2026-10-02 15:30:23.275 | Minigame: Alex | Type: HammerTouch | Outcome: Missed | Difficulty: Normal | ExpectedTime: 1.6640 | ActualTime: N/A | TimingOffset: N/A | TimingError: N/A | ReactionTime: N/A | SpatialAccuracy: N/A | DirectionAccuracy: N/A | CorrectHand: N/A</t>
        </is>
      </c>
    </row>
    <row r="5" ht="17" customHeight="1">
      <c r="A5" s="6">
        <v>4</v>
      </c>
      <c r="B5" s="6" t="inlineStr">
        <is>
          <t>2026-10-02 15:30:23.284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Missed</t>
        </is>
      </c>
      <c r="G5" s="6" t="inlineStr">
        <is>
          <t>Normal</t>
        </is>
      </c>
      <c r="M5" s="6">
        <v>9</v>
      </c>
      <c r="N5" s="6" t="inlineStr">
        <is>
          <t>2026-10-02 15:30:23.284 | Minigame: Alex | Type: HammerTouch | Outcome: Missed | Difficulty: Normal | ExpectedTime: 1.6640 | ActualTime: N/A | TimingOffset: N/A | TimingError: N/A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15:30:23.789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M6" s="0">
        <v>10</v>
      </c>
      <c r="N6" s="0" t="inlineStr">
        <is>
          <t>2026-10-02 15:30:23.789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15:30:23.789</t>
        </is>
      </c>
      <c r="C7" s="6" t="inlineStr">
        <is>
          <t>PlayerState</t>
        </is>
      </c>
      <c r="H7" s="6" t="inlineStr">
        <is>
          <t>Engaged</t>
        </is>
      </c>
      <c r="M7" s="6">
        <v>11</v>
      </c>
      <c r="N7" s="6" t="inlineStr">
        <is>
          <t>2026-10-02 15:30:23.789 | PlayerState: Engaged</t>
        </is>
      </c>
    </row>
    <row r="8" ht="17" customHeight="1">
      <c r="A8" s="0">
        <v>7</v>
      </c>
      <c r="B8" s="0" t="inlineStr">
        <is>
          <t>2026-10-02 15:30:24.038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M8" s="0">
        <v>12</v>
      </c>
      <c r="N8" s="0" t="inlineStr">
        <is>
          <t>2026-10-02 15:30:24.038 | Minigame: Alex | Type: HammerTouch | Outcome: Missed | Difficulty: Normal | ExpectedTime: 2.4320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15:30:24.539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Success</t>
        </is>
      </c>
      <c r="G9" s="6" t="inlineStr">
        <is>
          <t>Normal</t>
        </is>
      </c>
      <c r="M9" s="6">
        <v>13</v>
      </c>
      <c r="N9" s="6" t="inlineStr">
        <is>
          <t>2026-10-02 15:30:24.539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15:30:24.817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Normal</t>
        </is>
      </c>
      <c r="M10" s="0">
        <v>14</v>
      </c>
      <c r="N10" s="0" t="inlineStr">
        <is>
          <t>2026-10-02 15:30:24.817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15:30:25.276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K11" s="4">
        <v>0.0178</v>
      </c>
      <c r="M11" s="6">
        <v>15</v>
      </c>
      <c r="N11" s="6" t="inlineStr">
        <is>
          <t>2026-10-02 15:30:25.276 | Minigame: Alex | Type: HammerHit | Outcome: Success | Difficulty: Normal | ExpectedTime: 3.9680 | ActualTime: 3.9858 | TimingOffset: 0.0178 | TimingError: 0.0178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15:30:26.054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Success</t>
        </is>
      </c>
      <c r="G12" s="0" t="inlineStr">
        <is>
          <t>Normal</t>
        </is>
      </c>
      <c r="M12" s="0">
        <v>16</v>
      </c>
      <c r="N12" s="0" t="inlineStr">
        <is>
          <t>2026-10-02 15:30:26.054 | Minigame: Alex | Type: HammerTouch | Outcome: Success | Difficulty: Normal | ExpectedTime: 4.7360 | ActualTime: N/A | TimingOffset: N/A | TimingError: N/A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15:30:26.054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Normal</t>
        </is>
      </c>
      <c r="K13" s="4">
        <v>0.0278</v>
      </c>
      <c r="M13" s="6">
        <v>17</v>
      </c>
      <c r="N13" s="6" t="inlineStr">
        <is>
          <t>2026-10-02 15:30:26.054 | Minigame: Alex | Type: HammerHit | Outcome: Success | Difficulty: Normal | ExpectedTime: 4.7360 | ActualTime: 4.7638 | TimingOffset: 0.0278 | TimingError: 0.0278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15:30:26.859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Normal</t>
        </is>
      </c>
      <c r="K14" s="4">
        <v>0.0514</v>
      </c>
      <c r="M14" s="0">
        <v>18</v>
      </c>
      <c r="N14" s="0" t="inlineStr">
        <is>
          <t>2026-10-02 15:30:26.859 | Minigame: Alex | Type: HammerHit | Outcome: Success | Difficulty: Normal | ExpectedTime: 5.5040 | ActualTime: 5.5554 | TimingOffset: 0.0514 | TimingError: 0.0514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15:30:27.595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Success</t>
        </is>
      </c>
      <c r="G15" s="6" t="inlineStr">
        <is>
          <t>Normal</t>
        </is>
      </c>
      <c r="M15" s="6">
        <v>19</v>
      </c>
      <c r="N15" s="6" t="inlineStr">
        <is>
          <t>2026-10-02 15:30:27.595 | Minigame: Alex | Type: HammerTouch | Outcome: Success | Difficulty: Normal | ExpectedTime: 6.2720 | ActualTime: N/A | TimingOffset: N/A | TimingError: N/A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15:30:27.900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Missed</t>
        </is>
      </c>
      <c r="G16" s="0" t="inlineStr">
        <is>
          <t>Normal</t>
        </is>
      </c>
      <c r="M16" s="0">
        <v>20</v>
      </c>
      <c r="N16" s="0" t="inlineStr">
        <is>
          <t>2026-10-02 15:30:27.900 | Minigame: Alex | Type: HammerTouch | Outcome: Missed | Difficulty: Normal | ExpectedTime: 6.2720 | ActualTime: N/A | TimingOffset: N/A | TimingError: N/A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15:30:28.359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Normal</t>
        </is>
      </c>
      <c r="K17" s="4">
        <v>0.0284</v>
      </c>
      <c r="M17" s="6">
        <v>21</v>
      </c>
      <c r="N17" s="6" t="inlineStr">
        <is>
          <t>2026-10-02 15:30:28.359 | Minigame: Alex | Type: HammerHit | Outcome: Success | Difficulty: Normal | ExpectedTime: 7.0400 | ActualTime: 7.0684 | TimingOffset: 0.0284 | TimingError: 0.0284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15:30:29.122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Failed</t>
        </is>
      </c>
      <c r="G18" s="0" t="inlineStr">
        <is>
          <t>Normal</t>
        </is>
      </c>
      <c r="M18" s="0">
        <v>22</v>
      </c>
      <c r="N18" s="0" t="inlineStr">
        <is>
          <t>2026-10-02 15:30:29.122 | Minigame: Alex | Type: HammerTouch | Outcome: Failed | Difficulty: Normal | ExpectedTime: 7.8080 | ActualTime: N/A | TimingOffset: N/A | TimingError: N/A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15:30:29.150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Success</t>
        </is>
      </c>
      <c r="G19" s="6" t="inlineStr">
        <is>
          <t>Normal</t>
        </is>
      </c>
      <c r="M19" s="6">
        <v>23</v>
      </c>
      <c r="N19" s="6" t="inlineStr">
        <is>
          <t>2026-10-02 15:30:29.150 | Minigame: Alex | Type: HammerTouch | Outcome: Success | Difficulty: Normal | ExpectedTime: 7.8080 | ActualTime: N/A | TimingOffset: N/A | TimingError: N/A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15:30:29.928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Normal</t>
        </is>
      </c>
      <c r="K20" s="4">
        <v>0.0615</v>
      </c>
      <c r="M20" s="0">
        <v>24</v>
      </c>
      <c r="N20" s="0" t="inlineStr">
        <is>
          <t>2026-10-02 15:30:29.928 | Minigame: Alex | Type: HammerHit | Outcome: Success | Difficulty: Normal | ExpectedTime: 8.5760 | ActualTime: 8.6375 | TimingOffset: 0.0615 | TimingError: 0.0615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15:30:30.650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Normal</t>
        </is>
      </c>
      <c r="K21" s="4">
        <v>0.0154</v>
      </c>
      <c r="M21" s="6">
        <v>25</v>
      </c>
      <c r="N21" s="6" t="inlineStr">
        <is>
          <t>2026-10-02 15:30:30.650 | Minigame: Alex | Type: HammerHit | Outcome: Success | Difficulty: Normal | ExpectedTime: 9.3440 | ActualTime: 9.3594 | TimingOffset: 0.0154 | TimingError: 0.0154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15:30:30.955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Missed</t>
        </is>
      </c>
      <c r="G22" s="0" t="inlineStr">
        <is>
          <t>Normal</t>
        </is>
      </c>
      <c r="M22" s="0">
        <v>26</v>
      </c>
      <c r="N22" s="0" t="inlineStr">
        <is>
          <t>2026-10-02 15:30:30.955 | Minigame: Alex | Type: HammerTouch | Outcome: Missed | Difficulty: Normal | ExpectedTime: 9.3440 | ActualTime: N/A | TimingOffset: N/A | TimingError: N/A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15:30:31.413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Normal</t>
        </is>
      </c>
      <c r="K23" s="4">
        <v>0.0111</v>
      </c>
      <c r="M23" s="6">
        <v>27</v>
      </c>
      <c r="N23" s="6" t="inlineStr">
        <is>
          <t>2026-10-02 15:30:31.413 | Minigame: Alex | Type: HammerHit | Outcome: Success | Difficulty: Normal | ExpectedTime: 10.1120 | ActualTime: 10.1231 | TimingOffset: 0.0111 | TimingError: 0.0111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15:30:32.177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Failed</t>
        </is>
      </c>
      <c r="G24" s="0" t="inlineStr">
        <is>
          <t>Normal</t>
        </is>
      </c>
      <c r="K24" s="4">
        <v>0.0071</v>
      </c>
      <c r="M24" s="0">
        <v>28</v>
      </c>
      <c r="N24" s="0" t="inlineStr">
        <is>
          <t>2026-10-02 15:30:32.177 | Minigame: Alex | Type: HammerHit | Outcome: Failed | Difficulty: Normal | ExpectedTime: 10.8800 | ActualTime: 10.8871 | TimingOffset: 0.0071 | TimingError: 0.0071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15:30:32.496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Missed</t>
        </is>
      </c>
      <c r="G25" s="6" t="inlineStr">
        <is>
          <t>Normal</t>
        </is>
      </c>
      <c r="M25" s="6">
        <v>29</v>
      </c>
      <c r="N25" s="6" t="inlineStr">
        <is>
          <t>2026-10-02 15:30:32.496 | Minigame: Alex | Type: HammerTouch | Outcome: Missed | Difficulty: Normal | ExpectedTime: 10.8800 | ActualTime: N/A | TimingOffset: N/A | TimingError: N/A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15:30:32.940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Failed</t>
        </is>
      </c>
      <c r="G26" s="0" t="inlineStr">
        <is>
          <t>Normal</t>
        </is>
      </c>
      <c r="K26" s="4">
        <v>0.0027</v>
      </c>
      <c r="M26" s="0">
        <v>30</v>
      </c>
      <c r="N26" s="0" t="inlineStr">
        <is>
          <t>2026-10-02 15:30:32.940 | Minigame: Alex | Type: HammerHit | Outcome: Failed | Difficulty: Normal | ExpectedTime: 11.6480 | ActualTime: 11.6507 | TimingOffset: 0.0027 | TimingError: 0.0027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15:30:32.942</t>
        </is>
      </c>
      <c r="C27" s="6" t="inlineStr">
        <is>
          <t>PlayerState</t>
        </is>
      </c>
      <c r="H27" s="6" t="inlineStr">
        <is>
          <t>Overloaded</t>
        </is>
      </c>
      <c r="M27" s="6">
        <v>31</v>
      </c>
      <c r="N27" s="6" t="inlineStr">
        <is>
          <t>2026-10-02 15:30:32.942 | PlayerState: Overloaded</t>
        </is>
      </c>
    </row>
    <row r="28" ht="17" customHeight="1">
      <c r="A28" s="0">
        <v>27</v>
      </c>
      <c r="B28" s="0" t="inlineStr">
        <is>
          <t>2026-10-02 15:30:32.942</t>
        </is>
      </c>
      <c r="C28" s="0" t="inlineStr">
        <is>
          <t>DifficultyChanged</t>
        </is>
      </c>
      <c r="D28" s="0" t="inlineStr">
        <is>
          <t>Alex</t>
        </is>
      </c>
      <c r="I28" s="0" t="inlineStr">
        <is>
          <t>Normal -&gt; Easy</t>
        </is>
      </c>
      <c r="J28" s="0" t="inlineStr">
        <is>
          <t>PlayerState: Overloaded</t>
        </is>
      </c>
      <c r="M28" s="0">
        <v>32</v>
      </c>
      <c r="N28" s="0" t="inlineStr">
        <is>
          <t>2026-10-02 15:30:32.942 | DifficultyChanged: Normal -&gt; Easy | Reason: PlayerState: Overloaded | Minigame: Alex | RecentSuccessRate: 0.50</t>
        </is>
      </c>
    </row>
    <row r="29" ht="17" customHeight="1">
      <c r="A29" s="6">
        <v>28</v>
      </c>
      <c r="B29" s="6" t="inlineStr">
        <is>
          <t>2026-10-02 15:30:32.954</t>
        </is>
      </c>
      <c r="C29" s="6" t="inlineStr">
        <is>
          <t>PlayerState</t>
        </is>
      </c>
      <c r="H29" s="6" t="inlineStr">
        <is>
          <t>Engaged</t>
        </is>
      </c>
      <c r="M29" s="6">
        <v>33</v>
      </c>
      <c r="N29" s="6" t="inlineStr">
        <is>
          <t>2026-10-02 15:30:32.954 | PlayerState: Engaged</t>
        </is>
      </c>
    </row>
    <row r="30" ht="17" customHeight="1">
      <c r="A30" s="0">
        <v>29</v>
      </c>
      <c r="B30" s="0" t="inlineStr">
        <is>
          <t>2026-10-02 15:30:34.455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Failed</t>
        </is>
      </c>
      <c r="G30" s="0" t="inlineStr">
        <is>
          <t>Easy</t>
        </is>
      </c>
      <c r="K30" s="4">
        <v>0.0198</v>
      </c>
      <c r="M30" s="0">
        <v>34</v>
      </c>
      <c r="N30" s="0" t="inlineStr">
        <is>
          <t>2026-10-02 15:30:34.455 | Minigame: Alex | Type: HammerHit | Outcome: Failed | Difficulty: Easy | ExpectedTime: 13.1840 | ActualTime: 13.1642 | TimingOffset: -0.0198 | TimingError: 0.0198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15:30:34.482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Failed</t>
        </is>
      </c>
      <c r="G31" s="6" t="inlineStr">
        <is>
          <t>Easy</t>
        </is>
      </c>
      <c r="K31" s="4">
        <v>0.0082</v>
      </c>
      <c r="M31" s="6">
        <v>35</v>
      </c>
      <c r="N31" s="6" t="inlineStr">
        <is>
          <t>2026-10-02 15:30:34.482 | Minigame: Alex | Type: HammerHit | Outcome: Failed | Difficulty: Easy | ExpectedTime: 13.1840 | ActualTime: 13.1922 | TimingOffset: 0.0082 | TimingError: 0.0082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15:30:36.009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Failed</t>
        </is>
      </c>
      <c r="G32" s="0" t="inlineStr">
        <is>
          <t>Easy</t>
        </is>
      </c>
      <c r="K32" s="4">
        <v>0.0142</v>
      </c>
      <c r="M32" s="0">
        <v>36</v>
      </c>
      <c r="N32" s="0" t="inlineStr">
        <is>
          <t>2026-10-02 15:30:36.009 | Minigame: Alex | Type: HammerHit | Outcome: Failed | Difficulty: Easy | ExpectedTime: 14.7200 | ActualTime: 14.7058 | TimingOffset: -0.0142 | TimingError: 0.0142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15:30:36.038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Failed</t>
        </is>
      </c>
      <c r="G33" s="6" t="inlineStr">
        <is>
          <t>Easy</t>
        </is>
      </c>
      <c r="M33" s="6">
        <v>37</v>
      </c>
      <c r="N33" s="6" t="inlineStr">
        <is>
          <t>2026-10-02 15:30:36.038 | Minigame: Alex | Type: HammerHit | Outcome: Failed | Difficulty: Easy | ExpectedTime: 14.7200 | ActualTime: N/A | TimingOffset: N/A | TimingError: N/A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15:30:37.536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Easy</t>
        </is>
      </c>
      <c r="K34" s="4">
        <v>0.0089</v>
      </c>
      <c r="M34" s="0">
        <v>38</v>
      </c>
      <c r="N34" s="0" t="inlineStr">
        <is>
          <t>2026-10-02 15:30:37.536 | Minigame: Alex | Type: HammerHit | Outcome: Success | Difficulty: Easy | ExpectedTime: 16.2560 | ActualTime: 16.2471 | TimingOffset: -0.0089 | TimingError: 0.0089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15:30:37.538</t>
        </is>
      </c>
      <c r="C35" s="6" t="inlineStr">
        <is>
          <t>PlayerState</t>
        </is>
      </c>
      <c r="H35" s="6" t="inlineStr">
        <is>
          <t>Overloaded</t>
        </is>
      </c>
      <c r="M35" s="6">
        <v>39</v>
      </c>
      <c r="N35" s="6" t="inlineStr">
        <is>
          <t>2026-10-02 15:30:37.538 | PlayerState: Overloaded</t>
        </is>
      </c>
    </row>
    <row r="36" ht="17" customHeight="1">
      <c r="A36" s="0">
        <v>35</v>
      </c>
      <c r="B36" s="0" t="inlineStr">
        <is>
          <t>2026-10-02 15:30:37.538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Failed</t>
        </is>
      </c>
      <c r="G36" s="0" t="inlineStr">
        <is>
          <t>Easy</t>
        </is>
      </c>
      <c r="K36" s="4">
        <v>0.0089</v>
      </c>
      <c r="M36" s="0">
        <v>40</v>
      </c>
      <c r="N36" s="0" t="inlineStr">
        <is>
          <t>2026-10-02 15:30:37.538 | Minigame: Alex | Type: HammerHit | Outcome: Failed | Difficulty: Easy | ExpectedTime: 16.2560 | ActualTime: 16.2471 | TimingOffset: -0.0089 | TimingError: 0.0089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15:30:39.079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Failed</t>
        </is>
      </c>
      <c r="G37" s="6" t="inlineStr">
        <is>
          <t>Easy</t>
        </is>
      </c>
      <c r="K37" s="4">
        <v>0.0038</v>
      </c>
      <c r="M37" s="6">
        <v>41</v>
      </c>
      <c r="N37" s="6" t="inlineStr">
        <is>
          <t>2026-10-02 15:30:39.079 | Minigame: Alex | Type: HammerHit | Outcome: Failed | Difficulty: Easy | ExpectedTime: 17.7920 | ActualTime: 17.7882 | TimingOffset: -0.0038 | TimingError: 0.0038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15:30:40.632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Failed</t>
        </is>
      </c>
      <c r="G38" s="0" t="inlineStr">
        <is>
          <t>Easy</t>
        </is>
      </c>
      <c r="M38" s="0">
        <v>42</v>
      </c>
      <c r="N38" s="0" t="inlineStr">
        <is>
          <t>2026-10-02 15:30:40.632 | Minigame: Alex | Type: HammerTouch | Outcome: Failed | Difficulty: Easy | ExpectedTime: 19.3280 | ActualTime: N/A | TimingOffset: N/A | TimingError: N/A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15:30:40.632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Success</t>
        </is>
      </c>
      <c r="G39" s="6" t="inlineStr">
        <is>
          <t>Easy</t>
        </is>
      </c>
      <c r="M39" s="6">
        <v>43</v>
      </c>
      <c r="N39" s="6" t="inlineStr">
        <is>
          <t>2026-10-02 15:30:40.632 | Minigame: Alex | Type: HammerTouch | Outcome: Success | Difficulty: Easy | ExpectedTime: 19.3280 | ActualTime: N/A | TimingOffset: N/A | TimingError: N/A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15:30:42.160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Failed</t>
        </is>
      </c>
      <c r="G40" s="0" t="inlineStr">
        <is>
          <t>Easy</t>
        </is>
      </c>
      <c r="M40" s="0">
        <v>44</v>
      </c>
      <c r="N40" s="0" t="inlineStr">
        <is>
          <t>2026-10-02 15:30:42.160 | Minigame: Alex | Type: HammerTouch | Outcome: Failed | Difficulty: Easy | ExpectedTime: 20.8640 | ActualTime: N/A | TimingOffset: N/A | TimingError: N/A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15:30:43.701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Easy</t>
        </is>
      </c>
      <c r="K41" s="4">
        <v>0.012</v>
      </c>
      <c r="M41" s="6">
        <v>45</v>
      </c>
      <c r="N41" s="6" t="inlineStr">
        <is>
          <t>2026-10-02 15:30:43.701 | Minigame: Alex | Type: HammerHit | Outcome: Success | Difficulty: Easy | ExpectedTime: 22.4000 | ActualTime: 22.4120 | TimingOffset: 0.0120 | TimingError: 0.0120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15:30:43.703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Easy</t>
        </is>
      </c>
      <c r="K42" s="4">
        <v>0.012</v>
      </c>
      <c r="M42" s="0">
        <v>46</v>
      </c>
      <c r="N42" s="0" t="inlineStr">
        <is>
          <t>2026-10-02 15:30:43.703 | Minigame: Alex | Type: HammerHit | Outcome: Success | Difficulty: Easy | ExpectedTime: 22.4000 | ActualTime: 22.4120 | TimingOffset: 0.0120 | TimingError: 0.0120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15:30:45.229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Easy</t>
        </is>
      </c>
      <c r="K43" s="4">
        <v>0.0034</v>
      </c>
      <c r="M43" s="6">
        <v>47</v>
      </c>
      <c r="N43" s="6" t="inlineStr">
        <is>
          <t>2026-10-02 15:30:45.229 | Minigame: Alex | Type: HammerHit | Outcome: Success | Difficulty: Easy | ExpectedTime: 23.9360 | ActualTime: 23.9394 | TimingOffset: 0.0034 | TimingError: 0.0034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15:30:46.771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Easy</t>
        </is>
      </c>
      <c r="K44" s="4">
        <v>0.0088</v>
      </c>
      <c r="M44" s="0">
        <v>48</v>
      </c>
      <c r="N44" s="0" t="inlineStr">
        <is>
          <t>2026-10-02 15:30:46.771 | Minigame: Alex | Type: HammerHit | Outcome: Success | Difficulty: Easy | ExpectedTime: 25.4720 | ActualTime: 25.4808 | TimingOffset: 0.0088 | TimingError: 0.0088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15:30:46.771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Easy</t>
        </is>
      </c>
      <c r="K45" s="4">
        <v>0.0088</v>
      </c>
      <c r="M45" s="6">
        <v>49</v>
      </c>
      <c r="N45" s="6" t="inlineStr">
        <is>
          <t>2026-10-02 15:30:46.771 | Minigame: Alex | Type: HammerHit | Outcome: Success | Difficulty: Easy | ExpectedTime: 25.4720 | ActualTime: 25.4808 | TimingOffset: 0.0088 | TimingError: 0.0088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15:30:46.771</t>
        </is>
      </c>
      <c r="C46" s="0" t="inlineStr">
        <is>
          <t>PlayerState</t>
        </is>
      </c>
      <c r="H46" s="0" t="inlineStr">
        <is>
          <t>Engaged</t>
        </is>
      </c>
      <c r="M46" s="0">
        <v>50</v>
      </c>
      <c r="N46" s="0" t="inlineStr">
        <is>
          <t>2026-10-02 15:30:46.771 | PlayerState: Engaged</t>
        </is>
      </c>
    </row>
    <row r="47" ht="17" customHeight="1">
      <c r="A47" s="6">
        <v>46</v>
      </c>
      <c r="B47" s="6" t="inlineStr">
        <is>
          <t>2026-10-02 15:30:48.313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Success</t>
        </is>
      </c>
      <c r="G47" s="6" t="inlineStr">
        <is>
          <t>Easy</t>
        </is>
      </c>
      <c r="M47" s="6">
        <v>51</v>
      </c>
      <c r="N47" s="6" t="inlineStr">
        <is>
          <t>2026-10-02 15:30:48.313 | Minigame: Alex | Type: HammerTouch | Outcome: Success | Difficulty: Easy | ExpectedTime: 27.0080 | ActualTime: N/A | TimingOffset: N/A | TimingError: N/A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15:30:48.314</t>
        </is>
      </c>
      <c r="C48" s="0" t="inlineStr">
        <is>
          <t>DifficultyChanged</t>
        </is>
      </c>
      <c r="D48" s="0" t="inlineStr">
        <is>
          <t>Alex</t>
        </is>
      </c>
      <c r="I48" s="0" t="inlineStr">
        <is>
          <t>Easy -&gt; Normal</t>
        </is>
      </c>
      <c r="J48" s="0" t="inlineStr">
        <is>
          <t>High recent performance</t>
        </is>
      </c>
      <c r="M48" s="0">
        <v>52</v>
      </c>
      <c r="N48" s="0" t="inlineStr">
        <is>
          <t>2026-10-02 15:30:48.314 | DifficultyChanged: Easy -&gt; Normal | Reason: High recent performance | Minigame: Alex | SuccessRate: 0.88</t>
        </is>
      </c>
    </row>
    <row r="49" ht="17" customHeight="1">
      <c r="A49" s="6">
        <v>48</v>
      </c>
      <c r="B49" s="6" t="inlineStr">
        <is>
          <t>2026-10-02 15:30:49.841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Failed</t>
        </is>
      </c>
      <c r="G49" s="6" t="inlineStr">
        <is>
          <t>Normal</t>
        </is>
      </c>
      <c r="K49" s="4">
        <v>0.0068</v>
      </c>
      <c r="M49" s="6">
        <v>53</v>
      </c>
      <c r="N49" s="6" t="inlineStr">
        <is>
          <t>2026-10-02 15:30:49.841 | Minigame: Alex | Type: HammerHit | Outcome: Failed | Difficulty: Normal | ExpectedTime: 28.5440 | ActualTime: 28.5508 | TimingOffset: 0.0068 | TimingError: 0.0068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15:30:49.841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Failed</t>
        </is>
      </c>
      <c r="G50" s="0" t="inlineStr">
        <is>
          <t>Normal</t>
        </is>
      </c>
      <c r="K50" s="4">
        <v>0.0068</v>
      </c>
      <c r="M50" s="0">
        <v>54</v>
      </c>
      <c r="N50" s="0" t="inlineStr">
        <is>
          <t>2026-10-02 15:30:49.841 | Minigame: Alex | Type: HammerHit | Outcome: Failed | Difficulty: Normal | ExpectedTime: 28.5440 | ActualTime: 28.5508 | TimingOffset: 0.0068 | TimingError: 0.0068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15:30:50.661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Normal</t>
        </is>
      </c>
      <c r="K51" s="4">
        <v>0.0586</v>
      </c>
      <c r="M51" s="6">
        <v>55</v>
      </c>
      <c r="N51" s="6" t="inlineStr">
        <is>
          <t>2026-10-02 15:30:50.661 | Minigame: Alex | Type: HammerHit | Outcome: Success | Difficulty: Normal | ExpectedTime: 29.3120 | ActualTime: 29.3706 | TimingOffset: 0.0586 | TimingError: 0.0586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15:30:51.382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Normal</t>
        </is>
      </c>
      <c r="K52" s="4">
        <v>0.0123</v>
      </c>
      <c r="M52" s="0">
        <v>56</v>
      </c>
      <c r="N52" s="0" t="inlineStr">
        <is>
          <t>2026-10-02 15:30:51.382 | Minigame: Alex | Type: HammerHit | Outcome: Success | Difficulty: Normal | ExpectedTime: 30.0800 | ActualTime: 30.0923 | TimingOffset: 0.0123 | TimingError: 0.0123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15:30:51.702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HammerTouch</t>
        </is>
      </c>
      <c r="F53" s="6" t="inlineStr">
        <is>
          <t>Missed</t>
        </is>
      </c>
      <c r="G53" s="6" t="inlineStr">
        <is>
          <t>Normal</t>
        </is>
      </c>
      <c r="M53" s="6">
        <v>57</v>
      </c>
      <c r="N53" s="6" t="inlineStr">
        <is>
          <t>2026-10-02 15:30:51.702 | Minigame: Alex | Type: HammerTouch | Outcome: Missed | Difficulty: Normal | ExpectedTime: 30.0800 | ActualTime: N/A | TimingOffset: N/A | TimingError: N/A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15:30:51.702</t>
        </is>
      </c>
      <c r="C54" s="0" t="inlineStr">
        <is>
          <t>PlayerState</t>
        </is>
      </c>
      <c r="H54" s="0" t="inlineStr">
        <is>
          <t>Overloaded</t>
        </is>
      </c>
      <c r="M54" s="0">
        <v>58</v>
      </c>
      <c r="N54" s="0" t="inlineStr">
        <is>
          <t>2026-10-02 15:30:51.702 | PlayerState: Overloaded</t>
        </is>
      </c>
    </row>
    <row r="55" ht="17" customHeight="1">
      <c r="A55" s="6">
        <v>54</v>
      </c>
      <c r="B55" s="6" t="inlineStr">
        <is>
          <t>2026-10-02 15:30:51.702</t>
        </is>
      </c>
      <c r="C55" s="6" t="inlineStr">
        <is>
          <t>DifficultyChanged</t>
        </is>
      </c>
      <c r="D55" s="6" t="inlineStr">
        <is>
          <t>Alex</t>
        </is>
      </c>
      <c r="I55" s="6" t="inlineStr">
        <is>
          <t>Normal -&gt; Easy</t>
        </is>
      </c>
      <c r="J55" s="6" t="inlineStr">
        <is>
          <t>PlayerState: Overloaded</t>
        </is>
      </c>
      <c r="M55" s="6">
        <v>59</v>
      </c>
      <c r="N55" s="6" t="inlineStr">
        <is>
          <t>2026-10-02 15:30:51.702 | DifficultyChanged: Normal -&gt; Easy | Reason: PlayerState: Overloaded | Minigame: Alex | RecentSuccessRate: 0.50</t>
        </is>
      </c>
    </row>
    <row r="56" ht="17" customHeight="1">
      <c r="A56" s="0">
        <v>55</v>
      </c>
      <c r="B56" s="0" t="inlineStr">
        <is>
          <t>2026-10-02 15:30:51.703</t>
        </is>
      </c>
      <c r="C56" s="0" t="inlineStr">
        <is>
          <t>PlayerState</t>
        </is>
      </c>
      <c r="H56" s="0" t="inlineStr">
        <is>
          <t>Engaged</t>
        </is>
      </c>
      <c r="M56" s="0">
        <v>60</v>
      </c>
      <c r="N56" s="0" t="inlineStr">
        <is>
          <t>2026-10-02 15:30:51.703 | PlayerState: Engaged</t>
        </is>
      </c>
    </row>
    <row r="57" ht="17" customHeight="1">
      <c r="A57" s="6">
        <v>56</v>
      </c>
      <c r="B57" s="6" t="inlineStr">
        <is>
          <t>2026-10-02 15:30:52.160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Easy</t>
        </is>
      </c>
      <c r="K57" s="4">
        <v>0.0219</v>
      </c>
      <c r="M57" s="6">
        <v>61</v>
      </c>
      <c r="N57" s="6" t="inlineStr">
        <is>
          <t>2026-10-02 15:30:52.160 | Minigame: Alex | Type: HammerHit | Outcome: Success | Difficulty: Easy | ExpectedTime: 30.8480 | ActualTime: 30.8699 | TimingOffset: 0.0219 | TimingError: 0.0219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15:30:55.352</t>
        </is>
      </c>
      <c r="C58" s="0" t="inlineStr">
        <is>
          <t>Interaction</t>
        </is>
      </c>
      <c r="D58" s="0" t="inlineStr">
        <is>
          <t>Joaquin</t>
        </is>
      </c>
      <c r="E58" s="0" t="inlineStr">
        <is>
          <t>GuitarHit</t>
        </is>
      </c>
      <c r="F58" s="0" t="inlineStr">
        <is>
          <t>Success</t>
        </is>
      </c>
      <c r="G58" s="0" t="inlineStr">
        <is>
          <t>Easy</t>
        </is>
      </c>
      <c r="K58" s="4">
        <v>0.1288</v>
      </c>
      <c r="M58" s="0">
        <v>62</v>
      </c>
      <c r="N58" s="0" t="inlineStr">
        <is>
          <t>2026-10-02 15:30:55.352 | Minigame: Joaquin | Type: GuitarHit | Outcome: Success | Difficulty: Easy | ExpectedTime: 33.9200 | ActualTime: 34.0488 | TimingOffset: 0.1288 | TimingError: 0.1288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15:30:57.797</t>
        </is>
      </c>
      <c r="C59" s="6" t="inlineStr">
        <is>
          <t>Interaction</t>
        </is>
      </c>
      <c r="D59" s="6" t="inlineStr">
        <is>
          <t>Joaquin</t>
        </is>
      </c>
      <c r="E59" s="6" t="inlineStr">
        <is>
          <t>GuitarHit</t>
        </is>
      </c>
      <c r="F59" s="6" t="inlineStr">
        <is>
          <t>Success</t>
        </is>
      </c>
      <c r="G59" s="6" t="inlineStr">
        <is>
          <t>Easy</t>
        </is>
      </c>
      <c r="K59" s="4">
        <v>0.1142</v>
      </c>
      <c r="M59" s="6">
        <v>63</v>
      </c>
      <c r="N59" s="6" t="inlineStr">
        <is>
          <t>2026-10-02 15:30:57.797 | Minigame: Joaquin | Type: GuitarHit | Outcome: Success | Difficulty: Easy | ExpectedTime: 36.6080 | ActualTime: 36.4938 | TimingOffset: -0.1142 | TimingError: 0.1142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15:31:00.118</t>
        </is>
      </c>
      <c r="C60" s="0" t="inlineStr">
        <is>
          <t>Interaction</t>
        </is>
      </c>
      <c r="D60" s="0" t="inlineStr">
        <is>
          <t>Joaquin</t>
        </is>
      </c>
      <c r="E60" s="0" t="inlineStr">
        <is>
          <t>GuitarHit</t>
        </is>
      </c>
      <c r="F60" s="0" t="inlineStr">
        <is>
          <t>Success</t>
        </is>
      </c>
      <c r="G60" s="0" t="inlineStr">
        <is>
          <t>Easy</t>
        </is>
      </c>
      <c r="K60" s="4">
        <v>0.0984</v>
      </c>
      <c r="M60" s="0">
        <v>64</v>
      </c>
      <c r="N60" s="0" t="inlineStr">
        <is>
          <t>2026-10-02 15:31:00.118 | Minigame: Joaquin | Type: GuitarHit | Outcome: Success | Difficulty: Easy | ExpectedTime: 38.9120 | ActualTime: 38.8136 | TimingOffset: -0.0984 | TimingError: 0.0984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15:31:02.741</t>
        </is>
      </c>
      <c r="C61" s="6" t="inlineStr">
        <is>
          <t>Interaction</t>
        </is>
      </c>
      <c r="D61" s="6" t="inlineStr">
        <is>
          <t>Joaquin</t>
        </is>
      </c>
      <c r="E61" s="6" t="inlineStr">
        <is>
          <t>GuitarHit</t>
        </is>
      </c>
      <c r="F61" s="6" t="inlineStr">
        <is>
          <t>Success</t>
        </is>
      </c>
      <c r="G61" s="6" t="inlineStr">
        <is>
          <t>Easy</t>
        </is>
      </c>
      <c r="K61" s="4">
        <v>0.1623</v>
      </c>
      <c r="M61" s="6">
        <v>65</v>
      </c>
      <c r="N61" s="6" t="inlineStr">
        <is>
          <t>2026-10-02 15:31:02.741 | Minigame: Joaquin | Type: GuitarHit | Outcome: Success | Difficulty: Easy | ExpectedTime: 41.6000 | ActualTime: 41.4377 | TimingOffset: -0.1623 | TimingError: 0.1623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15:31:05.103</t>
        </is>
      </c>
      <c r="C62" s="0" t="inlineStr">
        <is>
          <t>Interaction</t>
        </is>
      </c>
      <c r="D62" s="0" t="inlineStr">
        <is>
          <t>Joaquin</t>
        </is>
      </c>
      <c r="E62" s="0" t="inlineStr">
        <is>
          <t>PlayerHit</t>
        </is>
      </c>
      <c r="F62" s="0" t="inlineStr">
        <is>
          <t>Failed</t>
        </is>
      </c>
      <c r="G62" s="0" t="inlineStr">
        <is>
          <t>Easy</t>
        </is>
      </c>
      <c r="M62" s="0">
        <v>66</v>
      </c>
      <c r="N62" s="0" t="inlineStr">
        <is>
          <t>2026-10-02 15:31:05.103 | Minigame: Joaquin | Type: PlayerHit | Outcome: Failed | Difficulty: Easy | ExpectedTime: 43.7987 | ActualTime: N/A | TimingOffset: N/A | TimingError: N/A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15:31:06.659</t>
        </is>
      </c>
      <c r="C63" s="6" t="inlineStr">
        <is>
          <t>Interaction</t>
        </is>
      </c>
      <c r="D63" s="6" t="inlineStr">
        <is>
          <t>Joaquin</t>
        </is>
      </c>
      <c r="E63" s="6" t="inlineStr">
        <is>
          <t>GuitarHit</t>
        </is>
      </c>
      <c r="F63" s="6" t="inlineStr">
        <is>
          <t>Success</t>
        </is>
      </c>
      <c r="G63" s="6" t="inlineStr">
        <is>
          <t>Easy</t>
        </is>
      </c>
      <c r="K63" s="4">
        <v>0.0852</v>
      </c>
      <c r="M63" s="6">
        <v>67</v>
      </c>
      <c r="N63" s="6" t="inlineStr">
        <is>
          <t>2026-10-02 15:31:06.659 | Minigame: Joaquin | Type: GuitarHit | Outcome: Success | Difficulty: Easy | ExpectedTime: 45.4400 | ActualTime: 45.3548 | TimingOffset: -0.0852 | TimingError: 0.0852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15:31:09.340</t>
        </is>
      </c>
      <c r="C64" s="0" t="inlineStr">
        <is>
          <t>Interaction</t>
        </is>
      </c>
      <c r="D64" s="0" t="inlineStr">
        <is>
          <t>Joaquin</t>
        </is>
      </c>
      <c r="E64" s="0" t="inlineStr">
        <is>
          <t>GuitarHit</t>
        </is>
      </c>
      <c r="F64" s="0" t="inlineStr">
        <is>
          <t>Success</t>
        </is>
      </c>
      <c r="G64" s="0" t="inlineStr">
        <is>
          <t>Easy</t>
        </is>
      </c>
      <c r="K64" s="4">
        <v>0.093</v>
      </c>
      <c r="M64" s="0">
        <v>68</v>
      </c>
      <c r="N64" s="0" t="inlineStr">
        <is>
          <t>2026-10-02 15:31:09.340 | Minigame: Joaquin | Type: GuitarHit | Outcome: Success | Difficulty: Easy | ExpectedTime: 48.1280 | ActualTime: 48.0350 | TimingOffset: -0.0930 | TimingError: 0.0930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15:31:11.130</t>
        </is>
      </c>
      <c r="C65" s="6" t="inlineStr">
        <is>
          <t>Interaction</t>
        </is>
      </c>
      <c r="D65" s="6" t="inlineStr">
        <is>
          <t>Joaquin</t>
        </is>
      </c>
      <c r="E65" s="6" t="inlineStr">
        <is>
          <t>PlayerHit</t>
        </is>
      </c>
      <c r="F65" s="6" t="inlineStr">
        <is>
          <t>Failed</t>
        </is>
      </c>
      <c r="G65" s="6" t="inlineStr">
        <is>
          <t>Easy</t>
        </is>
      </c>
      <c r="M65" s="6">
        <v>69</v>
      </c>
      <c r="N65" s="6" t="inlineStr">
        <is>
          <t>2026-10-02 15:31:11.130 | Minigame: Joaquin | Type: PlayerHit | Outcome: Failed | Difficulty: Easy | ExpectedTime: 49.8265 | ActualTime: N/A | TimingOffset: N/A | TimingError: N/A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15:31:11.630</t>
        </is>
      </c>
      <c r="C66" s="0" t="inlineStr">
        <is>
          <t>Interaction</t>
        </is>
      </c>
      <c r="D66" s="0" t="inlineStr">
        <is>
          <t>Joaquin</t>
        </is>
      </c>
      <c r="E66" s="0" t="inlineStr">
        <is>
          <t>GuitarHit</t>
        </is>
      </c>
      <c r="F66" s="0" t="inlineStr">
        <is>
          <t>Success</t>
        </is>
      </c>
      <c r="G66" s="0" t="inlineStr">
        <is>
          <t>Easy</t>
        </is>
      </c>
      <c r="K66" s="4">
        <v>0.1054</v>
      </c>
      <c r="M66" s="0">
        <v>70</v>
      </c>
      <c r="N66" s="0" t="inlineStr">
        <is>
          <t>2026-10-02 15:31:11.630 | Minigame: Joaquin | Type: GuitarHit | Outcome: Success | Difficulty: Easy | ExpectedTime: 50.4320 | ActualTime: 50.3266 | TimingOffset: -0.1054 | TimingError: 0.1054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15:31:13.991</t>
        </is>
      </c>
      <c r="C67" s="6" t="inlineStr">
        <is>
          <t>Interaction</t>
        </is>
      </c>
      <c r="D67" s="6" t="inlineStr">
        <is>
          <t>Joaquin</t>
        </is>
      </c>
      <c r="E67" s="6" t="inlineStr">
        <is>
          <t>GuitarHit</t>
        </is>
      </c>
      <c r="F67" s="6" t="inlineStr">
        <is>
          <t>Success</t>
        </is>
      </c>
      <c r="G67" s="6" t="inlineStr">
        <is>
          <t>Easy</t>
        </is>
      </c>
      <c r="K67" s="4">
        <v>0.0489</v>
      </c>
      <c r="M67" s="6">
        <v>71</v>
      </c>
      <c r="N67" s="6" t="inlineStr">
        <is>
          <t>2026-10-02 15:31:13.991 | Minigame: Joaquin | Type: GuitarHit | Outcome: Success | Difficulty: Easy | ExpectedTime: 52.7360 | ActualTime: 52.6871 | TimingOffset: -0.0489 | TimingError: 0.0489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15:31:16.297</t>
        </is>
      </c>
      <c r="C68" s="0" t="inlineStr">
        <is>
          <t>Interaction</t>
        </is>
      </c>
      <c r="D68" s="0" t="inlineStr">
        <is>
          <t>Joaquin</t>
        </is>
      </c>
      <c r="E68" s="0" t="inlineStr">
        <is>
          <t>GuitarHit</t>
        </is>
      </c>
      <c r="F68" s="0" t="inlineStr">
        <is>
          <t>Success</t>
        </is>
      </c>
      <c r="G68" s="0" t="inlineStr">
        <is>
          <t>Easy</t>
        </is>
      </c>
      <c r="K68" s="4">
        <v>0.047</v>
      </c>
      <c r="M68" s="0">
        <v>72</v>
      </c>
      <c r="N68" s="0" t="inlineStr">
        <is>
          <t>2026-10-02 15:31:16.297 | Minigame: Joaquin | Type: GuitarHit | Outcome: Success | Difficulty: Easy | ExpectedTime: 55.0400 | ActualTime: 54.9930 | TimingOffset: -0.0470 | TimingError: 0.0470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15:31:17.172</t>
        </is>
      </c>
      <c r="C69" s="6" t="inlineStr">
        <is>
          <t>Interaction</t>
        </is>
      </c>
      <c r="D69" s="6" t="inlineStr">
        <is>
          <t>Joaquin</t>
        </is>
      </c>
      <c r="E69" s="6" t="inlineStr">
        <is>
          <t>PlayerHit</t>
        </is>
      </c>
      <c r="F69" s="6" t="inlineStr">
        <is>
          <t>Failed</t>
        </is>
      </c>
      <c r="G69" s="6" t="inlineStr">
        <is>
          <t>Easy</t>
        </is>
      </c>
      <c r="M69" s="6">
        <v>73</v>
      </c>
      <c r="N69" s="6" t="inlineStr">
        <is>
          <t>2026-10-02 15:31:17.172 | Minigame: Joaquin | Type: PlayerHit | Outcome: Failed | Difficulty: Easy | ExpectedTime: 55.8683 | ActualTime: N/A | TimingOffset: N/A | TimingError: N/A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15:31:18.617</t>
        </is>
      </c>
      <c r="C70" s="0" t="inlineStr">
        <is>
          <t>Interaction</t>
        </is>
      </c>
      <c r="D70" s="0" t="inlineStr">
        <is>
          <t>Joaquin</t>
        </is>
      </c>
      <c r="E70" s="0" t="inlineStr">
        <is>
          <t>GuitarHit</t>
        </is>
      </c>
      <c r="F70" s="0" t="inlineStr">
        <is>
          <t>Success</t>
        </is>
      </c>
      <c r="G70" s="0" t="inlineStr">
        <is>
          <t>Easy</t>
        </is>
      </c>
      <c r="K70" s="4">
        <v>0.0318</v>
      </c>
      <c r="M70" s="0">
        <v>74</v>
      </c>
      <c r="N70" s="0" t="inlineStr">
        <is>
          <t>2026-10-02 15:31:18.617 | Minigame: Joaquin | Type: GuitarHit | Outcome: Success | Difficulty: Easy | ExpectedTime: 57.3440 | ActualTime: 57.3122 | TimingOffset: -0.0318 | TimingError: 0.0318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15:31:21.075</t>
        </is>
      </c>
      <c r="C71" s="6" t="inlineStr">
        <is>
          <t>Interaction</t>
        </is>
      </c>
      <c r="D71" s="6" t="inlineStr">
        <is>
          <t>Joaquin</t>
        </is>
      </c>
      <c r="E71" s="6" t="inlineStr">
        <is>
          <t>GuitarHit</t>
        </is>
      </c>
      <c r="F71" s="6" t="inlineStr">
        <is>
          <t>Success</t>
        </is>
      </c>
      <c r="G71" s="6" t="inlineStr">
        <is>
          <t>Easy</t>
        </is>
      </c>
      <c r="K71" s="4">
        <v>0.123</v>
      </c>
      <c r="M71" s="6">
        <v>75</v>
      </c>
      <c r="N71" s="6" t="inlineStr">
        <is>
          <t>2026-10-02 15:31:21.075 | Minigame: Joaquin | Type: GuitarHit | Outcome: Success | Difficulty: Easy | ExpectedTime: 59.6480 | ActualTime: 59.7710 | TimingOffset: 0.1230 | TimingError: 0.1230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15:31:26.076</t>
        </is>
      </c>
      <c r="C72" s="0" t="inlineStr">
        <is>
          <t>PlayerState</t>
        </is>
      </c>
      <c r="H72" s="0" t="inlineStr">
        <is>
          <t>Idle</t>
        </is>
      </c>
      <c r="M72" s="0">
        <v>76</v>
      </c>
      <c r="N72" s="0" t="inlineStr">
        <is>
          <t>2026-10-02 15:31:26.076 | PlayerState: Idle</t>
        </is>
      </c>
    </row>
    <row r="73" ht="17" customHeight="1">
      <c r="A73" s="6">
        <v>72</v>
      </c>
      <c r="B73" s="6" t="inlineStr">
        <is>
          <t>2026-10-02 15:31:28.022</t>
        </is>
      </c>
      <c r="C73" s="6" t="inlineStr">
        <is>
          <t>Interaction</t>
        </is>
      </c>
      <c r="D73" s="6" t="inlineStr">
        <is>
          <t>Shipi</t>
        </is>
      </c>
      <c r="E73" s="6" t="inlineStr">
        <is>
          <t>FoodCut</t>
        </is>
      </c>
      <c r="F73" s="6" t="inlineStr">
        <is>
          <t>Success</t>
        </is>
      </c>
      <c r="G73" s="6" t="inlineStr">
        <is>
          <t>Easy</t>
        </is>
      </c>
      <c r="K73" s="4">
        <v>0.8979</v>
      </c>
      <c r="L73" s="4">
        <v>0.1581</v>
      </c>
      <c r="M73" s="6">
        <v>77</v>
      </c>
      <c r="N73" s="6" t="inlineStr">
        <is>
          <t>2026-10-02 15:31:28.022 | Minigame: Shipi | Type: FoodCut | Outcome: Success | Difficulty: Easy | ExpectedTime: 67.6160 | ActualTime: 66.7181 | TimingOffset: -0.8979 | TimingError: 0.8979 | ReactionTime: 0.1581 | SpatialAccuracy: N/A | DirectionAccuracy: 1.0000 | CorrectHand: N/A</t>
        </is>
      </c>
    </row>
    <row r="74" ht="17" customHeight="1">
      <c r="A74" s="0">
        <v>73</v>
      </c>
      <c r="B74" s="0" t="inlineStr">
        <is>
          <t>2026-10-02 15:31:28.022</t>
        </is>
      </c>
      <c r="C74" s="0" t="inlineStr">
        <is>
          <t>PlayerState</t>
        </is>
      </c>
      <c r="H74" s="0" t="inlineStr">
        <is>
          <t>Engaged</t>
        </is>
      </c>
      <c r="M74" s="0">
        <v>78</v>
      </c>
      <c r="N74" s="0" t="inlineStr">
        <is>
          <t>2026-10-02 15:31:28.022 | PlayerState: Engaged</t>
        </is>
      </c>
    </row>
    <row r="75" ht="17" customHeight="1">
      <c r="A75" s="6">
        <v>74</v>
      </c>
      <c r="B75" s="6" t="inlineStr">
        <is>
          <t>2026-10-02 15:31:30.132</t>
        </is>
      </c>
      <c r="C75" s="6" t="inlineStr">
        <is>
          <t>Interaction</t>
        </is>
      </c>
      <c r="D75" s="6" t="inlineStr">
        <is>
          <t>Shipi</t>
        </is>
      </c>
      <c r="E75" s="6" t="inlineStr">
        <is>
          <t>FoodCut</t>
        </is>
      </c>
      <c r="F75" s="6" t="inlineStr">
        <is>
          <t>Failed</t>
        </is>
      </c>
      <c r="G75" s="6" t="inlineStr">
        <is>
          <t>Easy</t>
        </is>
      </c>
      <c r="M75" s="6">
        <v>79</v>
      </c>
      <c r="N75" s="6" t="inlineStr">
        <is>
          <t>2026-10-02 15:31:30.132 | Minigame: Shipi | Type: FoodCut | Outcome: Failed | Difficulty: Easy | ExpectedTime: 69.5360 | ActualTime: N/A | TimingOffset: N/A | TimingError: N/A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15:31:32.899</t>
        </is>
      </c>
      <c r="C76" s="0" t="inlineStr">
        <is>
          <t>Interaction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Success</t>
        </is>
      </c>
      <c r="G76" s="0" t="inlineStr">
        <is>
          <t>Easy</t>
        </is>
      </c>
      <c r="K76" s="4">
        <v>0.1379</v>
      </c>
      <c r="L76" s="4">
        <v>1.1939</v>
      </c>
      <c r="M76" s="0">
        <v>80</v>
      </c>
      <c r="N76" s="0" t="inlineStr">
        <is>
          <t>2026-10-02 15:31:32.899 | Minigame: Shipi | Type: FoodCut | Outcome: Success | Difficulty: Easy | ExpectedTime: 71.4560 | ActualTime: 71.5939 | TimingOffset: 0.1379 | TimingError: 0.1379 | ReactionTime: 1.1939 | SpatialAccuracy: N/A | DirectionAccuracy: 1.0000 | CorrectHand: N/A</t>
        </is>
      </c>
    </row>
    <row r="77" ht="17" customHeight="1">
      <c r="A77" s="6">
        <v>76</v>
      </c>
      <c r="B77" s="6" t="inlineStr">
        <is>
          <t>2026-10-02 15:31:34.981</t>
        </is>
      </c>
      <c r="C77" s="6" t="inlineStr">
        <is>
          <t>Interaction</t>
        </is>
      </c>
      <c r="D77" s="6" t="inlineStr">
        <is>
          <t>Shipi</t>
        </is>
      </c>
      <c r="E77" s="6" t="inlineStr">
        <is>
          <t>FoodCut</t>
        </is>
      </c>
      <c r="F77" s="6" t="inlineStr">
        <is>
          <t>Success</t>
        </is>
      </c>
      <c r="G77" s="6" t="inlineStr">
        <is>
          <t>Easy</t>
        </is>
      </c>
      <c r="K77" s="4">
        <v>0.3011</v>
      </c>
      <c r="L77" s="4">
        <v>1.3571</v>
      </c>
      <c r="M77" s="6">
        <v>81</v>
      </c>
      <c r="N77" s="6" t="inlineStr">
        <is>
          <t>2026-10-02 15:31:34.981 | Minigame: Shipi | Type: FoodCut | Outcome: Success | Difficulty: Easy | ExpectedTime: 73.3760 | ActualTime: 73.6771 | TimingOffset: 0.3011 | TimingError: 0.3011 | ReactionTime: 1.3571 | SpatialAccuracy: N/A | DirectionAccuracy: 1.0000 | CorrectHand: N/A</t>
        </is>
      </c>
    </row>
    <row r="78" ht="17" customHeight="1">
      <c r="A78" s="0">
        <v>77</v>
      </c>
      <c r="B78" s="0" t="inlineStr">
        <is>
          <t>2026-10-02 15:31:36.438</t>
        </is>
      </c>
      <c r="C78" s="0" t="inlineStr">
        <is>
          <t>Interaction</t>
        </is>
      </c>
      <c r="D78" s="0" t="inlineStr">
        <is>
          <t>Shipi</t>
        </is>
      </c>
      <c r="E78" s="0" t="inlineStr">
        <is>
          <t>FoodCut</t>
        </is>
      </c>
      <c r="F78" s="0" t="inlineStr">
        <is>
          <t>Success</t>
        </is>
      </c>
      <c r="G78" s="0" t="inlineStr">
        <is>
          <t>Easy</t>
        </is>
      </c>
      <c r="K78" s="4">
        <v>0.1617</v>
      </c>
      <c r="L78" s="4">
        <v>0.8943</v>
      </c>
      <c r="M78" s="0">
        <v>82</v>
      </c>
      <c r="N78" s="0" t="inlineStr">
        <is>
          <t>2026-10-02 15:31:36.438 | Minigame: Shipi | Type: FoodCut | Outcome: Success | Difficulty: Easy | ExpectedTime: 75.2960 | ActualTime: 75.1343 | TimingOffset: -0.1617 | TimingError: 0.1617 | ReactionTime: 0.8943 | SpatialAccuracy: N/A | DirectionAccuracy: 1.0000 | CorrectHand: N/A</t>
        </is>
      </c>
    </row>
    <row r="79" ht="17" customHeight="1">
      <c r="A79" s="6">
        <v>78</v>
      </c>
      <c r="B79" s="6" t="inlineStr">
        <is>
          <t>2026-10-02 15:31:38.258</t>
        </is>
      </c>
      <c r="C79" s="6" t="inlineStr">
        <is>
          <t>Interaction</t>
        </is>
      </c>
      <c r="D79" s="6" t="inlineStr">
        <is>
          <t>Shipi</t>
        </is>
      </c>
      <c r="E79" s="6" t="inlineStr">
        <is>
          <t>FoodCut</t>
        </is>
      </c>
      <c r="F79" s="6" t="inlineStr">
        <is>
          <t>Failed</t>
        </is>
      </c>
      <c r="G79" s="6" t="inlineStr">
        <is>
          <t>Easy</t>
        </is>
      </c>
      <c r="K79" s="4">
        <v>0.2621</v>
      </c>
      <c r="L79" s="4">
        <v>0.7939</v>
      </c>
      <c r="M79" s="6">
        <v>83</v>
      </c>
      <c r="N79" s="6" t="inlineStr">
        <is>
          <t>2026-10-02 15:31:38.258 | Minigame: Shipi | Type: FoodCut | Outcome: Failed | Difficulty: Easy | ExpectedTime: 77.2160 | ActualTime: 76.9539 | TimingOffset: -0.2621 | TimingError: 0.2621 | ReactionTime: 0.7939 | SpatialAccuracy: N/A | DirectionAccuracy: 0.0000 | CorrectHand: N/A</t>
        </is>
      </c>
    </row>
    <row r="80" ht="17" customHeight="1">
      <c r="A80" s="0">
        <v>79</v>
      </c>
      <c r="B80" s="0" t="inlineStr">
        <is>
          <t>2026-10-02 15:31:40.161</t>
        </is>
      </c>
      <c r="C80" s="0" t="inlineStr">
        <is>
          <t>Interaction</t>
        </is>
      </c>
      <c r="D80" s="0" t="inlineStr">
        <is>
          <t>Shipi</t>
        </is>
      </c>
      <c r="E80" s="0" t="inlineStr">
        <is>
          <t>FoodCut</t>
        </is>
      </c>
      <c r="F80" s="0" t="inlineStr">
        <is>
          <t>Success</t>
        </is>
      </c>
      <c r="G80" s="0" t="inlineStr">
        <is>
          <t>Easy</t>
        </is>
      </c>
      <c r="K80" s="4">
        <v>0.2787</v>
      </c>
      <c r="L80" s="4">
        <v>0.7773</v>
      </c>
      <c r="M80" s="0">
        <v>84</v>
      </c>
      <c r="N80" s="0" t="inlineStr">
        <is>
          <t>2026-10-02 15:31:40.161 | Minigame: Shipi | Type: FoodCut | Outcome: Success | Difficulty: Easy | ExpectedTime: 79.1360 | ActualTime: 78.8573 | TimingOffset: -0.2787 | TimingError: 0.2787 | ReactionTime: 0.7773 | SpatialAccuracy: N/A | DirectionAccuracy: 1.0000 | CorrectHand: N/A</t>
        </is>
      </c>
    </row>
    <row r="81" ht="17" customHeight="1">
      <c r="A81" s="6">
        <v>80</v>
      </c>
      <c r="B81" s="6" t="inlineStr">
        <is>
          <t>2026-10-02 15:31:43.232</t>
        </is>
      </c>
      <c r="C81" s="6" t="inlineStr">
        <is>
          <t>Interaction</t>
        </is>
      </c>
      <c r="D81" s="6" t="inlineStr">
        <is>
          <t>Shipi</t>
        </is>
      </c>
      <c r="E81" s="6" t="inlineStr">
        <is>
          <t>FoodClear</t>
        </is>
      </c>
      <c r="F81" s="6" t="inlineStr">
        <is>
          <t>Success</t>
        </is>
      </c>
      <c r="G81" s="6" t="inlineStr">
        <is>
          <t>Easy</t>
        </is>
      </c>
      <c r="M81" s="6">
        <v>85</v>
      </c>
      <c r="N81" s="6" t="inlineStr">
        <is>
          <t>2026-10-02 15:31:43.232 | Minigame: Shipi | Type: FoodClear | Outcome: Success | Difficulty: Easy | ExpectedTime: 81.0560 | ActualTime: N/A | TimingOffset: N/A | TimingError: N/A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15:31:43.855</t>
        </is>
      </c>
      <c r="C82" s="0" t="inlineStr">
        <is>
          <t>Interaction</t>
        </is>
      </c>
      <c r="D82" s="0" t="inlineStr">
        <is>
          <t>Shipi</t>
        </is>
      </c>
      <c r="E82" s="0" t="inlineStr">
        <is>
          <t>FoodCut</t>
        </is>
      </c>
      <c r="F82" s="0" t="inlineStr">
        <is>
          <t>Success</t>
        </is>
      </c>
      <c r="G82" s="0" t="inlineStr">
        <is>
          <t>Easy</t>
        </is>
      </c>
      <c r="K82" s="4">
        <v>0.4248</v>
      </c>
      <c r="L82" s="4">
        <v>0.6312</v>
      </c>
      <c r="M82" s="0">
        <v>86</v>
      </c>
      <c r="N82" s="0" t="inlineStr">
        <is>
          <t>2026-10-02 15:31:43.855 | Minigame: Shipi | Type: FoodCut | Outcome: Success | Difficulty: Easy | ExpectedTime: 82.9760 | ActualTime: 82.5512 | TimingOffset: -0.4248 | TimingError: 0.4248 | ReactionTime: 0.6312 | SpatialAccuracy: N/A | DirectionAccuracy: 1.0000 | CorrectHand: N/A</t>
        </is>
      </c>
    </row>
    <row r="83" ht="17" customHeight="1">
      <c r="A83" s="6">
        <v>82</v>
      </c>
      <c r="B83" s="6" t="inlineStr">
        <is>
          <t>2026-10-02 15:31:47.077</t>
        </is>
      </c>
      <c r="C83" s="6" t="inlineStr">
        <is>
          <t>Interaction</t>
        </is>
      </c>
      <c r="D83" s="6" t="inlineStr">
        <is>
          <t>Shipi</t>
        </is>
      </c>
      <c r="E83" s="6" t="inlineStr">
        <is>
          <t>FoodClear</t>
        </is>
      </c>
      <c r="F83" s="6" t="inlineStr">
        <is>
          <t>Success</t>
        </is>
      </c>
      <c r="G83" s="6" t="inlineStr">
        <is>
          <t>Easy</t>
        </is>
      </c>
      <c r="M83" s="6">
        <v>87</v>
      </c>
      <c r="N83" s="6" t="inlineStr">
        <is>
          <t>2026-10-02 15:31:47.077 | Minigame: Shipi | Type: FoodClear | Outcome: Success | Difficulty: Easy | ExpectedTime: 84.8960 | ActualTime: N/A | TimingOffset: N/A | TimingError: N/A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15:31:47.757</t>
        </is>
      </c>
      <c r="C84" s="0" t="inlineStr">
        <is>
          <t>Interaction</t>
        </is>
      </c>
      <c r="D84" s="0" t="inlineStr">
        <is>
          <t>Shipi</t>
        </is>
      </c>
      <c r="E84" s="0" t="inlineStr">
        <is>
          <t>FoodCut</t>
        </is>
      </c>
      <c r="F84" s="0" t="inlineStr">
        <is>
          <t>Success</t>
        </is>
      </c>
      <c r="G84" s="0" t="inlineStr">
        <is>
          <t>Easy</t>
        </is>
      </c>
      <c r="K84" s="4">
        <v>0.3628</v>
      </c>
      <c r="L84" s="4">
        <v>0.6932</v>
      </c>
      <c r="M84" s="0">
        <v>88</v>
      </c>
      <c r="N84" s="0" t="inlineStr">
        <is>
          <t>2026-10-02 15:31:47.757 | Minigame: Shipi | Type: FoodCut | Outcome: Success | Difficulty: Easy | ExpectedTime: 86.8160 | ActualTime: 86.4532 | TimingOffset: -0.3628 | TimingError: 0.3628 | ReactionTime: 0.6932 | SpatialAccuracy: N/A | DirectionAccuracy: 1.0000 | CorrectHand: N/A</t>
        </is>
      </c>
    </row>
    <row r="85" ht="17" customHeight="1">
      <c r="A85" s="6">
        <v>84</v>
      </c>
      <c r="B85" s="6" t="inlineStr">
        <is>
          <t>2026-10-02 15:31:49.674</t>
        </is>
      </c>
      <c r="C85" s="6" t="inlineStr">
        <is>
          <t>Interaction</t>
        </is>
      </c>
      <c r="D85" s="6" t="inlineStr">
        <is>
          <t>Shipi</t>
        </is>
      </c>
      <c r="E85" s="6" t="inlineStr">
        <is>
          <t>FoodCut</t>
        </is>
      </c>
      <c r="F85" s="6" t="inlineStr">
        <is>
          <t>Success</t>
        </is>
      </c>
      <c r="G85" s="6" t="inlineStr">
        <is>
          <t>Easy</t>
        </is>
      </c>
      <c r="K85" s="4">
        <v>0.366</v>
      </c>
      <c r="L85" s="4">
        <v>0.69</v>
      </c>
      <c r="M85" s="6">
        <v>89</v>
      </c>
      <c r="N85" s="6" t="inlineStr">
        <is>
          <t>2026-10-02 15:31:49.674 | Minigame: Shipi | Type: FoodCut | Outcome: Success | Difficulty: Easy | ExpectedTime: 88.7360 | ActualTime: 88.3700 | TimingOffset: -0.3660 | TimingError: 0.3660 | ReactionTime: 0.6900 | SpatialAccuracy: N/A | DirectionAccuracy: 1.0000 | CorrectHand: N/A</t>
        </is>
      </c>
    </row>
    <row r="86" ht="17" customHeight="1">
      <c r="A86" s="0">
        <v>85</v>
      </c>
      <c r="B86" s="0" t="inlineStr">
        <is>
          <t>2026-10-02 15:31:51.577</t>
        </is>
      </c>
      <c r="C86" s="0" t="inlineStr">
        <is>
          <t>Interaction</t>
        </is>
      </c>
      <c r="D86" s="0" t="inlineStr">
        <is>
          <t>Shipi</t>
        </is>
      </c>
      <c r="E86" s="0" t="inlineStr">
        <is>
          <t>FoodCut</t>
        </is>
      </c>
      <c r="F86" s="0" t="inlineStr">
        <is>
          <t>Failed</t>
        </is>
      </c>
      <c r="G86" s="0" t="inlineStr">
        <is>
          <t>Easy</t>
        </is>
      </c>
      <c r="K86" s="4">
        <v>0.3827</v>
      </c>
      <c r="L86" s="4">
        <v>0.6733</v>
      </c>
      <c r="M86" s="0">
        <v>90</v>
      </c>
      <c r="N86" s="0" t="inlineStr">
        <is>
          <t>2026-10-02 15:31:51.577 | Minigame: Shipi | Type: FoodCut | Outcome: Failed | Difficulty: Easy | ExpectedTime: 90.6560 | ActualTime: 90.2733 | TimingOffset: -0.3827 | TimingError: 0.3827 | ReactionTime: 0.6733 | SpatialAccuracy: N/A | DirectionAccuracy: 0.0000 | CorrectHand: N/A</t>
        </is>
      </c>
    </row>
    <row r="87" ht="17" customHeight="1">
      <c r="A87" s="6">
        <v>86</v>
      </c>
      <c r="B87" s="6" t="inlineStr">
        <is>
          <t>2026-10-02 15:31:54.757</t>
        </is>
      </c>
      <c r="C87" s="6" t="inlineStr">
        <is>
          <t>Interaction</t>
        </is>
      </c>
      <c r="D87" s="6" t="inlineStr">
        <is>
          <t>Shipi</t>
        </is>
      </c>
      <c r="E87" s="6" t="inlineStr">
        <is>
          <t>FoodClear</t>
        </is>
      </c>
      <c r="F87" s="6" t="inlineStr">
        <is>
          <t>Success</t>
        </is>
      </c>
      <c r="G87" s="6" t="inlineStr">
        <is>
          <t>Easy</t>
        </is>
      </c>
      <c r="M87" s="6">
        <v>91</v>
      </c>
      <c r="N87" s="6" t="inlineStr">
        <is>
          <t>2026-10-02 15:31:54.757 | Minigame: Shipi | Type: FoodClear | Outcome: Success | Difficulty: Easy | ExpectedTime: 92.5760 | ActualTime: N/A | TimingOffset: N/A | TimingError: N/A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15:31:56.577</t>
        </is>
      </c>
      <c r="C88" s="0" t="inlineStr">
        <is>
          <t>PlayerState</t>
        </is>
      </c>
      <c r="H88" s="0" t="inlineStr">
        <is>
          <t>Idle</t>
        </is>
      </c>
      <c r="M88" s="0">
        <v>92</v>
      </c>
      <c r="N88" s="0" t="inlineStr">
        <is>
          <t>2026-10-02 15:31:56.577 | PlayerState: Idle</t>
        </is>
      </c>
    </row>
    <row r="89" ht="17" customHeight="1">
      <c r="A89" s="6">
        <v>88</v>
      </c>
      <c r="B89" s="6" t="inlineStr">
        <is>
          <t>2026-10-02 15:32:00.077</t>
        </is>
      </c>
      <c r="C89" s="6" t="inlineStr">
        <is>
          <t>Interaction</t>
        </is>
      </c>
      <c r="D89" s="6" t="inlineStr">
        <is>
          <t>JuanAndres</t>
        </is>
      </c>
      <c r="E89" s="6" t="inlineStr">
        <is>
          <t>GroomStroke</t>
        </is>
      </c>
      <c r="F89" s="6" t="inlineStr">
        <is>
          <t>Success</t>
        </is>
      </c>
      <c r="G89" s="6" t="inlineStr">
        <is>
          <t>Easy</t>
        </is>
      </c>
      <c r="K89" s="4">
        <v>3.5329</v>
      </c>
      <c r="M89" s="6">
        <v>93</v>
      </c>
      <c r="N89" s="6" t="inlineStr">
        <is>
          <t>2026-10-02 15:32:00.077 | Minigame: JuanAndres | Type: GroomStroke | Outcome: Success | Difficulty: Easy | ExpectedTime: 94.9760 | ActualTime: 98.5089 | TimingOffset: 3.5329 | TimingError: 3.5329 | ReactionTime: N/A | SpatialAccuracy: N/A | DirectionAccuracy: 1.0000 | CorrectHand: True</t>
        </is>
      </c>
    </row>
    <row r="90" ht="17" customHeight="1">
      <c r="A90" s="0">
        <v>89</v>
      </c>
      <c r="B90" s="0" t="inlineStr">
        <is>
          <t>2026-10-02 15:32:00.077</t>
        </is>
      </c>
      <c r="C90" s="0" t="inlineStr">
        <is>
          <t>PlayerState</t>
        </is>
      </c>
      <c r="H90" s="0" t="inlineStr">
        <is>
          <t>Engaged</t>
        </is>
      </c>
      <c r="M90" s="0">
        <v>94</v>
      </c>
      <c r="N90" s="0" t="inlineStr">
        <is>
          <t>2026-10-02 15:32:00.077 | PlayerState: Engaged</t>
        </is>
      </c>
    </row>
    <row r="91" ht="17" customHeight="1">
      <c r="A91" s="6">
        <v>90</v>
      </c>
      <c r="B91" s="6" t="inlineStr">
        <is>
          <t>2026-10-02 15:32:03.439</t>
        </is>
      </c>
      <c r="C91" s="6" t="inlineStr">
        <is>
          <t>Interaction</t>
        </is>
      </c>
      <c r="D91" s="6" t="inlineStr">
        <is>
          <t>JuanAndres</t>
        </is>
      </c>
      <c r="E91" s="6" t="inlineStr">
        <is>
          <t>GroomStroke</t>
        </is>
      </c>
      <c r="F91" s="6" t="inlineStr">
        <is>
          <t>Missed</t>
        </is>
      </c>
      <c r="G91" s="6" t="inlineStr">
        <is>
          <t>Easy</t>
        </is>
      </c>
      <c r="M91" s="6">
        <v>95</v>
      </c>
      <c r="N91" s="6" t="inlineStr">
        <is>
          <t>2026-10-02 15:32:03.439 | Minigame: JuanAndres | Type: GroomStroke | Outcome: Missed | Difficulty: Easy | ExpectedTime: 96.1280 | ActualTime: N/A | TimingOffset: N/A | TimingError: N/A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15:32:04.980</t>
        </is>
      </c>
      <c r="C92" s="0" t="inlineStr">
        <is>
          <t>Interaction</t>
        </is>
      </c>
      <c r="D92" s="0" t="inlineStr">
        <is>
          <t>JuanAndres</t>
        </is>
      </c>
      <c r="E92" s="0" t="inlineStr">
        <is>
          <t>GroomStroke</t>
        </is>
      </c>
      <c r="F92" s="0" t="inlineStr">
        <is>
          <t>Success</t>
        </is>
      </c>
      <c r="G92" s="0" t="inlineStr">
        <is>
          <t>Easy</t>
        </is>
      </c>
      <c r="K92" s="4">
        <v>0.7562</v>
      </c>
      <c r="M92" s="0">
        <v>96</v>
      </c>
      <c r="N92" s="0" t="inlineStr">
        <is>
          <t>2026-10-02 15:32:04.980 | Minigame: JuanAndres | Type: GroomStroke | Outcome: Success | Difficulty: Easy | ExpectedTime: 102.6560 | ActualTime: 103.4122 | TimingOffset: 0.7562 | TimingError: 0.7562 | ReactionTime: N/A | SpatialAccuracy: N/A | DirectionAccuracy: 1.0000 | CorrectHand: True</t>
        </is>
      </c>
    </row>
    <row r="93" ht="17" customHeight="1">
      <c r="A93" s="6">
        <v>92</v>
      </c>
      <c r="B93" s="6" t="inlineStr">
        <is>
          <t>2026-10-02 15:32:06.521</t>
        </is>
      </c>
      <c r="C93" s="6" t="inlineStr">
        <is>
          <t>Interaction</t>
        </is>
      </c>
      <c r="D93" s="6" t="inlineStr">
        <is>
          <t>JuanAndres</t>
        </is>
      </c>
      <c r="E93" s="6" t="inlineStr">
        <is>
          <t>GroomStroke</t>
        </is>
      </c>
      <c r="F93" s="6" t="inlineStr">
        <is>
          <t>Failed</t>
        </is>
      </c>
      <c r="G93" s="6" t="inlineStr">
        <is>
          <t>Easy</t>
        </is>
      </c>
      <c r="K93" s="4">
        <v>3.4865</v>
      </c>
      <c r="M93" s="6">
        <v>97</v>
      </c>
      <c r="N93" s="6" t="inlineStr">
        <is>
          <t>2026-10-02 15:32:06.521 | Minigame: JuanAndres | Type: GroomStroke | Outcome: Failed | Difficulty: Easy | ExpectedTime: 101.1200 | ActualTime: 104.6065 | TimingOffset: 3.4865 | TimingError: 3.4865 | ReactionTime: N/A | SpatialAccuracy: N/A | DirectionAccuracy: 1.0000 | CorrectHand: False</t>
        </is>
      </c>
    </row>
    <row r="94" ht="17" customHeight="1">
      <c r="A94" s="0">
        <v>93</v>
      </c>
      <c r="B94" s="0" t="inlineStr">
        <is>
          <t>2026-10-02 15:32:07.299</t>
        </is>
      </c>
      <c r="C94" s="0" t="inlineStr">
        <is>
          <t>Interaction</t>
        </is>
      </c>
      <c r="D94" s="0" t="inlineStr">
        <is>
          <t>JuanAndres</t>
        </is>
      </c>
      <c r="E94" s="0" t="inlineStr">
        <is>
          <t>GroomStroke</t>
        </is>
      </c>
      <c r="F94" s="0" t="inlineStr">
        <is>
          <t>Failed</t>
        </is>
      </c>
      <c r="G94" s="0" t="inlineStr">
        <is>
          <t>Easy</t>
        </is>
      </c>
      <c r="K94" s="4">
        <v>1.6226</v>
      </c>
      <c r="M94" s="0">
        <v>98</v>
      </c>
      <c r="N94" s="0" t="inlineStr">
        <is>
          <t>2026-10-02 15:32:07.299 | Minigame: JuanAndres | Type: GroomStroke | Outcome: Failed | Difficulty: Easy | ExpectedTime: 104.1920 | ActualTime: 105.8146 | TimingOffset: 1.6226 | TimingError: 1.6226 | ReactionTime: N/A | SpatialAccuracy: N/A | DirectionAccuracy: 0.0000 | CorrectHand: True</t>
        </is>
      </c>
    </row>
    <row r="95" ht="17" customHeight="1">
      <c r="A95" s="6">
        <v>94</v>
      </c>
      <c r="B95" s="6" t="inlineStr">
        <is>
          <t>2026-10-02 15:32:07.300</t>
        </is>
      </c>
      <c r="C95" s="6" t="inlineStr">
        <is>
          <t>PlayerState</t>
        </is>
      </c>
      <c r="H95" s="6" t="inlineStr">
        <is>
          <t>Overloaded</t>
        </is>
      </c>
      <c r="M95" s="6">
        <v>99</v>
      </c>
      <c r="N95" s="6" t="inlineStr">
        <is>
          <t>2026-10-02 15:32:07.300 | PlayerState: Overloaded</t>
        </is>
      </c>
    </row>
    <row r="96" ht="17" customHeight="1">
      <c r="A96" s="0">
        <v>95</v>
      </c>
      <c r="B96" s="0" t="inlineStr">
        <is>
          <t>2026-10-02 15:32:08.631</t>
        </is>
      </c>
      <c r="C96" s="0" t="inlineStr">
        <is>
          <t>Interaction</t>
        </is>
      </c>
      <c r="D96" s="0" t="inlineStr">
        <is>
          <t>JuanAndres</t>
        </is>
      </c>
      <c r="E96" s="0" t="inlineStr">
        <is>
          <t>GroomStroke</t>
        </is>
      </c>
      <c r="F96" s="0" t="inlineStr">
        <is>
          <t>Success</t>
        </is>
      </c>
      <c r="G96" s="0" t="inlineStr">
        <is>
          <t>Easy</t>
        </is>
      </c>
      <c r="K96" s="4">
        <v>0.0521</v>
      </c>
      <c r="M96" s="0">
        <v>100</v>
      </c>
      <c r="N96" s="0" t="inlineStr">
        <is>
          <t>2026-10-02 15:32:08.631 | Minigame: JuanAndres | Type: GroomStroke | Outcome: Success | Difficulty: Easy | ExpectedTime: 106.8800 | ActualTime: 106.8279 | TimingOffset: -0.0521 | TimingError: 0.0521 | ReactionTime: N/A | SpatialAccuracy: N/A | DirectionAccuracy: 1.0000 | CorrectHand: True</t>
        </is>
      </c>
    </row>
    <row r="97" ht="17" customHeight="1">
      <c r="A97" s="6">
        <v>96</v>
      </c>
      <c r="B97" s="6" t="inlineStr">
        <is>
          <t>2026-10-02 15:32:10.118</t>
        </is>
      </c>
      <c r="C97" s="6" t="inlineStr">
        <is>
          <t>Interaction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Failed</t>
        </is>
      </c>
      <c r="G97" s="6" t="inlineStr">
        <is>
          <t>Easy</t>
        </is>
      </c>
      <c r="K97" s="4">
        <v>0.3793</v>
      </c>
      <c r="M97" s="6">
        <v>101</v>
      </c>
      <c r="N97" s="6" t="inlineStr">
        <is>
          <t>2026-10-02 15:32:10.118 | Minigame: JuanAndres | Type: GroomStroke | Outcome: Failed | Difficulty: Easy | ExpectedTime: 108.0320 | ActualTime: 108.4113 | TimingOffset: 0.3793 | TimingError: 0.3793 | ReactionTime: N/A | SpatialAccuracy: N/A | DirectionAccuracy: 0.0000 | CorrectHand: True</t>
        </is>
      </c>
    </row>
    <row r="98" ht="17" customHeight="1">
      <c r="A98" s="0">
        <v>97</v>
      </c>
      <c r="B98" s="0" t="inlineStr">
        <is>
          <t>2026-10-02 15:32:11.049</t>
        </is>
      </c>
      <c r="C98" s="0" t="inlineStr">
        <is>
          <t>Interaction</t>
        </is>
      </c>
      <c r="D98" s="0" t="inlineStr">
        <is>
          <t>JuanAndres</t>
        </is>
      </c>
      <c r="E98" s="0" t="inlineStr">
        <is>
          <t>GroomStroke</t>
        </is>
      </c>
      <c r="F98" s="0" t="inlineStr">
        <is>
          <t>Success</t>
        </is>
      </c>
      <c r="G98" s="0" t="inlineStr">
        <is>
          <t>Easy</t>
        </is>
      </c>
      <c r="K98" s="4">
        <v>0.533</v>
      </c>
      <c r="M98" s="0">
        <v>102</v>
      </c>
      <c r="N98" s="0" t="inlineStr">
        <is>
          <t>2026-10-02 15:32:11.049 | Minigame: JuanAndres | Type: GroomStroke | Outcome: Success | Difficulty: Easy | ExpectedTime: 109.1840 | ActualTime: 109.7170 | TimingOffset: 0.5330 | TimingError: 0.5330 | ReactionTime: N/A | SpatialAccuracy: N/A | DirectionAccuracy: 1.0000 | CorrectHand: True</t>
        </is>
      </c>
    </row>
    <row r="99" ht="17" customHeight="1">
      <c r="A99" s="6">
        <v>98</v>
      </c>
      <c r="B99" s="6" t="inlineStr">
        <is>
          <t>2026-10-02 15:32:13.591</t>
        </is>
      </c>
      <c r="C99" s="6" t="inlineStr">
        <is>
          <t>Interaction</t>
        </is>
      </c>
      <c r="D99" s="6" t="inlineStr">
        <is>
          <t>JuanAndres</t>
        </is>
      </c>
      <c r="E99" s="6" t="inlineStr">
        <is>
          <t>GroomStroke</t>
        </is>
      </c>
      <c r="F99" s="6" t="inlineStr">
        <is>
          <t>Success</t>
        </is>
      </c>
      <c r="G99" s="6" t="inlineStr">
        <is>
          <t>Easy</t>
        </is>
      </c>
      <c r="K99" s="4">
        <v>1.0862</v>
      </c>
      <c r="M99" s="6">
        <v>103</v>
      </c>
      <c r="N99" s="6" t="inlineStr">
        <is>
          <t>2026-10-02 15:32:13.591 | Minigame: JuanAndres | Type: GroomStroke | Outcome: Success | Difficulty: Easy | ExpectedTime: 111.1040 | ActualTime: 112.1902 | TimingOffset: 1.0862 | TimingError: 1.0862 | ReactionTime: N/A | SpatialAccuracy: N/A | DirectionAccuracy: 1.0000 | CorrectHand: True</t>
        </is>
      </c>
    </row>
    <row r="100" ht="17" customHeight="1">
      <c r="A100" s="0">
        <v>99</v>
      </c>
      <c r="B100" s="0" t="inlineStr">
        <is>
          <t>2026-10-02 15:32:14.869</t>
        </is>
      </c>
      <c r="C100" s="0" t="inlineStr">
        <is>
          <t>Interaction</t>
        </is>
      </c>
      <c r="D100" s="0" t="inlineStr">
        <is>
          <t>JuanAndres</t>
        </is>
      </c>
      <c r="E100" s="0" t="inlineStr">
        <is>
          <t>GroomStroke</t>
        </is>
      </c>
      <c r="F100" s="0" t="inlineStr">
        <is>
          <t>Success</t>
        </is>
      </c>
      <c r="G100" s="0" t="inlineStr">
        <is>
          <t>Easy</t>
        </is>
      </c>
      <c r="K100" s="4">
        <v>0.4859</v>
      </c>
      <c r="M100" s="0">
        <v>104</v>
      </c>
      <c r="N100" s="0" t="inlineStr">
        <is>
          <t>2026-10-02 15:32:14.869 | Minigame: JuanAndres | Type: GroomStroke | Outcome: Success | Difficulty: Easy | ExpectedTime: 113.0240 | ActualTime: 113.5099 | TimingOffset: 0.4859 | TimingError: 0.4859 | ReactionTime: N/A | SpatialAccuracy: N/A | DirectionAccuracy: 1.0000 | CorrectHand: True</t>
        </is>
      </c>
    </row>
    <row r="101" ht="17" customHeight="1">
      <c r="A101" s="6">
        <v>100</v>
      </c>
      <c r="B101" s="6" t="inlineStr">
        <is>
          <t>2026-10-02 15:32:16.591</t>
        </is>
      </c>
      <c r="C101" s="6" t="inlineStr">
        <is>
          <t>Interaction</t>
        </is>
      </c>
      <c r="D101" s="6" t="inlineStr">
        <is>
          <t>JuanAndres</t>
        </is>
      </c>
      <c r="E101" s="6" t="inlineStr">
        <is>
          <t>GroomStroke</t>
        </is>
      </c>
      <c r="F101" s="6" t="inlineStr">
        <is>
          <t>Success</t>
        </is>
      </c>
      <c r="G101" s="6" t="inlineStr">
        <is>
          <t>Easy</t>
        </is>
      </c>
      <c r="K101" s="4">
        <v>1.2183</v>
      </c>
      <c r="M101" s="6">
        <v>105</v>
      </c>
      <c r="N101" s="6" t="inlineStr">
        <is>
          <t>2026-10-02 15:32:16.591 | Minigame: JuanAndres | Type: GroomStroke | Outcome: Success | Difficulty: Easy | ExpectedTime: 113.7920 | ActualTime: 115.0103 | TimingOffset: 1.2183 | TimingError: 1.2183 | ReactionTime: N/A | SpatialAccuracy: N/A | DirectionAccuracy: 1.0000 | CorrectHand: True</t>
        </is>
      </c>
    </row>
    <row r="102" ht="17" customHeight="1">
      <c r="A102" s="0">
        <v>101</v>
      </c>
      <c r="B102" s="0" t="inlineStr">
        <is>
          <t>2026-10-02 15:32:17.758</t>
        </is>
      </c>
      <c r="C102" s="0" t="inlineStr">
        <is>
          <t>Interaction</t>
        </is>
      </c>
      <c r="D102" s="0" t="inlineStr">
        <is>
          <t>JuanAndres</t>
        </is>
      </c>
      <c r="E102" s="0" t="inlineStr">
        <is>
          <t>GroomStroke</t>
        </is>
      </c>
      <c r="F102" s="0" t="inlineStr">
        <is>
          <t>Failed</t>
        </is>
      </c>
      <c r="G102" s="0" t="inlineStr">
        <is>
          <t>Easy</t>
        </is>
      </c>
      <c r="K102" s="4">
        <v>0.0582</v>
      </c>
      <c r="M102" s="0">
        <v>106</v>
      </c>
      <c r="N102" s="0" t="inlineStr">
        <is>
          <t>2026-10-02 15:32:17.758 | Minigame: JuanAndres | Type: GroomStroke | Outcome: Failed | Difficulty: Easy | ExpectedTime: 116.0960 | ActualTime: 116.0378 | TimingOffset: -0.0582 | TimingError: 0.0582 | ReactionTime: N/A | SpatialAccuracy: N/A | DirectionAccuracy: 0.0000 | CorrectHand: True</t>
        </is>
      </c>
    </row>
    <row r="103" ht="17" customHeight="1">
      <c r="A103" s="6">
        <v>102</v>
      </c>
      <c r="B103" s="6" t="inlineStr">
        <is>
          <t>2026-10-02 15:32:18.842</t>
        </is>
      </c>
      <c r="C103" s="6" t="inlineStr">
        <is>
          <t>Interaction</t>
        </is>
      </c>
      <c r="D103" s="6" t="inlineStr">
        <is>
          <t>JuanAndres</t>
        </is>
      </c>
      <c r="E103" s="6" t="inlineStr">
        <is>
          <t>GroomStroke</t>
        </is>
      </c>
      <c r="F103" s="6" t="inlineStr">
        <is>
          <t>Failed</t>
        </is>
      </c>
      <c r="G103" s="6" t="inlineStr">
        <is>
          <t>Easy</t>
        </is>
      </c>
      <c r="K103" s="4">
        <v>0.1231</v>
      </c>
      <c r="M103" s="6">
        <v>107</v>
      </c>
      <c r="N103" s="6" t="inlineStr">
        <is>
          <t>2026-10-02 15:32:18.842 | Minigame: JuanAndres | Type: GroomStroke | Outcome: Failed | Difficulty: Easy | ExpectedTime: 117.2480 | ActualTime: 117.3711 | TimingOffset: 0.1231 | TimingError: 0.1231 | ReactionTime: N/A | SpatialAccuracy: N/A | DirectionAccuracy: 0.0000 | CorrectHand: True</t>
        </is>
      </c>
    </row>
    <row r="104" ht="17" customHeight="1">
      <c r="A104" s="0">
        <v>103</v>
      </c>
      <c r="B104" s="0" t="inlineStr">
        <is>
          <t>2026-10-02 15:32:20.217</t>
        </is>
      </c>
      <c r="C104" s="0" t="inlineStr">
        <is>
          <t>Interaction</t>
        </is>
      </c>
      <c r="D104" s="0" t="inlineStr">
        <is>
          <t>JuanAndres</t>
        </is>
      </c>
      <c r="E104" s="0" t="inlineStr">
        <is>
          <t>GroomStroke</t>
        </is>
      </c>
      <c r="F104" s="0" t="inlineStr">
        <is>
          <t>Success</t>
        </is>
      </c>
      <c r="G104" s="0" t="inlineStr">
        <is>
          <t>Easy</t>
        </is>
      </c>
      <c r="K104" s="4">
        <v>0.2355</v>
      </c>
      <c r="M104" s="0">
        <v>108</v>
      </c>
      <c r="N104" s="0" t="inlineStr">
        <is>
          <t>2026-10-02 15:32:20.217 | Minigame: JuanAndres | Type: GroomStroke | Outcome: Success | Difficulty: Easy | ExpectedTime: 118.4000 | ActualTime: 118.6355 | TimingOffset: 0.2355 | TimingError: 0.2355 | ReactionTime: N/A | SpatialAccuracy: N/A | DirectionAccuracy: 1.0000 | CorrectHand: True</t>
        </is>
      </c>
    </row>
    <row r="105" ht="17" customHeight="1">
      <c r="A105" s="6">
        <v>104</v>
      </c>
      <c r="B105" s="6" t="inlineStr">
        <is>
          <t>2026-10-02 15:32:22.454</t>
        </is>
      </c>
      <c r="C105" s="6" t="inlineStr">
        <is>
          <t>Interaction</t>
        </is>
      </c>
      <c r="D105" s="6" t="inlineStr">
        <is>
          <t>JuanAndres</t>
        </is>
      </c>
      <c r="E105" s="6" t="inlineStr">
        <is>
          <t>GroomStroke</t>
        </is>
      </c>
      <c r="F105" s="6" t="inlineStr">
        <is>
          <t>Failed</t>
        </is>
      </c>
      <c r="G105" s="6" t="inlineStr">
        <is>
          <t>Easy</t>
        </is>
      </c>
      <c r="K105" s="4">
        <v>0.6306</v>
      </c>
      <c r="M105" s="6">
        <v>109</v>
      </c>
      <c r="N105" s="6" t="inlineStr">
        <is>
          <t>2026-10-02 15:32:22.454 | Minigame: JuanAndres | Type: GroomStroke | Outcome: Failed | Difficulty: Easy | ExpectedTime: 119.9360 | ActualTime: 120.5666 | TimingOffset: 0.6306 | TimingError: 0.6306 | ReactionTime: N/A | SpatialAccuracy: N/A | DirectionAccuracy: 0.0000 | CorrectHand: True</t>
        </is>
      </c>
    </row>
    <row r="106" ht="17" customHeight="1">
      <c r="A106" s="0">
        <v>105</v>
      </c>
      <c r="B106" s="0" t="inlineStr">
        <is>
          <t>2026-10-02 15:32:25.676</t>
        </is>
      </c>
      <c r="C106" s="0" t="inlineStr">
        <is>
          <t>Interaction</t>
        </is>
      </c>
      <c r="D106" s="0" t="inlineStr">
        <is>
          <t>JuanAndres</t>
        </is>
      </c>
      <c r="E106" s="0" t="inlineStr">
        <is>
          <t>GroomStroke</t>
        </is>
      </c>
      <c r="F106" s="0" t="inlineStr">
        <is>
          <t>Failed</t>
        </is>
      </c>
      <c r="G106" s="0" t="inlineStr">
        <is>
          <t>Easy</t>
        </is>
      </c>
      <c r="K106" s="4">
        <v>0.8971</v>
      </c>
      <c r="M106" s="0">
        <v>110</v>
      </c>
      <c r="N106" s="0" t="inlineStr">
        <is>
          <t>2026-10-02 15:32:25.676 | Minigame: JuanAndres | Type: GroomStroke | Outcome: Failed | Difficulty: Easy | ExpectedTime: 123.3920 | ActualTime: 124.2891 | TimingOffset: 0.8971 | TimingError: 0.8971 | ReactionTime: N/A | SpatialAccuracy: N/A | DirectionAccuracy: 0.0000 | CorrectHand: True</t>
        </is>
      </c>
    </row>
    <row r="107" ht="17" customHeight="1">
      <c r="A107" s="6">
        <v>106</v>
      </c>
      <c r="B107" s="6" t="inlineStr">
        <is>
          <t>2026-10-02 15:32:28.216</t>
        </is>
      </c>
      <c r="C107" s="6" t="inlineStr">
        <is>
          <t>Interaction</t>
        </is>
      </c>
      <c r="D107" s="6" t="inlineStr">
        <is>
          <t>Danniel</t>
        </is>
      </c>
      <c r="E107" s="6" t="inlineStr">
        <is>
          <t>GunShoot</t>
        </is>
      </c>
      <c r="F107" s="6" t="inlineStr">
        <is>
          <t>Success</t>
        </is>
      </c>
      <c r="G107" s="6" t="inlineStr">
        <is>
          <t>Easy</t>
        </is>
      </c>
      <c r="K107" s="4">
        <v>0.0061</v>
      </c>
      <c r="M107" s="6">
        <v>111</v>
      </c>
      <c r="N107" s="6" t="inlineStr">
        <is>
          <t>2026-10-02 15:32:28.216 | Minigame: Danniel | Type: GunShoot | Outcome: Success | Difficulty: Easy | ExpectedTime: 126.8480 | ActualTime: 126.8419 | TimingOffset: -0.0061 | TimingError: 0.0061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15:32:28.216</t>
        </is>
      </c>
      <c r="C108" s="0" t="inlineStr">
        <is>
          <t>PlayerState</t>
        </is>
      </c>
      <c r="H108" s="0" t="inlineStr">
        <is>
          <t>Engaged</t>
        </is>
      </c>
      <c r="M108" s="0">
        <v>112</v>
      </c>
      <c r="N108" s="0" t="inlineStr">
        <is>
          <t>2026-10-02 15:32:28.216 | PlayerState: Engaged</t>
        </is>
      </c>
    </row>
    <row r="109" ht="17" customHeight="1">
      <c r="A109" s="6">
        <v>108</v>
      </c>
      <c r="B109" s="6" t="inlineStr">
        <is>
          <t>2026-10-02 15:32:29.398</t>
        </is>
      </c>
      <c r="C109" s="6" t="inlineStr">
        <is>
          <t>Interaction</t>
        </is>
      </c>
      <c r="D109" s="6" t="inlineStr">
        <is>
          <t>Danniel</t>
        </is>
      </c>
      <c r="E109" s="6" t="inlineStr">
        <is>
          <t>GunShoot</t>
        </is>
      </c>
      <c r="F109" s="6" t="inlineStr">
        <is>
          <t>Success</t>
        </is>
      </c>
      <c r="G109" s="6" t="inlineStr">
        <is>
          <t>Easy</t>
        </is>
      </c>
      <c r="K109" s="4">
        <v>0.0873</v>
      </c>
      <c r="M109" s="6">
        <v>113</v>
      </c>
      <c r="N109" s="6" t="inlineStr">
        <is>
          <t>2026-10-02 15:32:29.398 | Minigame: Danniel | Type: GunShoot | Outcome: Success | Difficulty: Easy | ExpectedTime: 128.0000 | ActualTime: 127.9127 | TimingOffset: -0.0873 | TimingError: 0.0873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15:32:32.077</t>
        </is>
      </c>
      <c r="C110" s="0" t="inlineStr">
        <is>
          <t>Interaction</t>
        </is>
      </c>
      <c r="D110" s="0" t="inlineStr">
        <is>
          <t>Danniel</t>
        </is>
      </c>
      <c r="E110" s="0" t="inlineStr">
        <is>
          <t>PlayerHit</t>
        </is>
      </c>
      <c r="F110" s="0" t="inlineStr">
        <is>
          <t>Failed</t>
        </is>
      </c>
      <c r="G110" s="0" t="inlineStr">
        <is>
          <t>Easy</t>
        </is>
      </c>
      <c r="M110" s="0">
        <v>114</v>
      </c>
      <c r="N110" s="0" t="inlineStr">
        <is>
          <t>2026-10-02 15:32:32.077 | Minigame: Danniel | Type: PlayerHit | Outcome: Failed | Difficulty: Easy | ExpectedTime: 130.7728 | ActualTime: N/A | TimingOffset: N/A | TimingError: N/A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15:32:32.299</t>
        </is>
      </c>
      <c r="C111" s="6" t="inlineStr">
        <is>
          <t>Interaction</t>
        </is>
      </c>
      <c r="D111" s="6" t="inlineStr">
        <is>
          <t>Danniel</t>
        </is>
      </c>
      <c r="E111" s="6" t="inlineStr">
        <is>
          <t>GunShoot</t>
        </is>
      </c>
      <c r="F111" s="6" t="inlineStr">
        <is>
          <t>Success</t>
        </is>
      </c>
      <c r="G111" s="6" t="inlineStr">
        <is>
          <t>Easy</t>
        </is>
      </c>
      <c r="K111" s="4">
        <v>0.0522</v>
      </c>
      <c r="M111" s="6">
        <v>115</v>
      </c>
      <c r="N111" s="6" t="inlineStr">
        <is>
          <t>2026-10-02 15:32:32.299 | Minigame: Danniel | Type: GunShoot | Outcome: Success | Difficulty: Easy | ExpectedTime: 130.3040 | ActualTime: 130.3562 | TimingOffset: 0.0522 | TimingError: 0.0522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15:32:33.452</t>
        </is>
      </c>
      <c r="C112" s="0" t="inlineStr">
        <is>
          <t>Interaction</t>
        </is>
      </c>
      <c r="D112" s="0" t="inlineStr">
        <is>
          <t>Danniel</t>
        </is>
      </c>
      <c r="E112" s="0" t="inlineStr">
        <is>
          <t>GunShoot</t>
        </is>
      </c>
      <c r="F112" s="0" t="inlineStr">
        <is>
          <t>Failed</t>
        </is>
      </c>
      <c r="G112" s="0" t="inlineStr">
        <is>
          <t>Easy</t>
        </is>
      </c>
      <c r="M112" s="0">
        <v>116</v>
      </c>
      <c r="N112" s="0" t="inlineStr">
        <is>
          <t>2026-10-02 15:32:33.452 | Minigame: Danniel | Type: GunShoot | Outcome: Failed | Difficulty: Easy | ExpectedTime: 132.1479 | ActualTime: N/A | TimingOffset: N/A | TimingError: N/A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15:32:34.909</t>
        </is>
      </c>
      <c r="C113" s="6" t="inlineStr">
        <is>
          <t>Interaction</t>
        </is>
      </c>
      <c r="D113" s="6" t="inlineStr">
        <is>
          <t>Danniel</t>
        </is>
      </c>
      <c r="E113" s="6" t="inlineStr">
        <is>
          <t>PlayerHit</t>
        </is>
      </c>
      <c r="F113" s="6" t="inlineStr">
        <is>
          <t>Failed</t>
        </is>
      </c>
      <c r="G113" s="6" t="inlineStr">
        <is>
          <t>Easy</t>
        </is>
      </c>
      <c r="M113" s="6">
        <v>117</v>
      </c>
      <c r="N113" s="6" t="inlineStr">
        <is>
          <t>2026-10-02 15:32:34.909 | Minigame: Danniel | Type: PlayerHit | Outcome: Failed | Difficulty: Easy | ExpectedTime: 133.6059 | ActualTime: N/A | TimingOffset: N/A | TimingError: N/A | ReactionTime: N/A | SpatialAccuracy: N/A | DirectionAccuracy: N/A | CorrectHand: N/A</t>
        </is>
      </c>
    </row>
    <row r="114" ht="17" customHeight="1">
      <c r="A114" s="0">
        <v>113</v>
      </c>
      <c r="B114" s="0" t="inlineStr">
        <is>
          <t>2026-10-02 15:32:35.618</t>
        </is>
      </c>
      <c r="C114" s="0" t="inlineStr">
        <is>
          <t>Interaction</t>
        </is>
      </c>
      <c r="D114" s="0" t="inlineStr">
        <is>
          <t>Danniel</t>
        </is>
      </c>
      <c r="E114" s="0" t="inlineStr">
        <is>
          <t>GunShoot</t>
        </is>
      </c>
      <c r="F114" s="0" t="inlineStr">
        <is>
          <t>Success</t>
        </is>
      </c>
      <c r="G114" s="0" t="inlineStr">
        <is>
          <t>Easy</t>
        </is>
      </c>
      <c r="K114" s="4">
        <v>0.0201</v>
      </c>
      <c r="M114" s="0">
        <v>118</v>
      </c>
      <c r="N114" s="0" t="inlineStr">
        <is>
          <t>2026-10-02 15:32:35.618 | Minigame: Danniel | Type: GunShoot | Outcome: Success | Difficulty: Easy | ExpectedTime: 133.3760 | ActualTime: 133.3559 | TimingOffset: -0.0201 | TimingError: 0.0201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15:32:36.854</t>
        </is>
      </c>
      <c r="C115" s="6" t="inlineStr">
        <is>
          <t>Interaction</t>
        </is>
      </c>
      <c r="D115" s="6" t="inlineStr">
        <is>
          <t>Danniel</t>
        </is>
      </c>
      <c r="E115" s="6" t="inlineStr">
        <is>
          <t>GunShoot</t>
        </is>
      </c>
      <c r="F115" s="6" t="inlineStr">
        <is>
          <t>Failed</t>
        </is>
      </c>
      <c r="G115" s="6" t="inlineStr">
        <is>
          <t>Easy</t>
        </is>
      </c>
      <c r="M115" s="6">
        <v>119</v>
      </c>
      <c r="N115" s="6" t="inlineStr">
        <is>
          <t>2026-10-02 15:32:36.854 | Minigame: Danniel | Type: GunShoot | Outcome: Failed | Difficulty: Easy | ExpectedTime: 135.5505 | ActualTime: N/A | TimingOffset: N/A | TimingError: N/A | ReactionTime: N/A | SpatialAccuracy: N/A | DirectionAccuracy: N/A | CorrectHand: N/A</t>
        </is>
      </c>
    </row>
    <row r="116" ht="17" customHeight="1">
      <c r="A116" s="0">
        <v>115</v>
      </c>
      <c r="B116" s="0" t="inlineStr">
        <is>
          <t>2026-10-02 15:32:37.340</t>
        </is>
      </c>
      <c r="C116" s="0" t="inlineStr">
        <is>
          <t>Interaction</t>
        </is>
      </c>
      <c r="D116" s="0" t="inlineStr">
        <is>
          <t>Danniel</t>
        </is>
      </c>
      <c r="E116" s="0" t="inlineStr">
        <is>
          <t>GunShoot</t>
        </is>
      </c>
      <c r="F116" s="0" t="inlineStr">
        <is>
          <t>Success</t>
        </is>
      </c>
      <c r="G116" s="0" t="inlineStr">
        <is>
          <t>Easy</t>
        </is>
      </c>
      <c r="K116" s="4">
        <v>0.1802</v>
      </c>
      <c r="M116" s="0">
        <v>120</v>
      </c>
      <c r="N116" s="0" t="inlineStr">
        <is>
          <t>2026-10-02 15:32:37.340 | Minigame: Danniel | Type: GunShoot | Outcome: Success | Difficulty: Easy | ExpectedTime: 134.9120 | ActualTime: 135.0922 | TimingOffset: 0.1802 | TimingError: 0.1802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15:32:38.298</t>
        </is>
      </c>
      <c r="C117" s="6" t="inlineStr">
        <is>
          <t>Interaction</t>
        </is>
      </c>
      <c r="D117" s="6" t="inlineStr">
        <is>
          <t>Danniel</t>
        </is>
      </c>
      <c r="E117" s="6" t="inlineStr">
        <is>
          <t>GunShoot</t>
        </is>
      </c>
      <c r="F117" s="6" t="inlineStr">
        <is>
          <t>Success</t>
        </is>
      </c>
      <c r="G117" s="6" t="inlineStr">
        <is>
          <t>Easy</t>
        </is>
      </c>
      <c r="K117" s="4">
        <v>0.0223</v>
      </c>
      <c r="M117" s="6">
        <v>121</v>
      </c>
      <c r="N117" s="6" t="inlineStr">
        <is>
          <t>2026-10-02 15:32:38.298 | Minigame: Danniel | Type: GunShoot | Outcome: Success | Difficulty: Easy | ExpectedTime: 136.4480 | ActualTime: 136.4257 | TimingOffset: -0.0223 | TimingError: 0.0223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15:32:39.840</t>
        </is>
      </c>
      <c r="C118" s="0" t="inlineStr">
        <is>
          <t>Interaction</t>
        </is>
      </c>
      <c r="D118" s="0" t="inlineStr">
        <is>
          <t>Danniel</t>
        </is>
      </c>
      <c r="E118" s="0" t="inlineStr">
        <is>
          <t>GunShoot</t>
        </is>
      </c>
      <c r="F118" s="0" t="inlineStr">
        <is>
          <t>Failed</t>
        </is>
      </c>
      <c r="G118" s="0" t="inlineStr">
        <is>
          <t>Easy</t>
        </is>
      </c>
      <c r="M118" s="0">
        <v>122</v>
      </c>
      <c r="N118" s="0" t="inlineStr">
        <is>
          <t>2026-10-02 15:32:39.840 | Minigame: Danniel | Type: GunShoot | Outcome: Failed | Difficulty: Easy | ExpectedTime: 138.5367 | ActualTime: N/A | TimingOffset: N/A | TimingError: N/A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15:32:44.174</t>
        </is>
      </c>
      <c r="C119" s="6" t="inlineStr">
        <is>
          <t>Interaction</t>
        </is>
      </c>
      <c r="D119" s="6" t="inlineStr">
        <is>
          <t>Danniel</t>
        </is>
      </c>
      <c r="E119" s="6" t="inlineStr">
        <is>
          <t>GunShoot</t>
        </is>
      </c>
      <c r="F119" s="6" t="inlineStr">
        <is>
          <t>Success</t>
        </is>
      </c>
      <c r="G119" s="6" t="inlineStr">
        <is>
          <t>Easy</t>
        </is>
      </c>
      <c r="K119" s="4">
        <v>0.0047</v>
      </c>
      <c r="M119" s="6">
        <v>123</v>
      </c>
      <c r="N119" s="6" t="inlineStr">
        <is>
          <t>2026-10-02 15:32:44.174 | Minigame: Danniel | Type: GunShoot | Outcome: Success | Difficulty: Easy | ExpectedTime: 142.2080 | ActualTime: 142.2033 | TimingOffset: -0.0047 | TimingError: 0.0047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15:32:45.173</t>
        </is>
      </c>
      <c r="C120" s="0" t="inlineStr">
        <is>
          <t>Interaction</t>
        </is>
      </c>
      <c r="D120" s="0" t="inlineStr">
        <is>
          <t>Danniel</t>
        </is>
      </c>
      <c r="E120" s="0" t="inlineStr">
        <is>
          <t>GunShoot</t>
        </is>
      </c>
      <c r="F120" s="0" t="inlineStr">
        <is>
          <t>Failed</t>
        </is>
      </c>
      <c r="G120" s="0" t="inlineStr">
        <is>
          <t>Easy</t>
        </is>
      </c>
      <c r="M120" s="0">
        <v>124</v>
      </c>
      <c r="N120" s="0" t="inlineStr">
        <is>
          <t>2026-10-02 15:32:45.173 | Minigame: Danniel | Type: GunShoot | Outcome: Failed | Difficulty: Easy | ExpectedTime: 143.8702 | ActualTime: N/A | TimingOffset: N/A | TimingError: N/A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15:32:46.590</t>
        </is>
      </c>
      <c r="C121" s="6" t="inlineStr">
        <is>
          <t>Interaction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Success</t>
        </is>
      </c>
      <c r="G121" s="6" t="inlineStr">
        <is>
          <t>Easy</t>
        </is>
      </c>
      <c r="K121" s="4">
        <v>0.1</v>
      </c>
      <c r="M121" s="6">
        <v>125</v>
      </c>
      <c r="N121" s="6" t="inlineStr">
        <is>
          <t>2026-10-02 15:32:46.590 | Minigame: Danniel | Type: GunShoot | Outcome: Success | Difficulty: Easy | ExpectedTime: 144.5120 | ActualTime: 144.4120 | TimingOffset: -0.1000 | TimingError: 0.1000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15:32:46.938</t>
        </is>
      </c>
      <c r="C122" s="0" t="inlineStr">
        <is>
          <t>Interaction</t>
        </is>
      </c>
      <c r="D122" s="0" t="inlineStr">
        <is>
          <t>Danniel</t>
        </is>
      </c>
      <c r="E122" s="0" t="inlineStr">
        <is>
          <t>GunShoot</t>
        </is>
      </c>
      <c r="F122" s="0" t="inlineStr">
        <is>
          <t>Failed</t>
        </is>
      </c>
      <c r="G122" s="0" t="inlineStr">
        <is>
          <t>Easy</t>
        </is>
      </c>
      <c r="M122" s="0">
        <v>126</v>
      </c>
      <c r="N122" s="0" t="inlineStr">
        <is>
          <t>2026-10-02 15:32:46.938 | Minigame: Danniel | Type: GunShoot | Outcome: Failed | Difficulty: Easy | ExpectedTime: 145.6339 | ActualTime: N/A | TimingOffset: N/A | TimingError: N/A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15:32:50.895</t>
        </is>
      </c>
      <c r="C123" s="6" t="inlineStr">
        <is>
          <t>Interaction</t>
        </is>
      </c>
      <c r="D123" s="6" t="inlineStr">
        <is>
          <t>Danniel</t>
        </is>
      </c>
      <c r="E123" s="6" t="inlineStr">
        <is>
          <t>GunShoot</t>
        </is>
      </c>
      <c r="F123" s="6" t="inlineStr">
        <is>
          <t>Success</t>
        </is>
      </c>
      <c r="G123" s="6" t="inlineStr">
        <is>
          <t>Easy</t>
        </is>
      </c>
      <c r="K123" s="4">
        <v>0.0464</v>
      </c>
      <c r="M123" s="6">
        <v>127</v>
      </c>
      <c r="N123" s="6" t="inlineStr">
        <is>
          <t>2026-10-02 15:32:50.895 | Minigame: Danniel | Type: GunShoot | Outcome: Success | Difficulty: Easy | ExpectedTime: 148.7360 | ActualTime: 148.6896 | TimingOffset: -0.0464 | TimingError: 0.0464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15:32:51.535</t>
        </is>
      </c>
      <c r="C124" s="0" t="inlineStr">
        <is>
          <t>Interaction</t>
        </is>
      </c>
      <c r="D124" s="0" t="inlineStr">
        <is>
          <t>Danniel</t>
        </is>
      </c>
      <c r="E124" s="0" t="inlineStr">
        <is>
          <t>GunShoot</t>
        </is>
      </c>
      <c r="F124" s="0" t="inlineStr">
        <is>
          <t>Failed</t>
        </is>
      </c>
      <c r="G124" s="0" t="inlineStr">
        <is>
          <t>Easy</t>
        </is>
      </c>
      <c r="M124" s="0">
        <v>128</v>
      </c>
      <c r="N124" s="0" t="inlineStr">
        <is>
          <t>2026-10-02 15:32:51.535 | Minigame: Danniel | Type: GunShoot | Outcome: Failed | Difficulty: Easy | ExpectedTime: 150.2312 | ActualTime: N/A | TimingOffset: N/A | TimingError: N/A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15:32:54.133</t>
        </is>
      </c>
      <c r="C125" s="6" t="inlineStr">
        <is>
          <t>Interaction</t>
        </is>
      </c>
      <c r="D125" s="6" t="inlineStr">
        <is>
          <t>Danniel</t>
        </is>
      </c>
      <c r="E125" s="6" t="inlineStr">
        <is>
          <t>GunShoot</t>
        </is>
      </c>
      <c r="F125" s="6" t="inlineStr">
        <is>
          <t>Success</t>
        </is>
      </c>
      <c r="G125" s="6" t="inlineStr">
        <is>
          <t>Easy</t>
        </is>
      </c>
      <c r="K125" s="4">
        <v>0.1825</v>
      </c>
      <c r="M125" s="6">
        <v>129</v>
      </c>
      <c r="N125" s="6" t="inlineStr">
        <is>
          <t>2026-10-02 15:32:54.133 | Minigame: Danniel | Type: GunShoot | Outcome: Success | Difficulty: Easy | ExpectedTime: 152.1920 | ActualTime: 152.0095 | TimingOffset: -0.1825 | TimingError: 0.1825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15:32:54.216</t>
        </is>
      </c>
      <c r="C126" s="0" t="inlineStr">
        <is>
          <t>Interaction</t>
        </is>
      </c>
      <c r="D126" s="0" t="inlineStr">
        <is>
          <t>Danniel</t>
        </is>
      </c>
      <c r="E126" s="0" t="inlineStr">
        <is>
          <t>GunShoot</t>
        </is>
      </c>
      <c r="F126" s="0" t="inlineStr">
        <is>
          <t>Missed</t>
        </is>
      </c>
      <c r="G126" s="0" t="inlineStr">
        <is>
          <t>Easy</t>
        </is>
      </c>
      <c r="M126" s="0">
        <v>130</v>
      </c>
      <c r="N126" s="0" t="inlineStr">
        <is>
          <t>2026-10-02 15:32:54.216 | Minigame: Danniel | Type: GunShoot | Outcome: Missed | Difficulty: Easy | ExpectedTime: 152.9120 | ActualTime: N/A | TimingOffset: N/A | TimingError: N/A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15:32:54.520</t>
        </is>
      </c>
      <c r="C127" s="6" t="inlineStr">
        <is>
          <t>Interaction</t>
        </is>
      </c>
      <c r="D127" s="6" t="inlineStr">
        <is>
          <t>Danniel</t>
        </is>
      </c>
      <c r="E127" s="6" t="inlineStr">
        <is>
          <t>GunShoot</t>
        </is>
      </c>
      <c r="F127" s="6" t="inlineStr">
        <is>
          <t>Failed</t>
        </is>
      </c>
      <c r="G127" s="6" t="inlineStr">
        <is>
          <t>Easy</t>
        </is>
      </c>
      <c r="M127" s="6">
        <v>131</v>
      </c>
      <c r="N127" s="6" t="inlineStr">
        <is>
          <t>2026-10-02 15:32:54.520 | Minigame: Danniel | Type: GunShoot | Outcome: Failed | Difficulty: Easy | ExpectedTime: 153.2169 | ActualTime: N/A | TimingOffset: N/A | TimingError: N/A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15:32:54.522</t>
        </is>
      </c>
      <c r="C128" s="0" t="inlineStr">
        <is>
          <t>PlayerState</t>
        </is>
      </c>
      <c r="H128" s="0" t="inlineStr">
        <is>
          <t>Overloaded</t>
        </is>
      </c>
      <c r="M128" s="0">
        <v>132</v>
      </c>
      <c r="N128" s="0" t="inlineStr">
        <is>
          <t>2026-10-02 15:32:54.522 | PlayerState: Overloaded</t>
        </is>
      </c>
    </row>
    <row r="129" ht="17" customHeight="1">
      <c r="A129" s="6">
        <v>128</v>
      </c>
      <c r="B129" s="6" t="inlineStr">
        <is>
          <t>2026-10-02 15:32:59.522</t>
        </is>
      </c>
      <c r="C129" s="6" t="inlineStr">
        <is>
          <t>PlayerState</t>
        </is>
      </c>
      <c r="H129" s="6" t="inlineStr">
        <is>
          <t>Idle</t>
        </is>
      </c>
      <c r="M129" s="6">
        <v>133</v>
      </c>
      <c r="N129" s="6" t="inlineStr">
        <is>
          <t>2026-10-02 15:32:59.522 | PlayerState: Idle</t>
        </is>
      </c>
    </row>
    <row r="130" ht="17" customHeight="1">
      <c r="A130" s="0">
        <v>129</v>
      </c>
      <c r="B130" s="0" t="inlineStr">
        <is>
          <t>2026-10-02 15:33:06.451</t>
        </is>
      </c>
      <c r="C130" s="0" t="inlineStr">
        <is>
          <t>Interaction</t>
        </is>
      </c>
      <c r="D130" s="0" t="inlineStr">
        <is>
          <t>Jeremy</t>
        </is>
      </c>
      <c r="E130" s="0" t="inlineStr">
        <is>
          <t>SwordCut</t>
        </is>
      </c>
      <c r="F130" s="0" t="inlineStr">
        <is>
          <t>Success</t>
        </is>
      </c>
      <c r="G130" s="0" t="inlineStr">
        <is>
          <t>Easy</t>
        </is>
      </c>
      <c r="K130" s="4">
        <v>0.2601</v>
      </c>
      <c r="M130" s="0">
        <v>134</v>
      </c>
      <c r="N130" s="0" t="inlineStr">
        <is>
          <t>2026-10-02 15:33:06.451 | Minigame: Jeremy | Type: SwordCut | Outcome: Success | Difficulty: Easy | ExpectedTime: 165.4073 | ActualTime: 165.1472 | TimingOffset: -0.2601 | TimingError: 0.2601 | ReactionTime: N/A | SpatialAccuracy: N/A | DirectionAccuracy: 1.0000 | CorrectHand: True</t>
        </is>
      </c>
    </row>
    <row r="131" ht="17" customHeight="1">
      <c r="A131" s="6">
        <v>130</v>
      </c>
      <c r="B131" s="6" t="inlineStr">
        <is>
          <t>2026-10-02 15:33:06.451</t>
        </is>
      </c>
      <c r="C131" s="6" t="inlineStr">
        <is>
          <t>PlayerState</t>
        </is>
      </c>
      <c r="H131" s="6" t="inlineStr">
        <is>
          <t>Engaged</t>
        </is>
      </c>
      <c r="M131" s="6">
        <v>135</v>
      </c>
      <c r="N131" s="6" t="inlineStr">
        <is>
          <t>2026-10-02 15:33:06.451 | PlayerState: Engaged</t>
        </is>
      </c>
    </row>
    <row r="132" ht="17" customHeight="1">
      <c r="A132" s="0">
        <v>131</v>
      </c>
      <c r="B132" s="0" t="inlineStr">
        <is>
          <t>2026-10-02 15:33:09.645</t>
        </is>
      </c>
      <c r="C132" s="0" t="inlineStr">
        <is>
          <t>Interaction</t>
        </is>
      </c>
      <c r="D132" s="0" t="inlineStr">
        <is>
          <t>Jeremy</t>
        </is>
      </c>
      <c r="E132" s="0" t="inlineStr">
        <is>
          <t>SwordCut</t>
        </is>
      </c>
      <c r="F132" s="0" t="inlineStr">
        <is>
          <t>Missed</t>
        </is>
      </c>
      <c r="G132" s="0" t="inlineStr">
        <is>
          <t>Easy</t>
        </is>
      </c>
      <c r="M132" s="0">
        <v>136</v>
      </c>
      <c r="N132" s="0" t="inlineStr">
        <is>
          <t>2026-10-02 15:33:09.645 | Minigame: Jeremy | Type: SwordCut | Outcome: Missed | Difficulty: Easy | ExpectedTime: 167.7061 | ActualTime: N/A | TimingOffset: N/A | TimingError: N/A | ReactionTime: N/A | SpatialAccuracy: N/A | DirectionAccuracy: N/A | CorrectHand: N/A</t>
        </is>
      </c>
    </row>
    <row r="133" ht="17" customHeight="1">
      <c r="A133" s="6">
        <v>132</v>
      </c>
      <c r="B133" s="6" t="inlineStr">
        <is>
          <t>2026-10-02 15:33:11.216</t>
        </is>
      </c>
      <c r="C133" s="6" t="inlineStr">
        <is>
          <t>Interaction</t>
        </is>
      </c>
      <c r="D133" s="6" t="inlineStr">
        <is>
          <t>Jeremy</t>
        </is>
      </c>
      <c r="E133" s="6" t="inlineStr">
        <is>
          <t>SwordCut</t>
        </is>
      </c>
      <c r="F133" s="6" t="inlineStr">
        <is>
          <t>Success</t>
        </is>
      </c>
      <c r="G133" s="6" t="inlineStr">
        <is>
          <t>Easy</t>
        </is>
      </c>
      <c r="K133" s="4">
        <v>0.0926</v>
      </c>
      <c r="M133" s="6">
        <v>137</v>
      </c>
      <c r="N133" s="6" t="inlineStr">
        <is>
          <t>2026-10-02 15:33:11.216 | Minigame: Jeremy | Type: SwordCut | Outcome: Success | Difficulty: Easy | ExpectedTime: 170.0049 | ActualTime: 169.9123 | TimingOffset: -0.0926 | TimingError: 0.0926 | ReactionTime: N/A | SpatialAccuracy: N/A | DirectionAccuracy: 1.0000 | CorrectHand: True</t>
        </is>
      </c>
    </row>
    <row r="134" ht="17" customHeight="1">
      <c r="A134" s="0">
        <v>133</v>
      </c>
      <c r="B134" s="0" t="inlineStr">
        <is>
          <t>2026-10-02 15:33:13.702</t>
        </is>
      </c>
      <c r="C134" s="0" t="inlineStr">
        <is>
          <t>Interaction</t>
        </is>
      </c>
      <c r="D134" s="0" t="inlineStr">
        <is>
          <t>Jeremy</t>
        </is>
      </c>
      <c r="E134" s="0" t="inlineStr">
        <is>
          <t>SwordCut</t>
        </is>
      </c>
      <c r="F134" s="0" t="inlineStr">
        <is>
          <t>Success</t>
        </is>
      </c>
      <c r="G134" s="0" t="inlineStr">
        <is>
          <t>Easy</t>
        </is>
      </c>
      <c r="K134" s="4">
        <v>0.0946</v>
      </c>
      <c r="M134" s="0">
        <v>138</v>
      </c>
      <c r="N134" s="0" t="inlineStr">
        <is>
          <t>2026-10-02 15:33:13.702 | Minigame: Jeremy | Type: SwordCut | Outcome: Success | Difficulty: Easy | ExpectedTime: 172.3037 | ActualTime: 172.3983 | TimingOffset: 0.0946 | TimingError: 0.0946 | ReactionTime: N/A | SpatialAccuracy: N/A | DirectionAccuracy: 1.0000 | CorrectHand: True</t>
        </is>
      </c>
    </row>
    <row r="135" ht="17" customHeight="1">
      <c r="A135" s="6">
        <v>134</v>
      </c>
      <c r="B135" s="6" t="inlineStr">
        <is>
          <t>2026-10-02 15:33:16.548</t>
        </is>
      </c>
      <c r="C135" s="6" t="inlineStr">
        <is>
          <t>Interaction</t>
        </is>
      </c>
      <c r="D135" s="6" t="inlineStr">
        <is>
          <t>Jeremy</t>
        </is>
      </c>
      <c r="E135" s="6" t="inlineStr">
        <is>
          <t>SwordCut</t>
        </is>
      </c>
      <c r="F135" s="6" t="inlineStr">
        <is>
          <t>Missed</t>
        </is>
      </c>
      <c r="G135" s="6" t="inlineStr">
        <is>
          <t>Easy</t>
        </is>
      </c>
      <c r="M135" s="6">
        <v>139</v>
      </c>
      <c r="N135" s="6" t="inlineStr">
        <is>
          <t>2026-10-02 15:33:16.548 | Minigame: Jeremy | Type: SwordCut | Outcome: Missed | Difficulty: Easy | ExpectedTime: 174.6024 | ActualTime: N/A | TimingOffset: N/A | TimingError: N/A | ReactionTime: N/A | SpatialAccuracy: N/A | DirectionAccuracy: N/A | CorrectHand: N/A</t>
        </is>
      </c>
    </row>
    <row r="136" ht="17" customHeight="1">
      <c r="A136" s="0">
        <v>135</v>
      </c>
      <c r="B136" s="0" t="inlineStr">
        <is>
          <t>2026-10-02 15:33:18.340</t>
        </is>
      </c>
      <c r="C136" s="0" t="inlineStr">
        <is>
          <t>Interaction</t>
        </is>
      </c>
      <c r="D136" s="0" t="inlineStr">
        <is>
          <t>Jeremy</t>
        </is>
      </c>
      <c r="E136" s="0" t="inlineStr">
        <is>
          <t>SwordCut</t>
        </is>
      </c>
      <c r="F136" s="0" t="inlineStr">
        <is>
          <t>Success</t>
        </is>
      </c>
      <c r="G136" s="0" t="inlineStr">
        <is>
          <t>Easy</t>
        </is>
      </c>
      <c r="K136" s="4">
        <v>0.1351</v>
      </c>
      <c r="M136" s="0">
        <v>140</v>
      </c>
      <c r="N136" s="0" t="inlineStr">
        <is>
          <t>2026-10-02 15:33:18.340 | Minigame: Jeremy | Type: SwordCut | Outcome: Success | Difficulty: Easy | ExpectedTime: 176.9012 | ActualTime: 177.0363 | TimingOffset: 0.1351 | TimingError: 0.1351 | ReactionTime: N/A | SpatialAccuracy: N/A | DirectionAccuracy: 1.0000 | CorrectHand: True</t>
        </is>
      </c>
    </row>
    <row r="137" ht="17" customHeight="1">
      <c r="A137" s="6">
        <v>136</v>
      </c>
      <c r="B137" s="6" t="inlineStr">
        <is>
          <t>2026-10-02 15:33:20.479</t>
        </is>
      </c>
      <c r="C137" s="6" t="inlineStr">
        <is>
          <t>Interaction</t>
        </is>
      </c>
      <c r="D137" s="6" t="inlineStr">
        <is>
          <t>Jeremy</t>
        </is>
      </c>
      <c r="E137" s="6" t="inlineStr">
        <is>
          <t>SwordCut</t>
        </is>
      </c>
      <c r="F137" s="6" t="inlineStr">
        <is>
          <t>Success</t>
        </is>
      </c>
      <c r="G137" s="6" t="inlineStr">
        <is>
          <t>Easy</t>
        </is>
      </c>
      <c r="K137" s="4">
        <v>0.025</v>
      </c>
      <c r="M137" s="6">
        <v>141</v>
      </c>
      <c r="N137" s="6" t="inlineStr">
        <is>
          <t>2026-10-02 15:33:20.479 | Minigame: Jeremy | Type: SwordCut | Outcome: Success | Difficulty: Easy | ExpectedTime: 179.2000 | ActualTime: 179.1750 | TimingOffset: -0.0250 | TimingError: 0.0250 | ReactionTime: N/A | SpatialAccuracy: N/A | DirectionAccuracy: 1.0000 | CorrectHand: True</t>
        </is>
      </c>
    </row>
    <row r="138" ht="17" customHeight="1">
      <c r="A138" s="0">
        <v>137</v>
      </c>
      <c r="B138" s="0" t="inlineStr">
        <is>
          <t>2026-10-02 15:33:23.118</t>
        </is>
      </c>
      <c r="C138" s="0" t="inlineStr">
        <is>
          <t>Interaction</t>
        </is>
      </c>
      <c r="D138" s="0" t="inlineStr">
        <is>
          <t>Jeremy</t>
        </is>
      </c>
      <c r="E138" s="0" t="inlineStr">
        <is>
          <t>SwordCut</t>
        </is>
      </c>
      <c r="F138" s="0" t="inlineStr">
        <is>
          <t>Failed</t>
        </is>
      </c>
      <c r="G138" s="0" t="inlineStr">
        <is>
          <t>Easy</t>
        </is>
      </c>
      <c r="K138" s="4">
        <v>0.3154</v>
      </c>
      <c r="M138" s="0">
        <v>142</v>
      </c>
      <c r="N138" s="0" t="inlineStr">
        <is>
          <t>2026-10-02 15:33:23.118 | Minigame: Jeremy | Type: SwordCut | Outcome: Failed | Difficulty: Easy | ExpectedTime: 181.4988 | ActualTime: 181.8141 | TimingOffset: 0.3154 | TimingError: 0.3154 | ReactionTime: N/A | SpatialAccuracy: N/A | DirectionAccuracy: 0.0000 | CorrectHand: True</t>
        </is>
      </c>
    </row>
    <row r="139" ht="17" customHeight="1">
      <c r="A139" s="6">
        <v>138</v>
      </c>
      <c r="B139" s="6" t="inlineStr">
        <is>
          <t>2026-10-02 15:33:28.118</t>
        </is>
      </c>
      <c r="C139" s="6" t="inlineStr">
        <is>
          <t>PlayerState</t>
        </is>
      </c>
      <c r="H139" s="6" t="inlineStr">
        <is>
          <t>Idle</t>
        </is>
      </c>
      <c r="M139" s="6">
        <v>143</v>
      </c>
      <c r="N139" s="6" t="inlineStr">
        <is>
          <t>2026-10-02 15:33:28.118 | PlayerState: Idle</t>
        </is>
      </c>
    </row>
  </sheetData>
  <autoFilter ref="A1:N139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