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P015</t>
        </is>
      </c>
    </row>
    <row r="2" ht="17" customHeight="1"/>
    <row r="3" ht="17" customHeight="1">
      <c r="A3" s="6" t="inlineStr">
        <is>
          <t>Inicio: 2026-10-02 14:41:38     |     Fuente: Metrics_P015_2026-10-02_14-41-38.txt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132.0</v>
      </c>
      <c r="C6" s="0">
        <f>COUNTA('Interacciones'!$A$2:$A$133)</f>
        <v>132</v>
      </c>
      <c r="E6" s="0" t="inlineStr">
        <is>
          <t>Cambios de dificultad</t>
        </is>
      </c>
      <c r="F6" s="0">
        <v>7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65.0</v>
      </c>
      <c r="C7" s="6">
        <f>COUNTIF('Interacciones'!$F$2:$F$133,"Success")</f>
        <v>65</v>
      </c>
      <c r="E7" s="6" t="inlineStr">
        <is>
          <t>Estados del jugador</t>
        </is>
      </c>
      <c r="F7" s="6">
        <v>28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38.0</v>
      </c>
      <c r="C8" s="0">
        <f>COUNTIF('Interacciones'!$F$2:$F$133,"Failed")</f>
        <v>38</v>
      </c>
      <c r="E8" s="0" t="inlineStr">
        <is>
          <t>Eventos totales</t>
        </is>
      </c>
      <c r="F8" s="0">
        <v>167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29.0</v>
      </c>
      <c r="C9" s="6">
        <f>COUNTIF('Interacciones'!$F$2:$F$133,"Missed")</f>
        <v>29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0.4924</v>
      </c>
      <c r="C10" s="0">
        <f>IFERROR(C7/C6,0)</f>
        <v>0.49242424242424243</v>
      </c>
    </row>
    <row r="11" ht="17" customHeight="1">
      <c r="A11" s="6" t="inlineStr">
        <is>
          <t>Error timing medio (s)</t>
        </is>
      </c>
      <c r="B11" s="6">
        <v>0.2611</v>
      </c>
      <c r="C11" s="6">
        <f>IFERROR(AVERAGE('Interacciones'!$K$2:$K$133),"")</f>
        <v>0.2610632352941176</v>
      </c>
    </row>
    <row r="12" ht="17" customHeight="1">
      <c r="A12" s="0" t="inlineStr">
        <is>
          <t>Reacción media (s)</t>
        </is>
      </c>
      <c r="B12" s="0">
        <v>0.4121</v>
      </c>
      <c r="C12" s="0">
        <f>IFERROR(AVERAGE('Interacciones'!$L$2:$L$133),"")</f>
        <v>0.41209999999999997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IFERROR(AVERAGE('Interacciones'!$M$2:$M$133),"")</f>
        <v/>
      </c>
    </row>
    <row r="14" ht="17" customHeight="1">
      <c r="A14" s="0" t="inlineStr">
        <is>
          <t>Precisión dirección media</t>
        </is>
      </c>
      <c r="B14" s="0">
        <v>0.2857</v>
      </c>
      <c r="C14" s="0">
        <f>IFERROR(AVERAGE('Interacciones'!$N$2:$N$133),"")</f>
        <v>0.2857142857142857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COUNTIF('Interacciones'!$D$2:$D$133,$A5)</f>
        <v>62</v>
      </c>
      <c r="C5" s="6">
        <f>COUNTIFS('Interacciones'!$D$2:$D$133,$A5,'Interacciones'!$F$2:$F$133,"Success")</f>
        <v>38</v>
      </c>
      <c r="D5" s="6">
        <f>COUNTIFS('Interacciones'!$D$2:$D$133,$A5,'Interacciones'!$F$2:$F$133,"Failed")</f>
        <v>6</v>
      </c>
      <c r="E5" s="6">
        <f>COUNTIFS('Interacciones'!$D$2:$D$133,$A5,'Interacciones'!$F$2:$F$133,"Missed")</f>
        <v>18</v>
      </c>
      <c r="F5" s="3">
        <f>IFERROR(C5/B5,0)</f>
        <v>0.6129032258064516</v>
      </c>
      <c r="G5" s="4">
        <f>IFERROR(AVERAGEIF('Interacciones'!$D$2:$D$133,$A5,'Interacciones'!$K$2:$K$133),"")</f>
        <v>0.017926923076923076</v>
      </c>
      <c r="H5" s="4" t="str">
        <f>IFERROR(AVERAGEIF('Interacciones'!$D$2:$D$133,$A5,'Interacciones'!$L$2:$L$133),"")</f>
        <v/>
      </c>
      <c r="I5" s="6">
        <f>COUNTIF('Adaptaciones'!$C$2:$C$8,$A5)</f>
        <v>6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COUNTIF('Interacciones'!$D$2:$D$133,$A6)</f>
        <v>19</v>
      </c>
      <c r="C6" s="0">
        <f>COUNTIFS('Interacciones'!$D$2:$D$133,$A6,'Interacciones'!$F$2:$F$133,"Success")</f>
        <v>9</v>
      </c>
      <c r="D6" s="0">
        <f>COUNTIFS('Interacciones'!$D$2:$D$133,$A6,'Interacciones'!$F$2:$F$133,"Failed")</f>
        <v>9</v>
      </c>
      <c r="E6" s="0">
        <f>COUNTIFS('Interacciones'!$D$2:$D$133,$A6,'Interacciones'!$F$2:$F$133,"Missed")</f>
        <v>1</v>
      </c>
      <c r="F6" s="3">
        <f>IFERROR(C6/B6,0)</f>
        <v>0.47368421052631576</v>
      </c>
      <c r="G6" s="4">
        <f>IFERROR(AVERAGEIF('Interacciones'!$D$2:$D$133,$A6,'Interacciones'!$K$2:$K$133),"")</f>
        <v>0.09973333333333333</v>
      </c>
      <c r="H6" s="4" t="str">
        <f>IFERROR(AVERAGEIF('Interacciones'!$D$2:$D$133,$A6,'Interacciones'!$L$2:$L$133),"")</f>
        <v/>
      </c>
      <c r="I6" s="0">
        <f>COUNTIF('Adaptaciones'!$C$2:$C$8,$A6)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COUNTIF('Interacciones'!$D$2:$D$133,$A7)</f>
        <v>8</v>
      </c>
      <c r="C7" s="6">
        <f>COUNTIFS('Interacciones'!$D$2:$D$133,$A7,'Interacciones'!$F$2:$F$133,"Success")</f>
        <v>1</v>
      </c>
      <c r="D7" s="6">
        <f>COUNTIFS('Interacciones'!$D$2:$D$133,$A7,'Interacciones'!$F$2:$F$133,"Failed")</f>
        <v>7</v>
      </c>
      <c r="E7" s="6">
        <f>COUNTIFS('Interacciones'!$D$2:$D$133,$A7,'Interacciones'!$F$2:$F$133,"Missed")</f>
        <v>0</v>
      </c>
      <c r="F7" s="3">
        <f>IFERROR(C7/B7,0)</f>
        <v>0.125</v>
      </c>
      <c r="G7" s="4">
        <f>IFERROR(AVERAGEIF('Interacciones'!$D$2:$D$133,$A7,'Interacciones'!$K$2:$K$133),"")</f>
        <v>0.0907375</v>
      </c>
      <c r="H7" s="4" t="str">
        <f>IFERROR(AVERAGEIF('Interacciones'!$D$2:$D$133,$A7,'Interacciones'!$L$2:$L$133),"")</f>
        <v/>
      </c>
      <c r="I7" s="6">
        <f>COUNTIF('Adaptaciones'!$C$2:$C$8,$A7)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COUNTIF('Interacciones'!$D$2:$D$133,$A8)</f>
        <v>15</v>
      </c>
      <c r="C8" s="0">
        <f>COUNTIFS('Interacciones'!$D$2:$D$133,$A8,'Interacciones'!$F$2:$F$133,"Success")</f>
        <v>12</v>
      </c>
      <c r="D8" s="0">
        <f>COUNTIFS('Interacciones'!$D$2:$D$133,$A8,'Interacciones'!$F$2:$F$133,"Failed")</f>
        <v>3</v>
      </c>
      <c r="E8" s="0">
        <f>COUNTIFS('Interacciones'!$D$2:$D$133,$A8,'Interacciones'!$F$2:$F$133,"Missed")</f>
        <v>0</v>
      </c>
      <c r="F8" s="3">
        <f>IFERROR(C8/B8,0)</f>
        <v>0.8</v>
      </c>
      <c r="G8" s="4">
        <f>IFERROR(AVERAGEIF('Interacciones'!$D$2:$D$133,$A8,'Interacciones'!$K$2:$K$133),"")</f>
        <v>0.11978333333333334</v>
      </c>
      <c r="H8" s="4" t="str">
        <f>IFERROR(AVERAGEIF('Interacciones'!$D$2:$D$133,$A8,'Interacciones'!$L$2:$L$133),"")</f>
        <v/>
      </c>
      <c r="I8" s="0">
        <f>COUNTIF('Adaptaciones'!$C$2:$C$8,$A8)</f>
        <v>0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COUNTIF('Interacciones'!$D$2:$D$133,$A9)</f>
        <v>12</v>
      </c>
      <c r="C9" s="6">
        <f>COUNTIFS('Interacciones'!$D$2:$D$133,$A9,'Interacciones'!$F$2:$F$133,"Success")</f>
        <v>1</v>
      </c>
      <c r="D9" s="6">
        <f>COUNTIFS('Interacciones'!$D$2:$D$133,$A9,'Interacciones'!$F$2:$F$133,"Failed")</f>
        <v>6</v>
      </c>
      <c r="E9" s="6">
        <f>COUNTIFS('Interacciones'!$D$2:$D$133,$A9,'Interacciones'!$F$2:$F$133,"Missed")</f>
        <v>5</v>
      </c>
      <c r="F9" s="3">
        <f>IFERROR(C9/B9,0)</f>
        <v>0.08333333333333333</v>
      </c>
      <c r="G9" s="4">
        <f>IFERROR(AVERAGEIF('Interacciones'!$D$2:$D$133,$A9,'Interacciones'!$K$2:$K$133),"")</f>
        <v>1.5104428571428572</v>
      </c>
      <c r="H9" s="4" t="str">
        <f>IFERROR(AVERAGEIF('Interacciones'!$D$2:$D$133,$A9,'Interacciones'!$L$2:$L$133),"")</f>
        <v/>
      </c>
      <c r="I9" s="6">
        <f>COUNTIF('Adaptaciones'!$C$2:$C$8,$A9)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COUNTIF('Interacciones'!$D$2:$D$133,$A10)</f>
        <v>16</v>
      </c>
      <c r="C10" s="0">
        <f>COUNTIFS('Interacciones'!$D$2:$D$133,$A10,'Interacciones'!$F$2:$F$133,"Success")</f>
        <v>4</v>
      </c>
      <c r="D10" s="0">
        <f>COUNTIFS('Interacciones'!$D$2:$D$133,$A10,'Interacciones'!$F$2:$F$133,"Failed")</f>
        <v>7</v>
      </c>
      <c r="E10" s="0">
        <f>COUNTIFS('Interacciones'!$D$2:$D$133,$A10,'Interacciones'!$F$2:$F$133,"Missed")</f>
        <v>5</v>
      </c>
      <c r="F10" s="3">
        <f>IFERROR(C10/B10,0)</f>
        <v>0.25</v>
      </c>
      <c r="G10" s="4">
        <f>IFERROR(AVERAGEIF('Interacciones'!$D$2:$D$133,$A10,'Interacciones'!$K$2:$K$133),"")</f>
        <v>0.6087</v>
      </c>
      <c r="H10" s="4">
        <f>IFERROR(AVERAGEIF('Interacciones'!$D$2:$D$133,$A10,'Interacciones'!$L$2:$L$133),"")</f>
        <v>0.41209999999999997</v>
      </c>
      <c r="I10" s="0">
        <f>COUNTIF('Adaptaciones'!$C$2:$C$8,$A10)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COUNTIFS('Interacciones'!$D$2:$D$133,$A5,'Interacciones'!$E$2:$E$133,$B5)</f>
        <v>26</v>
      </c>
      <c r="D5" s="6">
        <f>COUNTIFS('Interacciones'!$D$2:$D$133,$A5,'Interacciones'!$E$2:$E$133,$B5,'Interacciones'!$F$2:$F$133,"Success")</f>
        <v>20</v>
      </c>
      <c r="E5" s="6">
        <f>COUNTIFS('Interacciones'!$D$2:$D$133,$A5,'Interacciones'!$E$2:$E$133,$B5,'Interacciones'!$F$2:$F$133,"Failed")</f>
        <v>6</v>
      </c>
      <c r="F5" s="6">
        <f>COUNTIFS('Interacciones'!$D$2:$D$133,$A5,'Interacciones'!$E$2:$E$133,$B5,'Interacciones'!$F$2:$F$133,"Missed")</f>
        <v>0</v>
      </c>
      <c r="G5" s="3">
        <f>IFERROR(D5/C5,0)</f>
        <v>0.7692307692307693</v>
      </c>
      <c r="H5" s="4">
        <f>IFERROR(AVERAGEIFS('Interacciones'!$K$2:$K$133,'Interacciones'!$D$2:$D$133,$A5,'Interacciones'!$E$2:$E$133,$B5),"")</f>
        <v>0.017926923076923076</v>
      </c>
      <c r="I5" s="4" t="str">
        <f>IFERROR(AVERAGEIFS('Interacciones'!$L$2:$L$133,'Interacciones'!$D$2:$D$133,$A5,'Interacciones'!$E$2:$E$133,$B5),"")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COUNTIFS('Interacciones'!$D$2:$D$133,$A6,'Interacciones'!$E$2:$E$133,$B6)</f>
        <v>36</v>
      </c>
      <c r="D6" s="0">
        <f>COUNTIFS('Interacciones'!$D$2:$D$133,$A6,'Interacciones'!$E$2:$E$133,$B6,'Interacciones'!$F$2:$F$133,"Success")</f>
        <v>18</v>
      </c>
      <c r="E6" s="0">
        <f>COUNTIFS('Interacciones'!$D$2:$D$133,$A6,'Interacciones'!$E$2:$E$133,$B6,'Interacciones'!$F$2:$F$133,"Failed")</f>
        <v>0</v>
      </c>
      <c r="F6" s="0">
        <f>COUNTIFS('Interacciones'!$D$2:$D$133,$A6,'Interacciones'!$E$2:$E$133,$B6,'Interacciones'!$F$2:$F$133,"Missed")</f>
        <v>18</v>
      </c>
      <c r="G6" s="3">
        <f>IFERROR(D6/C6,0)</f>
        <v>0.5</v>
      </c>
      <c r="H6" s="4" t="str">
        <f>IFERROR(AVERAGEIFS('Interacciones'!$K$2:$K$133,'Interacciones'!$D$2:$D$133,$A6,'Interacciones'!$E$2:$E$133,$B6),"")</f>
        <v/>
      </c>
      <c r="I6" s="4" t="str">
        <f>IFERROR(AVERAGEIFS('Interacciones'!$L$2:$L$133,'Interacciones'!$D$2:$D$133,$A6,'Interacciones'!$E$2:$E$133,$B6),"")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COUNTIFS('Interacciones'!$D$2:$D$133,$A7,'Interacciones'!$E$2:$E$133,$B7)</f>
        <v>16</v>
      </c>
      <c r="D7" s="6">
        <f>COUNTIFS('Interacciones'!$D$2:$D$133,$A7,'Interacciones'!$E$2:$E$133,$B7,'Interacciones'!$F$2:$F$133,"Success")</f>
        <v>9</v>
      </c>
      <c r="E7" s="6">
        <f>COUNTIFS('Interacciones'!$D$2:$D$133,$A7,'Interacciones'!$E$2:$E$133,$B7,'Interacciones'!$F$2:$F$133,"Failed")</f>
        <v>6</v>
      </c>
      <c r="F7" s="6">
        <f>COUNTIFS('Interacciones'!$D$2:$D$133,$A7,'Interacciones'!$E$2:$E$133,$B7,'Interacciones'!$F$2:$F$133,"Missed")</f>
        <v>1</v>
      </c>
      <c r="G7" s="3">
        <f>IFERROR(D7/C7,0)</f>
        <v>0.5625</v>
      </c>
      <c r="H7" s="4">
        <f>IFERROR(AVERAGEIFS('Interacciones'!$K$2:$K$133,'Interacciones'!$D$2:$D$133,$A7,'Interacciones'!$E$2:$E$133,$B7),"")</f>
        <v>0.09973333333333333</v>
      </c>
      <c r="I7" s="4" t="str">
        <f>IFERROR(AVERAGEIFS('Interacciones'!$L$2:$L$133,'Interacciones'!$D$2:$D$133,$A7,'Interacciones'!$E$2:$E$133,$B7),"")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COUNTIFS('Interacciones'!$D$2:$D$133,$A8,'Interacciones'!$E$2:$E$133,$B8)</f>
        <v>3</v>
      </c>
      <c r="D8" s="0">
        <f>COUNTIFS('Interacciones'!$D$2:$D$133,$A8,'Interacciones'!$E$2:$E$133,$B8,'Interacciones'!$F$2:$F$133,"Success")</f>
        <v>0</v>
      </c>
      <c r="E8" s="0">
        <f>COUNTIFS('Interacciones'!$D$2:$D$133,$A8,'Interacciones'!$E$2:$E$133,$B8,'Interacciones'!$F$2:$F$133,"Failed")</f>
        <v>3</v>
      </c>
      <c r="F8" s="0">
        <f>COUNTIFS('Interacciones'!$D$2:$D$133,$A8,'Interacciones'!$E$2:$E$133,$B8,'Interacciones'!$F$2:$F$133,"Missed")</f>
        <v>0</v>
      </c>
      <c r="G8" s="3">
        <f>IFERROR(D8/C8,0)</f>
        <v>0.0</v>
      </c>
      <c r="H8" s="4" t="str">
        <f>IFERROR(AVERAGEIFS('Interacciones'!$K$2:$K$133,'Interacciones'!$D$2:$D$133,$A8,'Interacciones'!$E$2:$E$133,$B8),"")</f>
        <v/>
      </c>
      <c r="I8" s="4" t="str">
        <f>IFERROR(AVERAGEIFS('Interacciones'!$L$2:$L$133,'Interacciones'!$D$2:$D$133,$A8,'Interacciones'!$E$2:$E$133,$B8),"")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COUNTIFS('Interacciones'!$D$2:$D$133,$A9,'Interacciones'!$E$2:$E$133,$B9)</f>
        <v>8</v>
      </c>
      <c r="D9" s="6">
        <f>COUNTIFS('Interacciones'!$D$2:$D$133,$A9,'Interacciones'!$E$2:$E$133,$B9,'Interacciones'!$F$2:$F$133,"Success")</f>
        <v>1</v>
      </c>
      <c r="E9" s="6">
        <f>COUNTIFS('Interacciones'!$D$2:$D$133,$A9,'Interacciones'!$E$2:$E$133,$B9,'Interacciones'!$F$2:$F$133,"Failed")</f>
        <v>7</v>
      </c>
      <c r="F9" s="6">
        <f>COUNTIFS('Interacciones'!$D$2:$D$133,$A9,'Interacciones'!$E$2:$E$133,$B9,'Interacciones'!$F$2:$F$133,"Missed")</f>
        <v>0</v>
      </c>
      <c r="G9" s="3">
        <f>IFERROR(D9/C9,0)</f>
        <v>0.125</v>
      </c>
      <c r="H9" s="4">
        <f>IFERROR(AVERAGEIFS('Interacciones'!$K$2:$K$133,'Interacciones'!$D$2:$D$133,$A9,'Interacciones'!$E$2:$E$133,$B9),"")</f>
        <v>0.0907375</v>
      </c>
      <c r="I9" s="4" t="str">
        <f>IFERROR(AVERAGEIFS('Interacciones'!$L$2:$L$133,'Interacciones'!$D$2:$D$133,$A9,'Interacciones'!$E$2:$E$133,$B9),"")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COUNTIFS('Interacciones'!$D$2:$D$133,$A10,'Interacciones'!$E$2:$E$133,$B10)</f>
        <v>12</v>
      </c>
      <c r="D10" s="0">
        <f>COUNTIFS('Interacciones'!$D$2:$D$133,$A10,'Interacciones'!$E$2:$E$133,$B10,'Interacciones'!$F$2:$F$133,"Success")</f>
        <v>12</v>
      </c>
      <c r="E10" s="0">
        <f>COUNTIFS('Interacciones'!$D$2:$D$133,$A10,'Interacciones'!$E$2:$E$133,$B10,'Interacciones'!$F$2:$F$133,"Failed")</f>
        <v>0</v>
      </c>
      <c r="F10" s="0">
        <f>COUNTIFS('Interacciones'!$D$2:$D$133,$A10,'Interacciones'!$E$2:$E$133,$B10,'Interacciones'!$F$2:$F$133,"Missed")</f>
        <v>0</v>
      </c>
      <c r="G10" s="3">
        <f>IFERROR(D10/C10,0)</f>
        <v>1.0</v>
      </c>
      <c r="H10" s="4">
        <f>IFERROR(AVERAGEIFS('Interacciones'!$K$2:$K$133,'Interacciones'!$D$2:$D$133,$A10,'Interacciones'!$E$2:$E$133,$B10),"")</f>
        <v>0.11978333333333334</v>
      </c>
      <c r="I10" s="4" t="str">
        <f>IFERROR(AVERAGEIFS('Interacciones'!$L$2:$L$133,'Interacciones'!$D$2:$D$133,$A10,'Interacciones'!$E$2:$E$133,$B10),"")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COUNTIFS('Interacciones'!$D$2:$D$133,$A11,'Interacciones'!$E$2:$E$133,$B11)</f>
        <v>3</v>
      </c>
      <c r="D11" s="6">
        <f>COUNTIFS('Interacciones'!$D$2:$D$133,$A11,'Interacciones'!$E$2:$E$133,$B11,'Interacciones'!$F$2:$F$133,"Success")</f>
        <v>0</v>
      </c>
      <c r="E11" s="6">
        <f>COUNTIFS('Interacciones'!$D$2:$D$133,$A11,'Interacciones'!$E$2:$E$133,$B11,'Interacciones'!$F$2:$F$133,"Failed")</f>
        <v>3</v>
      </c>
      <c r="F11" s="6">
        <f>COUNTIFS('Interacciones'!$D$2:$D$133,$A11,'Interacciones'!$E$2:$E$133,$B11,'Interacciones'!$F$2:$F$133,"Missed")</f>
        <v>0</v>
      </c>
      <c r="G11" s="3">
        <f>IFERROR(D11/C11,0)</f>
        <v>0.0</v>
      </c>
      <c r="H11" s="4" t="str">
        <f>IFERROR(AVERAGEIFS('Interacciones'!$K$2:$K$133,'Interacciones'!$D$2:$D$133,$A11,'Interacciones'!$E$2:$E$133,$B11),"")</f>
        <v/>
      </c>
      <c r="I11" s="4" t="str">
        <f>IFERROR(AVERAGEIFS('Interacciones'!$L$2:$L$133,'Interacciones'!$D$2:$D$133,$A11,'Interacciones'!$E$2:$E$133,$B11),"")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COUNTIFS('Interacciones'!$D$2:$D$133,$A12,'Interacciones'!$E$2:$E$133,$B12)</f>
        <v>12</v>
      </c>
      <c r="D12" s="0">
        <f>COUNTIFS('Interacciones'!$D$2:$D$133,$A12,'Interacciones'!$E$2:$E$133,$B12,'Interacciones'!$F$2:$F$133,"Success")</f>
        <v>1</v>
      </c>
      <c r="E12" s="0">
        <f>COUNTIFS('Interacciones'!$D$2:$D$133,$A12,'Interacciones'!$E$2:$E$133,$B12,'Interacciones'!$F$2:$F$133,"Failed")</f>
        <v>6</v>
      </c>
      <c r="F12" s="0">
        <f>COUNTIFS('Interacciones'!$D$2:$D$133,$A12,'Interacciones'!$E$2:$E$133,$B12,'Interacciones'!$F$2:$F$133,"Missed")</f>
        <v>5</v>
      </c>
      <c r="G12" s="3">
        <f>IFERROR(D12/C12,0)</f>
        <v>0.08333333333333333</v>
      </c>
      <c r="H12" s="4">
        <f>IFERROR(AVERAGEIFS('Interacciones'!$K$2:$K$133,'Interacciones'!$D$2:$D$133,$A12,'Interacciones'!$E$2:$E$133,$B12),"")</f>
        <v>1.5104428571428572</v>
      </c>
      <c r="I12" s="4" t="str">
        <f>IFERROR(AVERAGEIFS('Interacciones'!$L$2:$L$133,'Interacciones'!$D$2:$D$133,$A12,'Interacciones'!$E$2:$E$133,$B12),"")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COUNTIFS('Interacciones'!$D$2:$D$133,$A13,'Interacciones'!$E$2:$E$133,$B13)</f>
        <v>16</v>
      </c>
      <c r="D13" s="6">
        <f>COUNTIFS('Interacciones'!$D$2:$D$133,$A13,'Interacciones'!$E$2:$E$133,$B13,'Interacciones'!$F$2:$F$133,"Success")</f>
        <v>4</v>
      </c>
      <c r="E13" s="6">
        <f>COUNTIFS('Interacciones'!$D$2:$D$133,$A13,'Interacciones'!$E$2:$E$133,$B13,'Interacciones'!$F$2:$F$133,"Failed")</f>
        <v>7</v>
      </c>
      <c r="F13" s="6">
        <f>COUNTIFS('Interacciones'!$D$2:$D$133,$A13,'Interacciones'!$E$2:$E$133,$B13,'Interacciones'!$F$2:$F$133,"Missed")</f>
        <v>5</v>
      </c>
      <c r="G13" s="3">
        <f>IFERROR(D13/C13,0)</f>
        <v>0.25</v>
      </c>
      <c r="H13" s="4">
        <f>IFERROR(AVERAGEIFS('Interacciones'!$K$2:$K$133,'Interacciones'!$D$2:$D$133,$A13,'Interacciones'!$E$2:$E$133,$B13),"")</f>
        <v>0.6087</v>
      </c>
      <c r="I13" s="4">
        <f>IFERROR(AVERAGEIFS('Interacciones'!$L$2:$L$133,'Interacciones'!$D$2:$D$133,$A13,'Interacciones'!$E$2:$E$133,$B13),"")</f>
        <v>0.41209999999999997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33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P015</t>
        </is>
      </c>
      <c r="C2" s="0" t="inlineStr">
        <is>
          <t>2026-10-02 14:41:40.658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Missed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3</v>
      </c>
      <c r="B3" s="6" t="inlineStr">
        <is>
          <t>P015</t>
        </is>
      </c>
      <c r="C3" s="6" t="inlineStr">
        <is>
          <t>2026-10-02 14:41:41.105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8</v>
      </c>
    </row>
    <row r="4" ht="17" customHeight="1">
      <c r="A4" s="0">
        <v>5</v>
      </c>
      <c r="B4" s="0" t="inlineStr">
        <is>
          <t>P015</t>
        </is>
      </c>
      <c r="C4" s="0" t="inlineStr">
        <is>
          <t>2026-10-02 14:41:41.105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P015</t>
        </is>
      </c>
      <c r="C5" s="6" t="inlineStr">
        <is>
          <t>2026-10-02 14:41:41.896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P015</t>
        </is>
      </c>
      <c r="C6" s="0" t="inlineStr">
        <is>
          <t>2026-10-02 14:41:42.173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P015</t>
        </is>
      </c>
      <c r="C7" s="6" t="inlineStr">
        <is>
          <t>2026-10-02 14:41:42.659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P015</t>
        </is>
      </c>
      <c r="C8" s="0" t="inlineStr">
        <is>
          <t>2026-10-02 14:41:42.951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P015</t>
        </is>
      </c>
      <c r="C9" s="6" t="inlineStr">
        <is>
          <t>2026-10-02 14:41:43.396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3.9716</v>
      </c>
      <c r="J9" s="4">
        <v>0.0036</v>
      </c>
      <c r="K9" s="4">
        <v>0.0036</v>
      </c>
      <c r="P9" s="6">
        <v>15</v>
      </c>
    </row>
    <row r="10" ht="17" customHeight="1">
      <c r="A10" s="0">
        <v>11</v>
      </c>
      <c r="B10" s="0" t="inlineStr">
        <is>
          <t>P015</t>
        </is>
      </c>
      <c r="C10" s="0" t="inlineStr">
        <is>
          <t>2026-10-02 14:41:43.439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H10" s="4">
        <v>3.968</v>
      </c>
      <c r="P10" s="0">
        <v>16</v>
      </c>
    </row>
    <row r="11" ht="17" customHeight="1">
      <c r="A11" s="6">
        <v>12</v>
      </c>
      <c r="B11" s="6" t="inlineStr">
        <is>
          <t>P015</t>
        </is>
      </c>
      <c r="C11" s="6" t="inlineStr">
        <is>
          <t>2026-10-02 14:41:44.146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4.736</v>
      </c>
      <c r="I11" s="4">
        <v>4.7216</v>
      </c>
      <c r="J11" s="4">
        <v>-0.0144</v>
      </c>
      <c r="K11" s="4">
        <v>0.0144</v>
      </c>
      <c r="P11" s="6">
        <v>17</v>
      </c>
    </row>
    <row r="12" ht="17" customHeight="1">
      <c r="A12" s="0">
        <v>13</v>
      </c>
      <c r="B12" s="0" t="inlineStr">
        <is>
          <t>P015</t>
        </is>
      </c>
      <c r="C12" s="0" t="inlineStr">
        <is>
          <t>2026-10-02 14:41:44.147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H12" s="4">
        <v>4.736</v>
      </c>
      <c r="I12" s="4">
        <v>4.7216</v>
      </c>
      <c r="J12" s="4">
        <v>-0.0144</v>
      </c>
      <c r="K12" s="4">
        <v>0.0144</v>
      </c>
      <c r="P12" s="0">
        <v>18</v>
      </c>
    </row>
    <row r="13" ht="17" customHeight="1">
      <c r="A13" s="6">
        <v>14</v>
      </c>
      <c r="B13" s="6" t="inlineStr">
        <is>
          <t>P015</t>
        </is>
      </c>
      <c r="C13" s="6" t="inlineStr">
        <is>
          <t>2026-10-02 14:41:44.939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H13" s="4">
        <v>5.504</v>
      </c>
      <c r="I13" s="4">
        <v>5.5135</v>
      </c>
      <c r="J13" s="4">
        <v>0.0095</v>
      </c>
      <c r="K13" s="4">
        <v>0.0095</v>
      </c>
      <c r="P13" s="6">
        <v>19</v>
      </c>
    </row>
    <row r="14" ht="17" customHeight="1">
      <c r="A14" s="0">
        <v>15</v>
      </c>
      <c r="B14" s="0" t="inlineStr">
        <is>
          <t>P015</t>
        </is>
      </c>
      <c r="C14" s="0" t="inlineStr">
        <is>
          <t>2026-10-02 14:41:45.702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H14" s="4">
        <v>6.272</v>
      </c>
      <c r="I14" s="4">
        <v>6.2774</v>
      </c>
      <c r="J14" s="4">
        <v>0.0054</v>
      </c>
      <c r="K14" s="4">
        <v>0.0054</v>
      </c>
      <c r="P14" s="0">
        <v>20</v>
      </c>
    </row>
    <row r="15" ht="17" customHeight="1">
      <c r="A15" s="6">
        <v>16</v>
      </c>
      <c r="B15" s="6" t="inlineStr">
        <is>
          <t>P015</t>
        </is>
      </c>
      <c r="C15" s="6" t="inlineStr">
        <is>
          <t>2026-10-02 14:41:46.021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Normal</t>
        </is>
      </c>
      <c r="H15" s="4">
        <v>6.272</v>
      </c>
      <c r="P15" s="6">
        <v>21</v>
      </c>
    </row>
    <row r="16" ht="17" customHeight="1">
      <c r="A16" s="0">
        <v>17</v>
      </c>
      <c r="B16" s="0" t="inlineStr">
        <is>
          <t>P015</t>
        </is>
      </c>
      <c r="C16" s="0" t="inlineStr">
        <is>
          <t>2026-10-02 14:41:46.439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H16" s="4">
        <v>7.04</v>
      </c>
      <c r="P16" s="0">
        <v>22</v>
      </c>
    </row>
    <row r="17" ht="17" customHeight="1">
      <c r="A17" s="6">
        <v>18</v>
      </c>
      <c r="B17" s="6" t="inlineStr">
        <is>
          <t>P015</t>
        </is>
      </c>
      <c r="C17" s="6" t="inlineStr">
        <is>
          <t>2026-10-02 14:41:47.217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H17" s="4">
        <v>7.808</v>
      </c>
      <c r="I17" s="4">
        <v>7.7917</v>
      </c>
      <c r="J17" s="4">
        <v>-0.0163</v>
      </c>
      <c r="K17" s="4">
        <v>0.0163</v>
      </c>
      <c r="P17" s="6">
        <v>23</v>
      </c>
    </row>
    <row r="18" ht="17" customHeight="1">
      <c r="A18" s="0">
        <v>19</v>
      </c>
      <c r="B18" s="0" t="inlineStr">
        <is>
          <t>P015</t>
        </is>
      </c>
      <c r="C18" s="0" t="inlineStr">
        <is>
          <t>2026-10-02 14:41:47.258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Normal</t>
        </is>
      </c>
      <c r="H18" s="4">
        <v>7.808</v>
      </c>
      <c r="P18" s="0">
        <v>24</v>
      </c>
    </row>
    <row r="19" ht="17" customHeight="1">
      <c r="A19" s="6">
        <v>20</v>
      </c>
      <c r="B19" s="6" t="inlineStr">
        <is>
          <t>P015</t>
        </is>
      </c>
      <c r="C19" s="6" t="inlineStr">
        <is>
          <t>2026-10-02 14:41:47.994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H19" s="4">
        <v>8.576</v>
      </c>
      <c r="I19" s="4">
        <v>8.5692</v>
      </c>
      <c r="J19" s="4">
        <v>-0.0068</v>
      </c>
      <c r="K19" s="4">
        <v>0.0068</v>
      </c>
      <c r="P19" s="6">
        <v>25</v>
      </c>
    </row>
    <row r="20" ht="17" customHeight="1">
      <c r="A20" s="0">
        <v>21</v>
      </c>
      <c r="B20" s="0" t="inlineStr">
        <is>
          <t>P015</t>
        </is>
      </c>
      <c r="C20" s="0" t="inlineStr">
        <is>
          <t>2026-10-02 14:41:48.745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9.344</v>
      </c>
      <c r="I20" s="4">
        <v>9.3192</v>
      </c>
      <c r="J20" s="4">
        <v>-0.0248</v>
      </c>
      <c r="K20" s="4">
        <v>0.0248</v>
      </c>
      <c r="P20" s="0">
        <v>26</v>
      </c>
    </row>
    <row r="21" ht="17" customHeight="1">
      <c r="A21" s="6">
        <v>23</v>
      </c>
      <c r="B21" s="6" t="inlineStr">
        <is>
          <t>P015</t>
        </is>
      </c>
      <c r="C21" s="6" t="inlineStr">
        <is>
          <t>2026-10-02 14:41:49.091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H21" s="4">
        <v>9.344</v>
      </c>
      <c r="P21" s="6">
        <v>28</v>
      </c>
    </row>
    <row r="22" ht="17" customHeight="1">
      <c r="A22" s="0">
        <v>24</v>
      </c>
      <c r="B22" s="0" t="inlineStr">
        <is>
          <t>P015</t>
        </is>
      </c>
      <c r="C22" s="0" t="inlineStr">
        <is>
          <t>2026-10-02 14:41:49.854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Hard</t>
        </is>
      </c>
      <c r="H22" s="4">
        <v>10.112</v>
      </c>
      <c r="P22" s="0">
        <v>29</v>
      </c>
    </row>
    <row r="23" ht="17" customHeight="1">
      <c r="A23" s="6">
        <v>25</v>
      </c>
      <c r="B23" s="6" t="inlineStr">
        <is>
          <t>P015</t>
        </is>
      </c>
      <c r="C23" s="6" t="inlineStr">
        <is>
          <t>2026-10-02 14:41:50.242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H23" s="4">
        <v>10.496</v>
      </c>
      <c r="P23" s="6">
        <v>30</v>
      </c>
    </row>
    <row r="24" ht="17" customHeight="1">
      <c r="A24" s="0">
        <v>26</v>
      </c>
      <c r="B24" s="0" t="inlineStr">
        <is>
          <t>P015</t>
        </is>
      </c>
      <c r="C24" s="0" t="inlineStr">
        <is>
          <t>2026-10-02 14:41:50.244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H24" s="4">
        <v>10.496</v>
      </c>
      <c r="P24" s="0">
        <v>31</v>
      </c>
    </row>
    <row r="25" ht="17" customHeight="1">
      <c r="A25" s="6">
        <v>27</v>
      </c>
      <c r="B25" s="6" t="inlineStr">
        <is>
          <t>P015</t>
        </is>
      </c>
      <c r="C25" s="6" t="inlineStr">
        <is>
          <t>2026-10-02 14:41:50.272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10.88</v>
      </c>
      <c r="I25" s="4">
        <v>10.8463</v>
      </c>
      <c r="J25" s="4">
        <v>-0.0337</v>
      </c>
      <c r="K25" s="4">
        <v>0.0337</v>
      </c>
      <c r="P25" s="6">
        <v>32</v>
      </c>
    </row>
    <row r="26" ht="17" customHeight="1">
      <c r="A26" s="0">
        <v>28</v>
      </c>
      <c r="B26" s="0" t="inlineStr">
        <is>
          <t>P015</t>
        </is>
      </c>
      <c r="C26" s="0" t="inlineStr">
        <is>
          <t>2026-10-02 14:41:51.021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H26" s="4">
        <v>11.264</v>
      </c>
      <c r="P26" s="0">
        <v>33</v>
      </c>
    </row>
    <row r="27" ht="17" customHeight="1">
      <c r="A27" s="6">
        <v>29</v>
      </c>
      <c r="B27" s="6" t="inlineStr">
        <is>
          <t>P015</t>
        </is>
      </c>
      <c r="C27" s="6" t="inlineStr">
        <is>
          <t>2026-10-02 14:41:51.021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H27" s="4">
        <v>11.264</v>
      </c>
      <c r="P27" s="6">
        <v>34</v>
      </c>
    </row>
    <row r="28" ht="17" customHeight="1">
      <c r="A28" s="0">
        <v>30</v>
      </c>
      <c r="B28" s="0" t="inlineStr">
        <is>
          <t>P015</t>
        </is>
      </c>
      <c r="C28" s="0" t="inlineStr">
        <is>
          <t>2026-10-02 14:41:51.063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Hard</t>
        </is>
      </c>
      <c r="H28" s="4">
        <v>11.648</v>
      </c>
      <c r="P28" s="0">
        <v>35</v>
      </c>
    </row>
    <row r="29" ht="17" customHeight="1">
      <c r="A29" s="6">
        <v>34</v>
      </c>
      <c r="B29" s="6" t="inlineStr">
        <is>
          <t>P015</t>
        </is>
      </c>
      <c r="C29" s="6" t="inlineStr">
        <is>
          <t>2026-10-02 14:41:51.772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Normal</t>
        </is>
      </c>
      <c r="H29" s="4">
        <v>12.032</v>
      </c>
      <c r="P29" s="6">
        <v>39</v>
      </c>
    </row>
    <row r="30" ht="17" customHeight="1">
      <c r="A30" s="0">
        <v>35</v>
      </c>
      <c r="B30" s="0" t="inlineStr">
        <is>
          <t>P015</t>
        </is>
      </c>
      <c r="C30" s="0" t="inlineStr">
        <is>
          <t>2026-10-02 14:41:51.772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Normal</t>
        </is>
      </c>
      <c r="H30" s="4">
        <v>12.032</v>
      </c>
      <c r="P30" s="0">
        <v>40</v>
      </c>
    </row>
    <row r="31" ht="17" customHeight="1">
      <c r="A31" s="6">
        <v>36</v>
      </c>
      <c r="B31" s="6" t="inlineStr">
        <is>
          <t>P015</t>
        </is>
      </c>
      <c r="C31" s="6" t="inlineStr">
        <is>
          <t>2026-10-02 14:41:51.799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H31" s="4">
        <v>12.416</v>
      </c>
      <c r="I31" s="4">
        <v>12.3744</v>
      </c>
      <c r="J31" s="4">
        <v>-0.0416</v>
      </c>
      <c r="K31" s="4">
        <v>0.0416</v>
      </c>
      <c r="P31" s="6">
        <v>41</v>
      </c>
    </row>
    <row r="32" ht="17" customHeight="1">
      <c r="A32" s="0">
        <v>37</v>
      </c>
      <c r="B32" s="0" t="inlineStr">
        <is>
          <t>P015</t>
        </is>
      </c>
      <c r="C32" s="0" t="inlineStr">
        <is>
          <t>2026-10-02 14:41:52.535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Normal</t>
        </is>
      </c>
      <c r="H32" s="4">
        <v>13.184</v>
      </c>
      <c r="I32" s="4">
        <v>13.1105</v>
      </c>
      <c r="J32" s="4">
        <v>-0.0735</v>
      </c>
      <c r="K32" s="4">
        <v>0.0735</v>
      </c>
      <c r="P32" s="0">
        <v>42</v>
      </c>
    </row>
    <row r="33" ht="17" customHeight="1">
      <c r="A33" s="6">
        <v>38</v>
      </c>
      <c r="B33" s="6" t="inlineStr">
        <is>
          <t>P015</t>
        </is>
      </c>
      <c r="C33" s="6" t="inlineStr">
        <is>
          <t>2026-10-02 14:41:52.660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Normal</t>
        </is>
      </c>
      <c r="H33" s="4">
        <v>13.184</v>
      </c>
      <c r="P33" s="6">
        <v>43</v>
      </c>
    </row>
    <row r="34" ht="17" customHeight="1">
      <c r="A34" s="0">
        <v>39</v>
      </c>
      <c r="B34" s="0" t="inlineStr">
        <is>
          <t>P015</t>
        </is>
      </c>
      <c r="C34" s="0" t="inlineStr">
        <is>
          <t>2026-10-02 14:41:53.341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Normal</t>
        </is>
      </c>
      <c r="H34" s="4">
        <v>13.952</v>
      </c>
      <c r="P34" s="0">
        <v>44</v>
      </c>
    </row>
    <row r="35" ht="17" customHeight="1">
      <c r="A35" s="6">
        <v>40</v>
      </c>
      <c r="B35" s="6" t="inlineStr">
        <is>
          <t>P015</t>
        </is>
      </c>
      <c r="C35" s="6" t="inlineStr">
        <is>
          <t>2026-10-02 14:41:54.104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Normal</t>
        </is>
      </c>
      <c r="H35" s="4">
        <v>14.72</v>
      </c>
      <c r="I35" s="4">
        <v>14.6793</v>
      </c>
      <c r="J35" s="4">
        <v>-0.0407</v>
      </c>
      <c r="K35" s="4">
        <v>0.0407</v>
      </c>
      <c r="P35" s="6">
        <v>45</v>
      </c>
    </row>
    <row r="36" ht="17" customHeight="1">
      <c r="A36" s="0">
        <v>41</v>
      </c>
      <c r="B36" s="0" t="inlineStr">
        <is>
          <t>P015</t>
        </is>
      </c>
      <c r="C36" s="0" t="inlineStr">
        <is>
          <t>2026-10-02 14:41:54.119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Normal</t>
        </is>
      </c>
      <c r="H36" s="4">
        <v>14.72</v>
      </c>
      <c r="I36" s="4">
        <v>14.6934</v>
      </c>
      <c r="J36" s="4">
        <v>-0.0266</v>
      </c>
      <c r="K36" s="4">
        <v>0.0266</v>
      </c>
      <c r="P36" s="0">
        <v>46</v>
      </c>
    </row>
    <row r="37" ht="17" customHeight="1">
      <c r="A37" s="6">
        <v>42</v>
      </c>
      <c r="B37" s="6" t="inlineStr">
        <is>
          <t>P015</t>
        </is>
      </c>
      <c r="C37" s="6" t="inlineStr">
        <is>
          <t>2026-10-02 14:41:54.882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Normal</t>
        </is>
      </c>
      <c r="H37" s="4">
        <v>15.488</v>
      </c>
      <c r="P37" s="6">
        <v>47</v>
      </c>
    </row>
    <row r="38" ht="17" customHeight="1">
      <c r="A38" s="0">
        <v>43</v>
      </c>
      <c r="B38" s="0" t="inlineStr">
        <is>
          <t>P015</t>
        </is>
      </c>
      <c r="C38" s="0" t="inlineStr">
        <is>
          <t>2026-10-02 14:41:54.979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Normal</t>
        </is>
      </c>
      <c r="H38" s="4">
        <v>15.488</v>
      </c>
      <c r="P38" s="0">
        <v>48</v>
      </c>
    </row>
    <row r="39" ht="17" customHeight="1">
      <c r="A39" s="6">
        <v>45</v>
      </c>
      <c r="B39" s="6" t="inlineStr">
        <is>
          <t>P015</t>
        </is>
      </c>
      <c r="C39" s="6" t="inlineStr">
        <is>
          <t>2026-10-02 14:41:55.673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Failed</t>
        </is>
      </c>
      <c r="G39" s="6" t="inlineStr">
        <is>
          <t>Hard</t>
        </is>
      </c>
      <c r="H39" s="4">
        <v>16.256</v>
      </c>
      <c r="I39" s="4">
        <v>16.2487</v>
      </c>
      <c r="J39" s="4">
        <v>-0.0073</v>
      </c>
      <c r="K39" s="4">
        <v>0.0073</v>
      </c>
      <c r="P39" s="6">
        <v>50</v>
      </c>
    </row>
    <row r="40" ht="17" customHeight="1">
      <c r="A40" s="0">
        <v>46</v>
      </c>
      <c r="B40" s="0" t="inlineStr">
        <is>
          <t>P015</t>
        </is>
      </c>
      <c r="C40" s="0" t="inlineStr">
        <is>
          <t>2026-10-02 14:41:56.020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Hard</t>
        </is>
      </c>
      <c r="H40" s="4">
        <v>16.256</v>
      </c>
      <c r="P40" s="0">
        <v>51</v>
      </c>
    </row>
    <row r="41" ht="17" customHeight="1">
      <c r="A41" s="6">
        <v>47</v>
      </c>
      <c r="B41" s="6" t="inlineStr">
        <is>
          <t>P015</t>
        </is>
      </c>
      <c r="C41" s="6" t="inlineStr">
        <is>
          <t>2026-10-02 14:41:56.382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H41" s="4">
        <v>16.64</v>
      </c>
      <c r="P41" s="6">
        <v>52</v>
      </c>
    </row>
    <row r="42" ht="17" customHeight="1">
      <c r="A42" s="0">
        <v>48</v>
      </c>
      <c r="B42" s="0" t="inlineStr">
        <is>
          <t>P015</t>
        </is>
      </c>
      <c r="C42" s="0" t="inlineStr">
        <is>
          <t>2026-10-02 14:41:56.771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17.024</v>
      </c>
      <c r="P42" s="0">
        <v>53</v>
      </c>
    </row>
    <row r="43" ht="17" customHeight="1">
      <c r="A43" s="6">
        <v>49</v>
      </c>
      <c r="B43" s="6" t="inlineStr">
        <is>
          <t>P015</t>
        </is>
      </c>
      <c r="C43" s="6" t="inlineStr">
        <is>
          <t>2026-10-02 14:41:56.771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Missed</t>
        </is>
      </c>
      <c r="G43" s="6" t="inlineStr">
        <is>
          <t>Hard</t>
        </is>
      </c>
      <c r="H43" s="4">
        <v>17.024</v>
      </c>
      <c r="P43" s="6">
        <v>54</v>
      </c>
    </row>
    <row r="44" ht="17" customHeight="1">
      <c r="A44" s="0">
        <v>50</v>
      </c>
      <c r="B44" s="0" t="inlineStr">
        <is>
          <t>P015</t>
        </is>
      </c>
      <c r="C44" s="0" t="inlineStr">
        <is>
          <t>2026-10-02 14:41:56.840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H44" s="4">
        <v>17.408</v>
      </c>
      <c r="I44" s="4">
        <v>17.4154</v>
      </c>
      <c r="J44" s="4">
        <v>0.0074</v>
      </c>
      <c r="K44" s="4">
        <v>0.0074</v>
      </c>
      <c r="P44" s="0">
        <v>55</v>
      </c>
    </row>
    <row r="45" ht="17" customHeight="1">
      <c r="A45" s="6">
        <v>54</v>
      </c>
      <c r="B45" s="6" t="inlineStr">
        <is>
          <t>P015</t>
        </is>
      </c>
      <c r="C45" s="6" t="inlineStr">
        <is>
          <t>2026-10-02 14:41:57.534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Normal</t>
        </is>
      </c>
      <c r="H45" s="4">
        <v>17.792</v>
      </c>
      <c r="P45" s="6">
        <v>59</v>
      </c>
    </row>
    <row r="46" ht="17" customHeight="1">
      <c r="A46" s="0">
        <v>55</v>
      </c>
      <c r="B46" s="0" t="inlineStr">
        <is>
          <t>P015</t>
        </is>
      </c>
      <c r="C46" s="0" t="inlineStr">
        <is>
          <t>2026-10-02 14:41:57.534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Normal</t>
        </is>
      </c>
      <c r="H46" s="4">
        <v>17.792</v>
      </c>
      <c r="P46" s="0">
        <v>60</v>
      </c>
    </row>
    <row r="47" ht="17" customHeight="1">
      <c r="A47" s="6">
        <v>56</v>
      </c>
      <c r="B47" s="6" t="inlineStr">
        <is>
          <t>P015</t>
        </is>
      </c>
      <c r="C47" s="6" t="inlineStr">
        <is>
          <t>2026-10-02 14:41:57.952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H47" s="4">
        <v>18.56</v>
      </c>
      <c r="I47" s="4">
        <v>18.5265</v>
      </c>
      <c r="J47" s="4">
        <v>-0.0335</v>
      </c>
      <c r="K47" s="4">
        <v>0.0335</v>
      </c>
      <c r="P47" s="6">
        <v>61</v>
      </c>
    </row>
    <row r="48" ht="17" customHeight="1">
      <c r="A48" s="0">
        <v>57</v>
      </c>
      <c r="B48" s="0" t="inlineStr">
        <is>
          <t>P015</t>
        </is>
      </c>
      <c r="C48" s="0" t="inlineStr">
        <is>
          <t>2026-10-02 14:41:58.743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Failed</t>
        </is>
      </c>
      <c r="G48" s="0" t="inlineStr">
        <is>
          <t>Normal</t>
        </is>
      </c>
      <c r="H48" s="4">
        <v>19.328</v>
      </c>
      <c r="I48" s="4">
        <v>19.3177</v>
      </c>
      <c r="J48" s="4">
        <v>-0.0103</v>
      </c>
      <c r="K48" s="4">
        <v>0.0103</v>
      </c>
      <c r="P48" s="0">
        <v>62</v>
      </c>
    </row>
    <row r="49" ht="17" customHeight="1">
      <c r="A49" s="6">
        <v>58</v>
      </c>
      <c r="B49" s="6" t="inlineStr">
        <is>
          <t>P015</t>
        </is>
      </c>
      <c r="C49" s="6" t="inlineStr">
        <is>
          <t>2026-10-02 14:41:58.757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H49" s="4">
        <v>19.328</v>
      </c>
      <c r="I49" s="4">
        <v>19.3319</v>
      </c>
      <c r="J49" s="4">
        <v>0.0039</v>
      </c>
      <c r="K49" s="4">
        <v>0.0039</v>
      </c>
      <c r="P49" s="6">
        <v>63</v>
      </c>
    </row>
    <row r="50" ht="17" customHeight="1">
      <c r="A50" s="0">
        <v>62</v>
      </c>
      <c r="B50" s="0" t="inlineStr">
        <is>
          <t>P015</t>
        </is>
      </c>
      <c r="C50" s="0" t="inlineStr">
        <is>
          <t>2026-10-02 14:41:59.159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Easy</t>
        </is>
      </c>
      <c r="H50" s="4">
        <v>19.712</v>
      </c>
      <c r="I50" s="4">
        <v>19.7343</v>
      </c>
      <c r="J50" s="4">
        <v>0.0223</v>
      </c>
      <c r="K50" s="4">
        <v>0.0223</v>
      </c>
      <c r="P50" s="0">
        <v>67</v>
      </c>
    </row>
    <row r="51" ht="17" customHeight="1">
      <c r="A51" s="6">
        <v>63</v>
      </c>
      <c r="B51" s="6" t="inlineStr">
        <is>
          <t>P015</t>
        </is>
      </c>
      <c r="C51" s="6" t="inlineStr">
        <is>
          <t>2026-10-02 14:42:00.284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Easy</t>
        </is>
      </c>
      <c r="H51" s="4">
        <v>20.864</v>
      </c>
      <c r="I51" s="4">
        <v>20.8592</v>
      </c>
      <c r="J51" s="4">
        <v>-0.0048</v>
      </c>
      <c r="K51" s="4">
        <v>0.0048</v>
      </c>
      <c r="P51" s="6">
        <v>68</v>
      </c>
    </row>
    <row r="52" ht="17" customHeight="1">
      <c r="A52" s="0">
        <v>64</v>
      </c>
      <c r="B52" s="0" t="inlineStr">
        <is>
          <t>P015</t>
        </is>
      </c>
      <c r="C52" s="0" t="inlineStr">
        <is>
          <t>2026-10-02 14:42:00.285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Failed</t>
        </is>
      </c>
      <c r="G52" s="0" t="inlineStr">
        <is>
          <t>Easy</t>
        </is>
      </c>
      <c r="H52" s="4">
        <v>20.864</v>
      </c>
      <c r="I52" s="4">
        <v>20.8592</v>
      </c>
      <c r="J52" s="4">
        <v>-0.0048</v>
      </c>
      <c r="K52" s="4">
        <v>0.0048</v>
      </c>
      <c r="P52" s="0">
        <v>69</v>
      </c>
    </row>
    <row r="53" ht="17" customHeight="1">
      <c r="A53" s="6">
        <v>65</v>
      </c>
      <c r="B53" s="6" t="inlineStr">
        <is>
          <t>P015</t>
        </is>
      </c>
      <c r="C53" s="6" t="inlineStr">
        <is>
          <t>2026-10-02 14:42:01.812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H53" s="4">
        <v>22.4</v>
      </c>
      <c r="I53" s="4">
        <v>22.3868</v>
      </c>
      <c r="J53" s="4">
        <v>-0.0132</v>
      </c>
      <c r="K53" s="4">
        <v>0.0132</v>
      </c>
      <c r="P53" s="6">
        <v>70</v>
      </c>
    </row>
    <row r="54" ht="17" customHeight="1">
      <c r="A54" s="0">
        <v>66</v>
      </c>
      <c r="B54" s="0" t="inlineStr">
        <is>
          <t>P015</t>
        </is>
      </c>
      <c r="C54" s="0" t="inlineStr">
        <is>
          <t>2026-10-02 14:42:03.368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Easy</t>
        </is>
      </c>
      <c r="H54" s="4">
        <v>23.936</v>
      </c>
      <c r="I54" s="4">
        <v>23.9423</v>
      </c>
      <c r="J54" s="4">
        <v>0.0063</v>
      </c>
      <c r="K54" s="4">
        <v>0.0063</v>
      </c>
      <c r="P54" s="0">
        <v>71</v>
      </c>
    </row>
    <row r="55" ht="17" customHeight="1">
      <c r="A55" s="6">
        <v>67</v>
      </c>
      <c r="B55" s="6" t="inlineStr">
        <is>
          <t>P015</t>
        </is>
      </c>
      <c r="C55" s="6" t="inlineStr">
        <is>
          <t>2026-10-02 14:42:03.382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Failed</t>
        </is>
      </c>
      <c r="G55" s="6" t="inlineStr">
        <is>
          <t>Easy</t>
        </is>
      </c>
      <c r="H55" s="4">
        <v>23.936</v>
      </c>
      <c r="I55" s="4">
        <v>23.9565</v>
      </c>
      <c r="J55" s="4">
        <v>0.0205</v>
      </c>
      <c r="K55" s="4">
        <v>0.0205</v>
      </c>
      <c r="P55" s="6">
        <v>72</v>
      </c>
    </row>
    <row r="56" ht="17" customHeight="1">
      <c r="A56" s="0">
        <v>68</v>
      </c>
      <c r="B56" s="0" t="inlineStr">
        <is>
          <t>P015</t>
        </is>
      </c>
      <c r="C56" s="0" t="inlineStr">
        <is>
          <t>2026-10-02 14:42:04.922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Easy</t>
        </is>
      </c>
      <c r="H56" s="4">
        <v>25.472</v>
      </c>
      <c r="P56" s="0">
        <v>73</v>
      </c>
    </row>
    <row r="57" ht="17" customHeight="1">
      <c r="A57" s="6">
        <v>69</v>
      </c>
      <c r="B57" s="6" t="inlineStr">
        <is>
          <t>P015</t>
        </is>
      </c>
      <c r="C57" s="6" t="inlineStr">
        <is>
          <t>2026-10-02 14:42:06.450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Easy</t>
        </is>
      </c>
      <c r="H57" s="4">
        <v>27.008</v>
      </c>
      <c r="P57" s="6">
        <v>74</v>
      </c>
    </row>
    <row r="58" ht="17" customHeight="1">
      <c r="A58" s="0">
        <v>70</v>
      </c>
      <c r="B58" s="0" t="inlineStr">
        <is>
          <t>P015</t>
        </is>
      </c>
      <c r="C58" s="0" t="inlineStr">
        <is>
          <t>2026-10-02 14:42:06.464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Easy</t>
        </is>
      </c>
      <c r="H58" s="4">
        <v>27.008</v>
      </c>
      <c r="P58" s="0">
        <v>75</v>
      </c>
    </row>
    <row r="59" ht="17" customHeight="1">
      <c r="A59" s="6">
        <v>71</v>
      </c>
      <c r="B59" s="6" t="inlineStr">
        <is>
          <t>P015</t>
        </is>
      </c>
      <c r="C59" s="6" t="inlineStr">
        <is>
          <t>2026-10-02 14:42:07.979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Easy</t>
        </is>
      </c>
      <c r="H59" s="4">
        <v>28.544</v>
      </c>
      <c r="I59" s="4">
        <v>28.5536</v>
      </c>
      <c r="J59" s="4">
        <v>0.0096</v>
      </c>
      <c r="K59" s="4">
        <v>0.0096</v>
      </c>
      <c r="P59" s="6">
        <v>76</v>
      </c>
    </row>
    <row r="60" ht="17" customHeight="1">
      <c r="A60" s="0">
        <v>72</v>
      </c>
      <c r="B60" s="0" t="inlineStr">
        <is>
          <t>P015</t>
        </is>
      </c>
      <c r="C60" s="0" t="inlineStr">
        <is>
          <t>2026-10-02 14:42:08.020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Easy</t>
        </is>
      </c>
      <c r="H60" s="4">
        <v>28.544</v>
      </c>
      <c r="P60" s="0">
        <v>77</v>
      </c>
    </row>
    <row r="61" ht="17" customHeight="1">
      <c r="A61" s="6">
        <v>74</v>
      </c>
      <c r="B61" s="6" t="inlineStr">
        <is>
          <t>P015</t>
        </is>
      </c>
      <c r="C61" s="6" t="inlineStr">
        <is>
          <t>2026-10-02 14:42:09.520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Success</t>
        </is>
      </c>
      <c r="G61" s="6" t="inlineStr">
        <is>
          <t>Normal</t>
        </is>
      </c>
      <c r="H61" s="4">
        <v>30.08</v>
      </c>
      <c r="P61" s="6">
        <v>79</v>
      </c>
    </row>
    <row r="62" ht="17" customHeight="1">
      <c r="A62" s="0">
        <v>75</v>
      </c>
      <c r="B62" s="0" t="inlineStr">
        <is>
          <t>P015</t>
        </is>
      </c>
      <c r="C62" s="0" t="inlineStr">
        <is>
          <t>2026-10-02 14:42:09.520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Success</t>
        </is>
      </c>
      <c r="G62" s="0" t="inlineStr">
        <is>
          <t>Normal</t>
        </is>
      </c>
      <c r="H62" s="4">
        <v>30.08</v>
      </c>
      <c r="P62" s="0">
        <v>80</v>
      </c>
    </row>
    <row r="63" ht="17" customHeight="1">
      <c r="A63" s="6">
        <v>76</v>
      </c>
      <c r="B63" s="6" t="inlineStr">
        <is>
          <t>P015</t>
        </is>
      </c>
      <c r="C63" s="6" t="inlineStr">
        <is>
          <t>2026-10-02 14:42:10.284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Normal</t>
        </is>
      </c>
      <c r="H63" s="4">
        <v>30.848</v>
      </c>
      <c r="I63" s="4">
        <v>30.8589</v>
      </c>
      <c r="J63" s="4">
        <v>0.0109</v>
      </c>
      <c r="K63" s="4">
        <v>0.0109</v>
      </c>
      <c r="P63" s="6">
        <v>81</v>
      </c>
    </row>
    <row r="64" ht="17" customHeight="1">
      <c r="A64" s="0">
        <v>77</v>
      </c>
      <c r="B64" s="0" t="inlineStr">
        <is>
          <t>P015</t>
        </is>
      </c>
      <c r="C64" s="0" t="inlineStr">
        <is>
          <t>2026-10-02 14:42:16.101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Normal</t>
        </is>
      </c>
      <c r="H64" s="4">
        <v>33.92</v>
      </c>
      <c r="I64" s="4">
        <v>34.0804</v>
      </c>
      <c r="J64" s="4">
        <v>0.1604</v>
      </c>
      <c r="K64" s="4">
        <v>0.1604</v>
      </c>
      <c r="P64" s="0">
        <v>82</v>
      </c>
    </row>
    <row r="65" ht="17" customHeight="1">
      <c r="A65" s="6">
        <v>78</v>
      </c>
      <c r="B65" s="6" t="inlineStr">
        <is>
          <t>P015</t>
        </is>
      </c>
      <c r="C65" s="6" t="inlineStr">
        <is>
          <t>2026-10-02 14:42:18.144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Normal</t>
        </is>
      </c>
      <c r="H65" s="4">
        <v>36.224</v>
      </c>
      <c r="I65" s="4">
        <v>36.122</v>
      </c>
      <c r="J65" s="4">
        <v>-0.102</v>
      </c>
      <c r="K65" s="4">
        <v>0.102</v>
      </c>
      <c r="P65" s="6">
        <v>83</v>
      </c>
    </row>
    <row r="66" ht="17" customHeight="1">
      <c r="A66" s="0">
        <v>79</v>
      </c>
      <c r="B66" s="0" t="inlineStr">
        <is>
          <t>P015</t>
        </is>
      </c>
      <c r="C66" s="0" t="inlineStr">
        <is>
          <t>2026-10-02 14:42:20.602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Normal</t>
        </is>
      </c>
      <c r="H66" s="4">
        <v>38.528</v>
      </c>
      <c r="I66" s="4">
        <v>38.5803</v>
      </c>
      <c r="J66" s="4">
        <v>0.0523</v>
      </c>
      <c r="K66" s="4">
        <v>0.0523</v>
      </c>
      <c r="P66" s="0">
        <v>84</v>
      </c>
    </row>
    <row r="67" ht="17" customHeight="1">
      <c r="A67" s="6">
        <v>80</v>
      </c>
      <c r="B67" s="6" t="inlineStr">
        <is>
          <t>P015</t>
        </is>
      </c>
      <c r="C67" s="6" t="inlineStr">
        <is>
          <t>2026-10-02 14:42:22.865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Normal</t>
        </is>
      </c>
      <c r="H67" s="4">
        <v>40.832</v>
      </c>
      <c r="I67" s="4">
        <v>40.8448</v>
      </c>
      <c r="J67" s="4">
        <v>0.0128</v>
      </c>
      <c r="K67" s="4">
        <v>0.0128</v>
      </c>
      <c r="P67" s="6">
        <v>85</v>
      </c>
    </row>
    <row r="68" ht="17" customHeight="1">
      <c r="A68" s="0">
        <v>81</v>
      </c>
      <c r="B68" s="0" t="inlineStr">
        <is>
          <t>P015</t>
        </is>
      </c>
      <c r="C68" s="0" t="inlineStr">
        <is>
          <t>2026-10-02 14:42:24.144</t>
        </is>
      </c>
      <c r="D68" s="0" t="inlineStr">
        <is>
          <t>Joaquin</t>
        </is>
      </c>
      <c r="E68" s="0" t="inlineStr">
        <is>
          <t>PlayerHit</t>
        </is>
      </c>
      <c r="F68" s="0" t="inlineStr">
        <is>
          <t>Failed</t>
        </is>
      </c>
      <c r="G68" s="0" t="inlineStr">
        <is>
          <t>Normal</t>
        </is>
      </c>
      <c r="H68" s="4">
        <v>42.1223</v>
      </c>
      <c r="P68" s="0">
        <v>86</v>
      </c>
    </row>
    <row r="69" ht="17" customHeight="1">
      <c r="A69" s="6">
        <v>82</v>
      </c>
      <c r="B69" s="6" t="inlineStr">
        <is>
          <t>P015</t>
        </is>
      </c>
      <c r="C69" s="6" t="inlineStr">
        <is>
          <t>2026-10-02 14:42:25.005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Normal</t>
        </is>
      </c>
      <c r="H69" s="4">
        <v>43.136</v>
      </c>
      <c r="I69" s="4">
        <v>42.9835</v>
      </c>
      <c r="J69" s="4">
        <v>-0.1525</v>
      </c>
      <c r="K69" s="4">
        <v>0.1525</v>
      </c>
      <c r="P69" s="6">
        <v>87</v>
      </c>
    </row>
    <row r="70" ht="17" customHeight="1">
      <c r="A70" s="0">
        <v>83</v>
      </c>
      <c r="B70" s="0" t="inlineStr">
        <is>
          <t>P015</t>
        </is>
      </c>
      <c r="C70" s="0" t="inlineStr">
        <is>
          <t>2026-10-02 14:42:27.602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Normal</t>
        </is>
      </c>
      <c r="H70" s="4">
        <v>45.44</v>
      </c>
      <c r="I70" s="4">
        <v>45.5805</v>
      </c>
      <c r="J70" s="4">
        <v>0.1405</v>
      </c>
      <c r="K70" s="4">
        <v>0.1405</v>
      </c>
      <c r="P70" s="0">
        <v>88</v>
      </c>
    </row>
    <row r="71" ht="17" customHeight="1">
      <c r="A71" s="6">
        <v>84</v>
      </c>
      <c r="B71" s="6" t="inlineStr">
        <is>
          <t>P015</t>
        </is>
      </c>
      <c r="C71" s="6" t="inlineStr">
        <is>
          <t>2026-10-02 14:42:29.464</t>
        </is>
      </c>
      <c r="D71" s="6" t="inlineStr">
        <is>
          <t>Joaquin</t>
        </is>
      </c>
      <c r="E71" s="6" t="inlineStr">
        <is>
          <t>PlayerHit</t>
        </is>
      </c>
      <c r="F71" s="6" t="inlineStr">
        <is>
          <t>Failed</t>
        </is>
      </c>
      <c r="G71" s="6" t="inlineStr">
        <is>
          <t>Normal</t>
        </is>
      </c>
      <c r="H71" s="4">
        <v>47.4419</v>
      </c>
      <c r="P71" s="6">
        <v>89</v>
      </c>
    </row>
    <row r="72" ht="17" customHeight="1">
      <c r="A72" s="0">
        <v>85</v>
      </c>
      <c r="B72" s="0" t="inlineStr">
        <is>
          <t>P015</t>
        </is>
      </c>
      <c r="C72" s="0" t="inlineStr">
        <is>
          <t>2026-10-02 14:42:29.755</t>
        </is>
      </c>
      <c r="D72" s="0" t="inlineStr">
        <is>
          <t>Joaquin</t>
        </is>
      </c>
      <c r="E72" s="0" t="inlineStr">
        <is>
          <t>GuitarHit</t>
        </is>
      </c>
      <c r="F72" s="0" t="inlineStr">
        <is>
          <t>Success</t>
        </is>
      </c>
      <c r="G72" s="0" t="inlineStr">
        <is>
          <t>Normal</t>
        </is>
      </c>
      <c r="H72" s="4">
        <v>47.744</v>
      </c>
      <c r="I72" s="4">
        <v>47.7331</v>
      </c>
      <c r="J72" s="4">
        <v>-0.0109</v>
      </c>
      <c r="K72" s="4">
        <v>0.0109</v>
      </c>
      <c r="P72" s="0">
        <v>90</v>
      </c>
    </row>
    <row r="73" ht="17" customHeight="1">
      <c r="A73" s="6">
        <v>86</v>
      </c>
      <c r="B73" s="6" t="inlineStr">
        <is>
          <t>P015</t>
        </is>
      </c>
      <c r="C73" s="6" t="inlineStr">
        <is>
          <t>2026-10-02 14:42:32.921</t>
        </is>
      </c>
      <c r="D73" s="6" t="inlineStr">
        <is>
          <t>Joaquin</t>
        </is>
      </c>
      <c r="E73" s="6" t="inlineStr">
        <is>
          <t>GuitarHit</t>
        </is>
      </c>
      <c r="F73" s="6" t="inlineStr">
        <is>
          <t>Success</t>
        </is>
      </c>
      <c r="G73" s="6" t="inlineStr">
        <is>
          <t>Normal</t>
        </is>
      </c>
      <c r="H73" s="4">
        <v>50.816</v>
      </c>
      <c r="I73" s="4">
        <v>50.8995</v>
      </c>
      <c r="J73" s="4">
        <v>0.0835</v>
      </c>
      <c r="K73" s="4">
        <v>0.0835</v>
      </c>
      <c r="P73" s="6">
        <v>91</v>
      </c>
    </row>
    <row r="74" ht="17" customHeight="1">
      <c r="A74" s="0">
        <v>87</v>
      </c>
      <c r="B74" s="0" t="inlineStr">
        <is>
          <t>P015</t>
        </is>
      </c>
      <c r="C74" s="0" t="inlineStr">
        <is>
          <t>2026-10-02 14:42:34.963</t>
        </is>
      </c>
      <c r="D74" s="0" t="inlineStr">
        <is>
          <t>Joaquin</t>
        </is>
      </c>
      <c r="E74" s="0" t="inlineStr">
        <is>
          <t>GuitarHit</t>
        </is>
      </c>
      <c r="F74" s="0" t="inlineStr">
        <is>
          <t>Success</t>
        </is>
      </c>
      <c r="G74" s="0" t="inlineStr">
        <is>
          <t>Normal</t>
        </is>
      </c>
      <c r="H74" s="4">
        <v>53.12</v>
      </c>
      <c r="I74" s="4">
        <v>52.9409</v>
      </c>
      <c r="J74" s="4">
        <v>-0.1791</v>
      </c>
      <c r="K74" s="4">
        <v>0.1791</v>
      </c>
      <c r="P74" s="0">
        <v>92</v>
      </c>
    </row>
    <row r="75" ht="17" customHeight="1">
      <c r="A75" s="6">
        <v>88</v>
      </c>
      <c r="B75" s="6" t="inlineStr">
        <is>
          <t>P015</t>
        </is>
      </c>
      <c r="C75" s="6" t="inlineStr">
        <is>
          <t>2026-10-02 14:42:35.324</t>
        </is>
      </c>
      <c r="D75" s="6" t="inlineStr">
        <is>
          <t>Joaquin</t>
        </is>
      </c>
      <c r="E75" s="6" t="inlineStr">
        <is>
          <t>PlayerHit</t>
        </is>
      </c>
      <c r="F75" s="6" t="inlineStr">
        <is>
          <t>Failed</t>
        </is>
      </c>
      <c r="G75" s="6" t="inlineStr">
        <is>
          <t>Normal</t>
        </is>
      </c>
      <c r="H75" s="4">
        <v>53.3021</v>
      </c>
      <c r="P75" s="6">
        <v>93</v>
      </c>
    </row>
    <row r="76" ht="17" customHeight="1">
      <c r="A76" s="0">
        <v>89</v>
      </c>
      <c r="B76" s="0" t="inlineStr">
        <is>
          <t>P015</t>
        </is>
      </c>
      <c r="C76" s="0" t="inlineStr">
        <is>
          <t>2026-10-02 14:42:38.406</t>
        </is>
      </c>
      <c r="D76" s="0" t="inlineStr">
        <is>
          <t>Joaquin</t>
        </is>
      </c>
      <c r="E76" s="0" t="inlineStr">
        <is>
          <t>GuitarHit</t>
        </is>
      </c>
      <c r="F76" s="0" t="inlineStr">
        <is>
          <t>Success</t>
        </is>
      </c>
      <c r="G76" s="0" t="inlineStr">
        <is>
          <t>Normal</t>
        </is>
      </c>
      <c r="H76" s="4">
        <v>56.576</v>
      </c>
      <c r="I76" s="4">
        <v>56.3854</v>
      </c>
      <c r="J76" s="4">
        <v>-0.1906</v>
      </c>
      <c r="K76" s="4">
        <v>0.1906</v>
      </c>
      <c r="P76" s="0">
        <v>94</v>
      </c>
    </row>
    <row r="77" ht="17" customHeight="1">
      <c r="A77" s="6">
        <v>90</v>
      </c>
      <c r="B77" s="6" t="inlineStr">
        <is>
          <t>P015</t>
        </is>
      </c>
      <c r="C77" s="6" t="inlineStr">
        <is>
          <t>2026-10-02 14:42:40.726</t>
        </is>
      </c>
      <c r="D77" s="6" t="inlineStr">
        <is>
          <t>Joaquin</t>
        </is>
      </c>
      <c r="E77" s="6" t="inlineStr">
        <is>
          <t>GuitarHit</t>
        </is>
      </c>
      <c r="F77" s="6" t="inlineStr">
        <is>
          <t>Success</t>
        </is>
      </c>
      <c r="G77" s="6" t="inlineStr">
        <is>
          <t>Normal</t>
        </is>
      </c>
      <c r="H77" s="4">
        <v>58.88</v>
      </c>
      <c r="I77" s="4">
        <v>58.7047</v>
      </c>
      <c r="J77" s="4">
        <v>-0.1753</v>
      </c>
      <c r="K77" s="4">
        <v>0.1753</v>
      </c>
      <c r="P77" s="6">
        <v>95</v>
      </c>
    </row>
    <row r="78" ht="17" customHeight="1">
      <c r="A78" s="0">
        <v>91</v>
      </c>
      <c r="B78" s="0" t="inlineStr">
        <is>
          <t>P015</t>
        </is>
      </c>
      <c r="C78" s="0" t="inlineStr">
        <is>
          <t>2026-10-02 14:42:43.796</t>
        </is>
      </c>
      <c r="D78" s="0" t="inlineStr">
        <is>
          <t>Joaquin</t>
        </is>
      </c>
      <c r="E78" s="0" t="inlineStr">
        <is>
          <t>GuitarHit</t>
        </is>
      </c>
      <c r="F78" s="0" t="inlineStr">
        <is>
          <t>Success</t>
        </is>
      </c>
      <c r="G78" s="0" t="inlineStr">
        <is>
          <t>Normal</t>
        </is>
      </c>
      <c r="H78" s="4">
        <v>61.952</v>
      </c>
      <c r="I78" s="4">
        <v>61.7745</v>
      </c>
      <c r="J78" s="4">
        <v>-0.1775</v>
      </c>
      <c r="K78" s="4">
        <v>0.1775</v>
      </c>
      <c r="P78" s="0">
        <v>96</v>
      </c>
    </row>
    <row r="79" ht="17" customHeight="1">
      <c r="A79" s="6">
        <v>93</v>
      </c>
      <c r="B79" s="6" t="inlineStr">
        <is>
          <t>P015</t>
        </is>
      </c>
      <c r="C79" s="6" t="inlineStr">
        <is>
          <t>2026-10-02 14:42:48.980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Missed</t>
        </is>
      </c>
      <c r="G79" s="6" t="inlineStr">
        <is>
          <t>Normal</t>
        </is>
      </c>
      <c r="H79" s="4">
        <v>66.2528</v>
      </c>
      <c r="P79" s="6">
        <v>98</v>
      </c>
    </row>
    <row r="80" ht="17" customHeight="1">
      <c r="A80" s="0">
        <v>94</v>
      </c>
      <c r="B80" s="0" t="inlineStr">
        <is>
          <t>P015</t>
        </is>
      </c>
      <c r="C80" s="0" t="inlineStr">
        <is>
          <t>2026-10-02 14:42:50.506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Missed</t>
        </is>
      </c>
      <c r="G80" s="0" t="inlineStr">
        <is>
          <t>Normal</t>
        </is>
      </c>
      <c r="H80" s="4">
        <v>67.7888</v>
      </c>
      <c r="P80" s="0">
        <v>99</v>
      </c>
    </row>
    <row r="81" ht="17" customHeight="1">
      <c r="A81" s="6">
        <v>95</v>
      </c>
      <c r="B81" s="6" t="inlineStr">
        <is>
          <t>P015</t>
        </is>
      </c>
      <c r="C81" s="6" t="inlineStr">
        <is>
          <t>2026-10-02 14:42:51.936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Normal</t>
        </is>
      </c>
      <c r="H81" s="4">
        <v>69.3248</v>
      </c>
      <c r="P81" s="6">
        <v>100</v>
      </c>
    </row>
    <row r="82" ht="17" customHeight="1">
      <c r="A82" s="0">
        <v>97</v>
      </c>
      <c r="B82" s="0" t="inlineStr">
        <is>
          <t>P015</t>
        </is>
      </c>
      <c r="C82" s="0" t="inlineStr">
        <is>
          <t>2026-10-02 14:42:52.062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Success</t>
        </is>
      </c>
      <c r="G82" s="0" t="inlineStr">
        <is>
          <t>Normal</t>
        </is>
      </c>
      <c r="H82" s="4">
        <v>70.8608</v>
      </c>
      <c r="I82" s="4">
        <v>70.0402</v>
      </c>
      <c r="J82" s="4">
        <v>-0.8206</v>
      </c>
      <c r="K82" s="4">
        <v>0.8206</v>
      </c>
      <c r="L82" s="4">
        <v>0.0242</v>
      </c>
      <c r="N82" s="4">
        <v>1.0</v>
      </c>
      <c r="P82" s="0">
        <v>102</v>
      </c>
    </row>
    <row r="83" ht="17" customHeight="1">
      <c r="A83" s="6">
        <v>98</v>
      </c>
      <c r="B83" s="6" t="inlineStr">
        <is>
          <t>P015</t>
        </is>
      </c>
      <c r="C83" s="6" t="inlineStr">
        <is>
          <t>2026-10-02 14:42:53.603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Failed</t>
        </is>
      </c>
      <c r="G83" s="6" t="inlineStr">
        <is>
          <t>Normal</t>
        </is>
      </c>
      <c r="H83" s="4">
        <v>72.3968</v>
      </c>
      <c r="P83" s="6">
        <v>103</v>
      </c>
    </row>
    <row r="84" ht="17" customHeight="1">
      <c r="A84" s="0">
        <v>99</v>
      </c>
      <c r="B84" s="0" t="inlineStr">
        <is>
          <t>P015</t>
        </is>
      </c>
      <c r="C84" s="0" t="inlineStr">
        <is>
          <t>2026-10-02 14:42:55.145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Failed</t>
        </is>
      </c>
      <c r="G84" s="0" t="inlineStr">
        <is>
          <t>Normal</t>
        </is>
      </c>
      <c r="H84" s="4">
        <v>73.9328</v>
      </c>
      <c r="P84" s="0">
        <v>104</v>
      </c>
    </row>
    <row r="85" ht="17" customHeight="1">
      <c r="A85" s="6">
        <v>100</v>
      </c>
      <c r="B85" s="6" t="inlineStr">
        <is>
          <t>P015</t>
        </is>
      </c>
      <c r="C85" s="6" t="inlineStr">
        <is>
          <t>2026-10-02 14:42:58.186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Missed</t>
        </is>
      </c>
      <c r="G85" s="6" t="inlineStr">
        <is>
          <t>Normal</t>
        </is>
      </c>
      <c r="H85" s="4">
        <v>75.4688</v>
      </c>
      <c r="P85" s="6">
        <v>105</v>
      </c>
    </row>
    <row r="86" ht="17" customHeight="1">
      <c r="A86" s="0">
        <v>104</v>
      </c>
      <c r="B86" s="0" t="inlineStr">
        <is>
          <t>P015</t>
        </is>
      </c>
      <c r="C86" s="0" t="inlineStr">
        <is>
          <t>2026-10-02 14:43:00.101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Missed</t>
        </is>
      </c>
      <c r="G86" s="0" t="inlineStr">
        <is>
          <t>Normal</t>
        </is>
      </c>
      <c r="H86" s="4">
        <v>77.0048</v>
      </c>
      <c r="P86" s="0">
        <v>109</v>
      </c>
    </row>
    <row r="87" ht="17" customHeight="1">
      <c r="A87" s="6">
        <v>106</v>
      </c>
      <c r="B87" s="6" t="inlineStr">
        <is>
          <t>P015</t>
        </is>
      </c>
      <c r="C87" s="6" t="inlineStr">
        <is>
          <t>2026-10-02 14:43:02.034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Missed</t>
        </is>
      </c>
      <c r="G87" s="6" t="inlineStr">
        <is>
          <t>Normal</t>
        </is>
      </c>
      <c r="H87" s="4">
        <v>79.136</v>
      </c>
      <c r="P87" s="6">
        <v>111</v>
      </c>
    </row>
    <row r="88" ht="17" customHeight="1">
      <c r="A88" s="0">
        <v>107</v>
      </c>
      <c r="B88" s="0" t="inlineStr">
        <is>
          <t>P015</t>
        </is>
      </c>
      <c r="C88" s="0" t="inlineStr">
        <is>
          <t>2026-10-02 14:43:02.047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Success</t>
        </is>
      </c>
      <c r="G88" s="0" t="inlineStr">
        <is>
          <t>Easy</t>
        </is>
      </c>
      <c r="H88" s="4">
        <v>81.056</v>
      </c>
      <c r="I88" s="4">
        <v>80.0252</v>
      </c>
      <c r="J88" s="4">
        <v>-1.0308</v>
      </c>
      <c r="K88" s="4">
        <v>1.0308</v>
      </c>
      <c r="L88" s="4">
        <v>0.0252</v>
      </c>
      <c r="N88" s="4">
        <v>1.0</v>
      </c>
      <c r="P88" s="0">
        <v>112</v>
      </c>
    </row>
    <row r="89" ht="17" customHeight="1">
      <c r="A89" s="6">
        <v>109</v>
      </c>
      <c r="B89" s="6" t="inlineStr">
        <is>
          <t>P015</t>
        </is>
      </c>
      <c r="C89" s="6" t="inlineStr">
        <is>
          <t>2026-10-02 14:43:04.102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Failed</t>
        </is>
      </c>
      <c r="G89" s="6" t="inlineStr">
        <is>
          <t>Easy</t>
        </is>
      </c>
      <c r="H89" s="4">
        <v>82.976</v>
      </c>
      <c r="I89" s="4">
        <v>82.0805</v>
      </c>
      <c r="J89" s="4">
        <v>-0.8955</v>
      </c>
      <c r="K89" s="4">
        <v>0.8955</v>
      </c>
      <c r="L89" s="4">
        <v>0.1605</v>
      </c>
      <c r="N89" s="4">
        <v>0.0</v>
      </c>
      <c r="P89" s="6">
        <v>114</v>
      </c>
    </row>
    <row r="90" ht="17" customHeight="1">
      <c r="A90" s="0">
        <v>110</v>
      </c>
      <c r="B90" s="0" t="inlineStr">
        <is>
          <t>P015</t>
        </is>
      </c>
      <c r="C90" s="0" t="inlineStr">
        <is>
          <t>2026-10-02 14:43:06.393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Failed</t>
        </is>
      </c>
      <c r="G90" s="0" t="inlineStr">
        <is>
          <t>Easy</t>
        </is>
      </c>
      <c r="H90" s="4">
        <v>84.896</v>
      </c>
      <c r="P90" s="0">
        <v>115</v>
      </c>
    </row>
    <row r="91" ht="17" customHeight="1">
      <c r="A91" s="6">
        <v>111</v>
      </c>
      <c r="B91" s="6" t="inlineStr">
        <is>
          <t>P015</t>
        </is>
      </c>
      <c r="C91" s="6" t="inlineStr">
        <is>
          <t>2026-10-02 14:43:08.143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Failed</t>
        </is>
      </c>
      <c r="G91" s="6" t="inlineStr">
        <is>
          <t>Easy</t>
        </is>
      </c>
      <c r="H91" s="4">
        <v>86.816</v>
      </c>
      <c r="P91" s="6">
        <v>116</v>
      </c>
    </row>
    <row r="92" ht="17" customHeight="1">
      <c r="A92" s="0">
        <v>112</v>
      </c>
      <c r="B92" s="0" t="inlineStr">
        <is>
          <t>P015</t>
        </is>
      </c>
      <c r="C92" s="0" t="inlineStr">
        <is>
          <t>2026-10-02 14:43:10.241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Failed</t>
        </is>
      </c>
      <c r="G92" s="0" t="inlineStr">
        <is>
          <t>Easy</t>
        </is>
      </c>
      <c r="H92" s="4">
        <v>88.736</v>
      </c>
      <c r="I92" s="4">
        <v>88.2192</v>
      </c>
      <c r="J92" s="4">
        <v>-0.5168</v>
      </c>
      <c r="K92" s="4">
        <v>0.5168</v>
      </c>
      <c r="L92" s="4">
        <v>0.5392</v>
      </c>
      <c r="N92" s="4">
        <v>0.0</v>
      </c>
      <c r="P92" s="0">
        <v>117</v>
      </c>
    </row>
    <row r="93" ht="17" customHeight="1">
      <c r="A93" s="6">
        <v>114</v>
      </c>
      <c r="B93" s="6" t="inlineStr">
        <is>
          <t>P015</t>
        </is>
      </c>
      <c r="C93" s="6" t="inlineStr">
        <is>
          <t>2026-10-02 14:43:12.644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H93" s="4">
        <v>90.656</v>
      </c>
      <c r="I93" s="4">
        <v>90.6228</v>
      </c>
      <c r="J93" s="4">
        <v>-0.0332</v>
      </c>
      <c r="K93" s="4">
        <v>0.0332</v>
      </c>
      <c r="L93" s="4">
        <v>1.0228</v>
      </c>
      <c r="N93" s="4">
        <v>1.0</v>
      </c>
      <c r="P93" s="6">
        <v>119</v>
      </c>
    </row>
    <row r="94" ht="17" customHeight="1">
      <c r="A94" s="0">
        <v>115</v>
      </c>
      <c r="B94" s="0" t="inlineStr">
        <is>
          <t>P015</t>
        </is>
      </c>
      <c r="C94" s="0" t="inlineStr">
        <is>
          <t>2026-10-02 14:43:14.242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Success</t>
        </is>
      </c>
      <c r="G94" s="0" t="inlineStr">
        <is>
          <t>Easy</t>
        </is>
      </c>
      <c r="H94" s="4">
        <v>92.576</v>
      </c>
      <c r="I94" s="4">
        <v>92.2207</v>
      </c>
      <c r="J94" s="4">
        <v>-0.3553</v>
      </c>
      <c r="K94" s="4">
        <v>0.3553</v>
      </c>
      <c r="L94" s="4">
        <v>0.7007</v>
      </c>
      <c r="N94" s="4">
        <v>1.0</v>
      </c>
      <c r="P94" s="0">
        <v>120</v>
      </c>
    </row>
    <row r="95" ht="17" customHeight="1">
      <c r="A95" s="6">
        <v>116</v>
      </c>
      <c r="B95" s="6" t="inlineStr">
        <is>
          <t>P015</t>
        </is>
      </c>
      <c r="C95" s="6" t="inlineStr">
        <is>
          <t>2026-10-02 14:43:18.325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Failed</t>
        </is>
      </c>
      <c r="G95" s="6" t="inlineStr">
        <is>
          <t>Easy</t>
        </is>
      </c>
      <c r="H95" s="4">
        <v>94.976</v>
      </c>
      <c r="I95" s="4">
        <v>94.5819</v>
      </c>
      <c r="J95" s="4">
        <v>-0.3941</v>
      </c>
      <c r="K95" s="4">
        <v>0.3941</v>
      </c>
      <c r="N95" s="4">
        <v>0.0</v>
      </c>
      <c r="O95" s="6" t="b">
        <v>0</v>
      </c>
      <c r="P95" s="6">
        <v>121</v>
      </c>
    </row>
    <row r="96" ht="17" customHeight="1">
      <c r="A96" s="0">
        <v>118</v>
      </c>
      <c r="B96" s="0" t="inlineStr">
        <is>
          <t>P015</t>
        </is>
      </c>
      <c r="C96" s="0" t="inlineStr">
        <is>
          <t>2026-10-02 14:43:21.825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H96" s="4">
        <v>97.664</v>
      </c>
      <c r="I96" s="4">
        <v>99.5952</v>
      </c>
      <c r="J96" s="4">
        <v>1.9312</v>
      </c>
      <c r="K96" s="4">
        <v>1.9312</v>
      </c>
      <c r="N96" s="4">
        <v>0.0</v>
      </c>
      <c r="O96" s="0" t="b">
        <v>1</v>
      </c>
      <c r="P96" s="0">
        <v>123</v>
      </c>
    </row>
    <row r="97" ht="17" customHeight="1">
      <c r="A97" s="6">
        <v>119</v>
      </c>
      <c r="B97" s="6" t="inlineStr">
        <is>
          <t>P015</t>
        </is>
      </c>
      <c r="C97" s="6" t="inlineStr">
        <is>
          <t>2026-10-02 14:43:24.159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Missed</t>
        </is>
      </c>
      <c r="G97" s="6" t="inlineStr">
        <is>
          <t>Easy</t>
        </is>
      </c>
      <c r="H97" s="4">
        <v>96.128</v>
      </c>
      <c r="P97" s="6">
        <v>124</v>
      </c>
    </row>
    <row r="98" ht="17" customHeight="1">
      <c r="A98" s="0">
        <v>121</v>
      </c>
      <c r="B98" s="0" t="inlineStr">
        <is>
          <t>P015</t>
        </is>
      </c>
      <c r="C98" s="0" t="inlineStr">
        <is>
          <t>2026-10-02 14:43:29.143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Missed</t>
        </is>
      </c>
      <c r="G98" s="0" t="inlineStr">
        <is>
          <t>Easy</t>
        </is>
      </c>
      <c r="H98" s="4">
        <v>101.12</v>
      </c>
      <c r="P98" s="0">
        <v>126</v>
      </c>
    </row>
    <row r="99" ht="17" customHeight="1">
      <c r="A99" s="6">
        <v>122</v>
      </c>
      <c r="B99" s="6" t="inlineStr">
        <is>
          <t>P015</t>
        </is>
      </c>
      <c r="C99" s="6" t="inlineStr">
        <is>
          <t>2026-10-02 14:43:30.686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Missed</t>
        </is>
      </c>
      <c r="G99" s="6" t="inlineStr">
        <is>
          <t>Easy</t>
        </is>
      </c>
      <c r="H99" s="4">
        <v>102.656</v>
      </c>
      <c r="P99" s="6">
        <v>127</v>
      </c>
    </row>
    <row r="100" ht="17" customHeight="1">
      <c r="A100" s="0">
        <v>123</v>
      </c>
      <c r="B100" s="0" t="inlineStr">
        <is>
          <t>P015</t>
        </is>
      </c>
      <c r="C100" s="0" t="inlineStr">
        <is>
          <t>2026-10-02 14:43:31.283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Failed</t>
        </is>
      </c>
      <c r="G100" s="0" t="inlineStr">
        <is>
          <t>Easy</t>
        </is>
      </c>
      <c r="H100" s="4">
        <v>108.032</v>
      </c>
      <c r="I100" s="4">
        <v>109.0944</v>
      </c>
      <c r="J100" s="4">
        <v>1.0624</v>
      </c>
      <c r="K100" s="4">
        <v>1.0624</v>
      </c>
      <c r="N100" s="4">
        <v>0.0</v>
      </c>
      <c r="O100" s="0" t="b">
        <v>1</v>
      </c>
      <c r="P100" s="0">
        <v>128</v>
      </c>
    </row>
    <row r="101" ht="17" customHeight="1">
      <c r="A101" s="6">
        <v>126</v>
      </c>
      <c r="B101" s="6" t="inlineStr">
        <is>
          <t>P015</t>
        </is>
      </c>
      <c r="C101" s="6" t="inlineStr">
        <is>
          <t>2026-10-02 14:43:37.212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Missed</t>
        </is>
      </c>
      <c r="G101" s="6" t="inlineStr">
        <is>
          <t>Easy</t>
        </is>
      </c>
      <c r="H101" s="4">
        <v>109.184</v>
      </c>
      <c r="P101" s="6">
        <v>131</v>
      </c>
    </row>
    <row r="102" ht="17" customHeight="1">
      <c r="A102" s="0">
        <v>127</v>
      </c>
      <c r="B102" s="0" t="inlineStr">
        <is>
          <t>P015</t>
        </is>
      </c>
      <c r="C102" s="0" t="inlineStr">
        <is>
          <t>2026-10-02 14:43:39.129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Missed</t>
        </is>
      </c>
      <c r="G102" s="0" t="inlineStr">
        <is>
          <t>Easy</t>
        </is>
      </c>
      <c r="H102" s="4">
        <v>111.104</v>
      </c>
      <c r="P102" s="0">
        <v>132</v>
      </c>
    </row>
    <row r="103" ht="17" customHeight="1">
      <c r="A103" s="6">
        <v>128</v>
      </c>
      <c r="B103" s="6" t="inlineStr">
        <is>
          <t>P015</t>
        </is>
      </c>
      <c r="C103" s="6" t="inlineStr">
        <is>
          <t>2026-10-02 14:43:41.462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Success</t>
        </is>
      </c>
      <c r="G103" s="6" t="inlineStr">
        <is>
          <t>Easy</t>
        </is>
      </c>
      <c r="H103" s="4">
        <v>116.096</v>
      </c>
      <c r="I103" s="4">
        <v>119.2328</v>
      </c>
      <c r="J103" s="4">
        <v>3.1368</v>
      </c>
      <c r="K103" s="4">
        <v>3.1368</v>
      </c>
      <c r="N103" s="4">
        <v>1.0</v>
      </c>
      <c r="O103" s="6" t="b">
        <v>1</v>
      </c>
      <c r="P103" s="6">
        <v>133</v>
      </c>
    </row>
    <row r="104" ht="17" customHeight="1">
      <c r="A104" s="0">
        <v>130</v>
      </c>
      <c r="B104" s="0" t="inlineStr">
        <is>
          <t>P015</t>
        </is>
      </c>
      <c r="C104" s="0" t="inlineStr">
        <is>
          <t>2026-10-02 14:43:41.755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Failed</t>
        </is>
      </c>
      <c r="G104" s="0" t="inlineStr">
        <is>
          <t>Easy</t>
        </is>
      </c>
      <c r="H104" s="4">
        <v>119.936</v>
      </c>
      <c r="I104" s="4">
        <v>119.5525</v>
      </c>
      <c r="J104" s="4">
        <v>-0.3835</v>
      </c>
      <c r="K104" s="4">
        <v>0.3835</v>
      </c>
      <c r="N104" s="4">
        <v>0.0</v>
      </c>
      <c r="O104" s="0" t="b">
        <v>1</v>
      </c>
      <c r="P104" s="0">
        <v>135</v>
      </c>
    </row>
    <row r="105" ht="17" customHeight="1">
      <c r="A105" s="6">
        <v>131</v>
      </c>
      <c r="B105" s="6" t="inlineStr">
        <is>
          <t>P015</t>
        </is>
      </c>
      <c r="C105" s="6" t="inlineStr">
        <is>
          <t>2026-10-02 14:43:43.297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H105" s="4">
        <v>118.4</v>
      </c>
      <c r="I105" s="4">
        <v>121.1781</v>
      </c>
      <c r="J105" s="4">
        <v>2.7781</v>
      </c>
      <c r="K105" s="4">
        <v>2.7781</v>
      </c>
      <c r="N105" s="4">
        <v>0.0</v>
      </c>
      <c r="O105" s="6" t="b">
        <v>1</v>
      </c>
      <c r="P105" s="6">
        <v>136</v>
      </c>
    </row>
    <row r="106" ht="17" customHeight="1">
      <c r="A106" s="0">
        <v>132</v>
      </c>
      <c r="B106" s="0" t="inlineStr">
        <is>
          <t>P015</t>
        </is>
      </c>
      <c r="C106" s="0" t="inlineStr">
        <is>
          <t>2026-10-02 14:43:44.505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H106" s="4">
        <v>121.472</v>
      </c>
      <c r="I106" s="4">
        <v>122.359</v>
      </c>
      <c r="J106" s="4">
        <v>0.887</v>
      </c>
      <c r="K106" s="4">
        <v>0.887</v>
      </c>
      <c r="N106" s="4">
        <v>0.0</v>
      </c>
      <c r="O106" s="0" t="b">
        <v>0</v>
      </c>
      <c r="P106" s="0">
        <v>137</v>
      </c>
    </row>
    <row r="107" ht="17" customHeight="1">
      <c r="A107" s="6">
        <v>133</v>
      </c>
      <c r="B107" s="6" t="inlineStr">
        <is>
          <t>P015</t>
        </is>
      </c>
      <c r="C107" s="6" t="inlineStr">
        <is>
          <t>2026-10-02 14:43:49.462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Success</t>
        </is>
      </c>
      <c r="G107" s="6" t="inlineStr">
        <is>
          <t>Easy</t>
        </is>
      </c>
      <c r="H107" s="4">
        <v>127.232</v>
      </c>
      <c r="I107" s="4">
        <v>127.3711</v>
      </c>
      <c r="J107" s="4">
        <v>0.1391</v>
      </c>
      <c r="K107" s="4">
        <v>0.1391</v>
      </c>
      <c r="P107" s="6">
        <v>138</v>
      </c>
    </row>
    <row r="108" ht="17" customHeight="1">
      <c r="A108" s="0">
        <v>134</v>
      </c>
      <c r="B108" s="0" t="inlineStr">
        <is>
          <t>P015</t>
        </is>
      </c>
      <c r="C108" s="0" t="inlineStr">
        <is>
          <t>2026-10-02 14:43:50.074</t>
        </is>
      </c>
      <c r="D108" s="0" t="inlineStr">
        <is>
          <t>Danniel</t>
        </is>
      </c>
      <c r="E108" s="0" t="inlineStr">
        <is>
          <t>PlayerHit</t>
        </is>
      </c>
      <c r="F108" s="0" t="inlineStr">
        <is>
          <t>Failed</t>
        </is>
      </c>
      <c r="G108" s="0" t="inlineStr">
        <is>
          <t>Easy</t>
        </is>
      </c>
      <c r="H108" s="4">
        <v>128.0527</v>
      </c>
      <c r="P108" s="0">
        <v>139</v>
      </c>
    </row>
    <row r="109" ht="17" customHeight="1">
      <c r="A109" s="6">
        <v>135</v>
      </c>
      <c r="B109" s="6" t="inlineStr">
        <is>
          <t>P015</t>
        </is>
      </c>
      <c r="C109" s="6" t="inlineStr">
        <is>
          <t>2026-10-02 14:43:53.365</t>
        </is>
      </c>
      <c r="D109" s="6" t="inlineStr">
        <is>
          <t>Danniel</t>
        </is>
      </c>
      <c r="E109" s="6" t="inlineStr">
        <is>
          <t>PlayerHit</t>
        </is>
      </c>
      <c r="F109" s="6" t="inlineStr">
        <is>
          <t>Failed</t>
        </is>
      </c>
      <c r="G109" s="6" t="inlineStr">
        <is>
          <t>Easy</t>
        </is>
      </c>
      <c r="H109" s="4">
        <v>131.3432</v>
      </c>
      <c r="P109" s="6">
        <v>140</v>
      </c>
    </row>
    <row r="110" ht="17" customHeight="1">
      <c r="A110" s="0">
        <v>136</v>
      </c>
      <c r="B110" s="0" t="inlineStr">
        <is>
          <t>P015</t>
        </is>
      </c>
      <c r="C110" s="0" t="inlineStr">
        <is>
          <t>2026-10-02 14:43:54.017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H110" s="4">
        <v>131.456</v>
      </c>
      <c r="I110" s="4">
        <v>131.4812</v>
      </c>
      <c r="J110" s="4">
        <v>0.0252</v>
      </c>
      <c r="K110" s="4">
        <v>0.0252</v>
      </c>
      <c r="P110" s="0">
        <v>141</v>
      </c>
    </row>
    <row r="111" ht="17" customHeight="1">
      <c r="A111" s="6">
        <v>137</v>
      </c>
      <c r="B111" s="6" t="inlineStr">
        <is>
          <t>P015</t>
        </is>
      </c>
      <c r="C111" s="6" t="inlineStr">
        <is>
          <t>2026-10-02 14:43:55.254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Failed</t>
        </is>
      </c>
      <c r="G111" s="6" t="inlineStr">
        <is>
          <t>Easy</t>
        </is>
      </c>
      <c r="H111" s="4">
        <v>133.2323</v>
      </c>
      <c r="P111" s="6">
        <v>142</v>
      </c>
    </row>
    <row r="112" ht="17" customHeight="1">
      <c r="A112" s="0">
        <v>139</v>
      </c>
      <c r="B112" s="0" t="inlineStr">
        <is>
          <t>P015</t>
        </is>
      </c>
      <c r="C112" s="0" t="inlineStr">
        <is>
          <t>2026-10-02 14:43:55.657</t>
        </is>
      </c>
      <c r="D112" s="0" t="inlineStr">
        <is>
          <t>Danniel</t>
        </is>
      </c>
      <c r="E112" s="0" t="inlineStr">
        <is>
          <t>PlayerHit</t>
        </is>
      </c>
      <c r="F112" s="0" t="inlineStr">
        <is>
          <t>Failed</t>
        </is>
      </c>
      <c r="G112" s="0" t="inlineStr">
        <is>
          <t>Easy</t>
        </is>
      </c>
      <c r="H112" s="4">
        <v>133.6352</v>
      </c>
      <c r="P112" s="0">
        <v>144</v>
      </c>
    </row>
    <row r="113" ht="17" customHeight="1">
      <c r="A113" s="6">
        <v>140</v>
      </c>
      <c r="B113" s="6" t="inlineStr">
        <is>
          <t>P015</t>
        </is>
      </c>
      <c r="C113" s="6" t="inlineStr">
        <is>
          <t>2026-10-02 14:43:56.074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Success</t>
        </is>
      </c>
      <c r="G113" s="6" t="inlineStr">
        <is>
          <t>Easy</t>
        </is>
      </c>
      <c r="H113" s="4">
        <v>133.76</v>
      </c>
      <c r="I113" s="4">
        <v>133.6767</v>
      </c>
      <c r="J113" s="4">
        <v>-0.0833</v>
      </c>
      <c r="K113" s="4">
        <v>0.0833</v>
      </c>
      <c r="P113" s="6">
        <v>145</v>
      </c>
    </row>
    <row r="114" ht="17" customHeight="1">
      <c r="A114" s="0">
        <v>141</v>
      </c>
      <c r="B114" s="0" t="inlineStr">
        <is>
          <t>P015</t>
        </is>
      </c>
      <c r="C114" s="0" t="inlineStr">
        <is>
          <t>2026-10-02 14:43:58.615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H114" s="4">
        <v>136.064</v>
      </c>
      <c r="I114" s="4">
        <v>135.9274</v>
      </c>
      <c r="J114" s="4">
        <v>-0.1366</v>
      </c>
      <c r="K114" s="4">
        <v>0.1366</v>
      </c>
      <c r="P114" s="0">
        <v>146</v>
      </c>
    </row>
    <row r="115" ht="17" customHeight="1">
      <c r="A115" s="6">
        <v>142</v>
      </c>
      <c r="B115" s="6" t="inlineStr">
        <is>
          <t>P015</t>
        </is>
      </c>
      <c r="C115" s="6" t="inlineStr">
        <is>
          <t>2026-10-02 14:44:00.185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Success</t>
        </is>
      </c>
      <c r="G115" s="6" t="inlineStr">
        <is>
          <t>Easy</t>
        </is>
      </c>
      <c r="H115" s="4">
        <v>137.6</v>
      </c>
      <c r="I115" s="4">
        <v>137.4548</v>
      </c>
      <c r="J115" s="4">
        <v>-0.1452</v>
      </c>
      <c r="K115" s="4">
        <v>0.1452</v>
      </c>
      <c r="P115" s="6">
        <v>147</v>
      </c>
    </row>
    <row r="116" ht="17" customHeight="1">
      <c r="A116" s="0">
        <v>143</v>
      </c>
      <c r="B116" s="0" t="inlineStr">
        <is>
          <t>P015</t>
        </is>
      </c>
      <c r="C116" s="0" t="inlineStr">
        <is>
          <t>2026-10-02 14:44:00.643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Failed</t>
        </is>
      </c>
      <c r="G116" s="0" t="inlineStr">
        <is>
          <t>Easy</t>
        </is>
      </c>
      <c r="H116" s="4">
        <v>138.6216</v>
      </c>
      <c r="P116" s="0">
        <v>148</v>
      </c>
    </row>
    <row r="117" ht="17" customHeight="1">
      <c r="A117" s="6">
        <v>144</v>
      </c>
      <c r="B117" s="6" t="inlineStr">
        <is>
          <t>P015</t>
        </is>
      </c>
      <c r="C117" s="6" t="inlineStr">
        <is>
          <t>2026-10-02 14:44:01.740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H117" s="4">
        <v>139.136</v>
      </c>
      <c r="I117" s="4">
        <v>139.0242</v>
      </c>
      <c r="J117" s="4">
        <v>-0.1118</v>
      </c>
      <c r="K117" s="4">
        <v>0.1118</v>
      </c>
      <c r="P117" s="6">
        <v>149</v>
      </c>
    </row>
    <row r="118" ht="17" customHeight="1">
      <c r="A118" s="0">
        <v>145</v>
      </c>
      <c r="B118" s="0" t="inlineStr">
        <is>
          <t>P015</t>
        </is>
      </c>
      <c r="C118" s="0" t="inlineStr">
        <is>
          <t>2026-10-02 14:44:03.906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Failed</t>
        </is>
      </c>
      <c r="G118" s="0" t="inlineStr">
        <is>
          <t>Easy</t>
        </is>
      </c>
      <c r="H118" s="4">
        <v>141.8849</v>
      </c>
      <c r="P118" s="0">
        <v>150</v>
      </c>
    </row>
    <row r="119" ht="17" customHeight="1">
      <c r="A119" s="6">
        <v>146</v>
      </c>
      <c r="B119" s="6" t="inlineStr">
        <is>
          <t>P015</t>
        </is>
      </c>
      <c r="C119" s="6" t="inlineStr">
        <is>
          <t>2026-10-02 14:44:03.934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141.056</v>
      </c>
      <c r="I119" s="4">
        <v>141.1212</v>
      </c>
      <c r="J119" s="4">
        <v>0.0652</v>
      </c>
      <c r="K119" s="4">
        <v>0.0652</v>
      </c>
      <c r="P119" s="6">
        <v>151</v>
      </c>
    </row>
    <row r="120" ht="17" customHeight="1">
      <c r="A120" s="0">
        <v>148</v>
      </c>
      <c r="B120" s="0" t="inlineStr">
        <is>
          <t>P015</t>
        </is>
      </c>
      <c r="C120" s="0" t="inlineStr">
        <is>
          <t>2026-10-02 14:44:10.322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Failed</t>
        </is>
      </c>
      <c r="G120" s="0" t="inlineStr">
        <is>
          <t>Easy</t>
        </is>
      </c>
      <c r="H120" s="4">
        <v>148.3014</v>
      </c>
      <c r="P120" s="0">
        <v>153</v>
      </c>
    </row>
    <row r="121" ht="17" customHeight="1">
      <c r="A121" s="6">
        <v>150</v>
      </c>
      <c r="B121" s="6" t="inlineStr">
        <is>
          <t>P015</t>
        </is>
      </c>
      <c r="C121" s="6" t="inlineStr">
        <is>
          <t>2026-10-02 14:44:10.865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H121" s="4">
        <v>147.968</v>
      </c>
      <c r="I121" s="4">
        <v>147.9821</v>
      </c>
      <c r="J121" s="4">
        <v>0.0141</v>
      </c>
      <c r="K121" s="4">
        <v>0.0141</v>
      </c>
      <c r="P121" s="6">
        <v>155</v>
      </c>
    </row>
    <row r="122" ht="17" customHeight="1">
      <c r="A122" s="0">
        <v>151</v>
      </c>
      <c r="B122" s="0" t="inlineStr">
        <is>
          <t>P015</t>
        </is>
      </c>
      <c r="C122" s="0" t="inlineStr">
        <is>
          <t>2026-10-02 14:44:13.142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Success</t>
        </is>
      </c>
      <c r="G122" s="0" t="inlineStr">
        <is>
          <t>Easy</t>
        </is>
      </c>
      <c r="H122" s="4">
        <v>149.888</v>
      </c>
      <c r="I122" s="4">
        <v>150.0651</v>
      </c>
      <c r="J122" s="4">
        <v>0.1771</v>
      </c>
      <c r="K122" s="4">
        <v>0.1771</v>
      </c>
      <c r="P122" s="0">
        <v>156</v>
      </c>
    </row>
    <row r="123" ht="17" customHeight="1">
      <c r="A123" s="6">
        <v>152</v>
      </c>
      <c r="B123" s="6" t="inlineStr">
        <is>
          <t>P015</t>
        </is>
      </c>
      <c r="C123" s="6" t="inlineStr">
        <is>
          <t>2026-10-02 14:44:13.684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Failed</t>
        </is>
      </c>
      <c r="G123" s="6" t="inlineStr">
        <is>
          <t>Easy</t>
        </is>
      </c>
      <c r="H123" s="4">
        <v>151.6623</v>
      </c>
      <c r="P123" s="6">
        <v>157</v>
      </c>
    </row>
    <row r="124" ht="17" customHeight="1">
      <c r="A124" s="0">
        <v>153</v>
      </c>
      <c r="B124" s="0" t="inlineStr">
        <is>
          <t>P015</t>
        </is>
      </c>
      <c r="C124" s="0" t="inlineStr">
        <is>
          <t>2026-10-02 14:44:14.934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Missed</t>
        </is>
      </c>
      <c r="G124" s="0" t="inlineStr">
        <is>
          <t>Easy</t>
        </is>
      </c>
      <c r="H124" s="4">
        <v>152.9119</v>
      </c>
      <c r="P124" s="0">
        <v>158</v>
      </c>
    </row>
    <row r="125" ht="17" customHeight="1">
      <c r="A125" s="6">
        <v>155</v>
      </c>
      <c r="B125" s="6" t="inlineStr">
        <is>
          <t>P015</t>
        </is>
      </c>
      <c r="C125" s="6" t="inlineStr">
        <is>
          <t>2026-10-02 14:44:17.059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Failed</t>
        </is>
      </c>
      <c r="G125" s="6" t="inlineStr">
        <is>
          <t>Easy</t>
        </is>
      </c>
      <c r="H125" s="4">
        <v>155.0373</v>
      </c>
      <c r="P125" s="6">
        <v>160</v>
      </c>
    </row>
    <row r="126" ht="17" customHeight="1">
      <c r="A126" s="0">
        <v>157</v>
      </c>
      <c r="B126" s="0" t="inlineStr">
        <is>
          <t>P015</t>
        </is>
      </c>
      <c r="C126" s="0" t="inlineStr">
        <is>
          <t>2026-10-02 14:44:27.363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Failed</t>
        </is>
      </c>
      <c r="G126" s="0" t="inlineStr">
        <is>
          <t>Easy</t>
        </is>
      </c>
      <c r="H126" s="4">
        <v>165.4073</v>
      </c>
      <c r="I126" s="4">
        <v>165.3418</v>
      </c>
      <c r="J126" s="4">
        <v>-0.0656</v>
      </c>
      <c r="K126" s="4">
        <v>0.0656</v>
      </c>
      <c r="N126" s="4">
        <v>0.0</v>
      </c>
      <c r="O126" s="0" t="b">
        <v>1</v>
      </c>
      <c r="P126" s="0">
        <v>162</v>
      </c>
    </row>
    <row r="127" ht="17" customHeight="1">
      <c r="A127" s="6">
        <v>159</v>
      </c>
      <c r="B127" s="6" t="inlineStr">
        <is>
          <t>P015</t>
        </is>
      </c>
      <c r="C127" s="6" t="inlineStr">
        <is>
          <t>2026-10-02 14:44:29.779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Failed</t>
        </is>
      </c>
      <c r="G127" s="6" t="inlineStr">
        <is>
          <t>Easy</t>
        </is>
      </c>
      <c r="H127" s="4">
        <v>167.7061</v>
      </c>
      <c r="I127" s="4">
        <v>167.7578</v>
      </c>
      <c r="J127" s="4">
        <v>0.0517</v>
      </c>
      <c r="K127" s="4">
        <v>0.0517</v>
      </c>
      <c r="N127" s="4">
        <v>0.0</v>
      </c>
      <c r="O127" s="6" t="b">
        <v>1</v>
      </c>
      <c r="P127" s="6">
        <v>164</v>
      </c>
    </row>
    <row r="128" ht="17" customHeight="1">
      <c r="A128" s="0">
        <v>160</v>
      </c>
      <c r="B128" s="0" t="inlineStr">
        <is>
          <t>P015</t>
        </is>
      </c>
      <c r="C128" s="0" t="inlineStr">
        <is>
          <t>2026-10-02 14:44:32.043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Failed</t>
        </is>
      </c>
      <c r="G128" s="0" t="inlineStr">
        <is>
          <t>Easy</t>
        </is>
      </c>
      <c r="H128" s="4">
        <v>170.0049</v>
      </c>
      <c r="I128" s="4">
        <v>170.0213</v>
      </c>
      <c r="J128" s="4">
        <v>0.0164</v>
      </c>
      <c r="K128" s="4">
        <v>0.0164</v>
      </c>
      <c r="N128" s="4">
        <v>0.0</v>
      </c>
      <c r="O128" s="0" t="b">
        <v>1</v>
      </c>
      <c r="P128" s="0">
        <v>165</v>
      </c>
    </row>
    <row r="129" ht="17" customHeight="1">
      <c r="A129" s="6">
        <v>161</v>
      </c>
      <c r="B129" s="6" t="inlineStr">
        <is>
          <t>P015</t>
        </is>
      </c>
      <c r="C129" s="6" t="inlineStr">
        <is>
          <t>2026-10-02 14:44:34.446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Success</t>
        </is>
      </c>
      <c r="G129" s="6" t="inlineStr">
        <is>
          <t>Easy</t>
        </is>
      </c>
      <c r="H129" s="4">
        <v>172.3037</v>
      </c>
      <c r="I129" s="4">
        <v>172.4241</v>
      </c>
      <c r="J129" s="4">
        <v>0.1205</v>
      </c>
      <c r="K129" s="4">
        <v>0.1205</v>
      </c>
      <c r="N129" s="4">
        <v>1.0</v>
      </c>
      <c r="O129" s="6" t="b">
        <v>1</v>
      </c>
      <c r="P129" s="6">
        <v>166</v>
      </c>
    </row>
    <row r="130" ht="17" customHeight="1">
      <c r="A130" s="0">
        <v>162</v>
      </c>
      <c r="B130" s="0" t="inlineStr">
        <is>
          <t>P015</t>
        </is>
      </c>
      <c r="C130" s="0" t="inlineStr">
        <is>
          <t>2026-10-02 14:44:36.542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Failed</t>
        </is>
      </c>
      <c r="G130" s="0" t="inlineStr">
        <is>
          <t>Easy</t>
        </is>
      </c>
      <c r="H130" s="4">
        <v>174.6024</v>
      </c>
      <c r="I130" s="4">
        <v>174.5209</v>
      </c>
      <c r="J130" s="4">
        <v>-0.0816</v>
      </c>
      <c r="K130" s="4">
        <v>0.0816</v>
      </c>
      <c r="N130" s="4">
        <v>0.0</v>
      </c>
      <c r="O130" s="0" t="b">
        <v>1</v>
      </c>
      <c r="P130" s="0">
        <v>167</v>
      </c>
    </row>
    <row r="131" ht="17" customHeight="1">
      <c r="A131" s="6">
        <v>164</v>
      </c>
      <c r="B131" s="6" t="inlineStr">
        <is>
          <t>P015</t>
        </is>
      </c>
      <c r="C131" s="6" t="inlineStr">
        <is>
          <t>2026-10-02 14:44:39.014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Failed</t>
        </is>
      </c>
      <c r="G131" s="6" t="inlineStr">
        <is>
          <t>Easy</t>
        </is>
      </c>
      <c r="H131" s="4">
        <v>176.9012</v>
      </c>
      <c r="I131" s="4">
        <v>176.9926</v>
      </c>
      <c r="J131" s="4">
        <v>0.0913</v>
      </c>
      <c r="K131" s="4">
        <v>0.0913</v>
      </c>
      <c r="N131" s="4">
        <v>0.0</v>
      </c>
      <c r="O131" s="6" t="b">
        <v>1</v>
      </c>
      <c r="P131" s="6">
        <v>169</v>
      </c>
    </row>
    <row r="132" ht="17" customHeight="1">
      <c r="A132" s="0">
        <v>165</v>
      </c>
      <c r="B132" s="0" t="inlineStr">
        <is>
          <t>P015</t>
        </is>
      </c>
      <c r="C132" s="0" t="inlineStr">
        <is>
          <t>2026-10-02 14:44:41.500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Failed</t>
        </is>
      </c>
      <c r="G132" s="0" t="inlineStr">
        <is>
          <t>Easy</t>
        </is>
      </c>
      <c r="H132" s="4">
        <v>179.2</v>
      </c>
      <c r="I132" s="4">
        <v>179.4796</v>
      </c>
      <c r="J132" s="4">
        <v>0.2796</v>
      </c>
      <c r="K132" s="4">
        <v>0.2796</v>
      </c>
      <c r="N132" s="4">
        <v>0.0</v>
      </c>
      <c r="O132" s="0" t="b">
        <v>1</v>
      </c>
      <c r="P132" s="0">
        <v>170</v>
      </c>
    </row>
    <row r="133" ht="17" customHeight="1">
      <c r="A133" s="6">
        <v>166</v>
      </c>
      <c r="B133" s="6" t="inlineStr">
        <is>
          <t>P015</t>
        </is>
      </c>
      <c r="C133" s="6" t="inlineStr">
        <is>
          <t>2026-10-02 14:44:43.501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Failed</t>
        </is>
      </c>
      <c r="G133" s="6" t="inlineStr">
        <is>
          <t>Easy</t>
        </is>
      </c>
      <c r="H133" s="4">
        <v>181.4988</v>
      </c>
      <c r="I133" s="4">
        <v>181.4796</v>
      </c>
      <c r="J133" s="4">
        <v>-0.0192</v>
      </c>
      <c r="K133" s="4">
        <v>0.0192</v>
      </c>
      <c r="N133" s="4">
        <v>0.0</v>
      </c>
      <c r="O133" s="6" t="b">
        <v>1</v>
      </c>
      <c r="P133" s="6">
        <v>171</v>
      </c>
    </row>
  </sheetData>
  <autoFilter ref="A1:P133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22</v>
      </c>
      <c r="B2" s="0" t="inlineStr">
        <is>
          <t>2026-10-02 14:41:48.745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27</v>
      </c>
    </row>
    <row r="3" ht="17" customHeight="1">
      <c r="A3" s="6">
        <v>32</v>
      </c>
      <c r="B3" s="6" t="inlineStr">
        <is>
          <t>2026-10-02 14:41:51.064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0.14</v>
      </c>
      <c r="I3" s="6">
        <v>37</v>
      </c>
    </row>
    <row r="4" ht="17" customHeight="1">
      <c r="A4" s="0">
        <v>44</v>
      </c>
      <c r="B4" s="0" t="inlineStr">
        <is>
          <t>2026-10-02 14:41:54.980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49</v>
      </c>
    </row>
    <row r="5" ht="17" customHeight="1">
      <c r="A5" s="6">
        <v>52</v>
      </c>
      <c r="B5" s="6" t="inlineStr">
        <is>
          <t>2026-10-02 14:41:56.840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0.0</v>
      </c>
      <c r="I5" s="6">
        <v>57</v>
      </c>
    </row>
    <row r="6" ht="17" customHeight="1">
      <c r="A6" s="0">
        <v>60</v>
      </c>
      <c r="B6" s="0" t="inlineStr">
        <is>
          <t>2026-10-02 14:41:58.759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0.25</v>
      </c>
      <c r="I6" s="0">
        <v>65</v>
      </c>
    </row>
    <row r="7" ht="17" customHeight="1">
      <c r="A7" s="6">
        <v>73</v>
      </c>
      <c r="B7" s="6" t="inlineStr">
        <is>
          <t>2026-10-02 14:42:08.021</t>
        </is>
      </c>
      <c r="C7" s="6" t="inlineStr">
        <is>
          <t>Alex</t>
        </is>
      </c>
      <c r="D7" s="6" t="inlineStr">
        <is>
          <t>Easy</t>
        </is>
      </c>
      <c r="E7" s="6" t="inlineStr">
        <is>
          <t>Normal</t>
        </is>
      </c>
      <c r="F7" s="6" t="inlineStr">
        <is>
          <t>High recent performance</t>
        </is>
      </c>
      <c r="H7" s="3">
        <v>0.88</v>
      </c>
      <c r="I7" s="6">
        <v>78</v>
      </c>
    </row>
    <row r="8" ht="17" customHeight="1">
      <c r="A8" s="0">
        <v>102</v>
      </c>
      <c r="B8" s="0" t="inlineStr">
        <is>
          <t>2026-10-02 14:42:58.186</t>
        </is>
      </c>
      <c r="C8" s="0" t="inlineStr">
        <is>
          <t>Shipi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0.25</v>
      </c>
      <c r="I8" s="0">
        <v>107</v>
      </c>
    </row>
  </sheetData>
  <autoFilter ref="A1:I8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9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14:41:39.439</t>
        </is>
      </c>
      <c r="C2" s="0" t="inlineStr">
        <is>
          <t>Idle</t>
        </is>
      </c>
      <c r="D2" s="0">
        <v>6</v>
      </c>
    </row>
    <row r="3" ht="17" customHeight="1">
      <c r="A3" s="6">
        <v>4</v>
      </c>
      <c r="B3" s="6" t="inlineStr">
        <is>
          <t>2026-10-02 14:41:41.105</t>
        </is>
      </c>
      <c r="C3" s="6" t="inlineStr">
        <is>
          <t>Engaged</t>
        </is>
      </c>
      <c r="D3" s="6">
        <v>9</v>
      </c>
    </row>
    <row r="4" ht="17" customHeight="1">
      <c r="A4" s="0">
        <v>31</v>
      </c>
      <c r="B4" s="0" t="inlineStr">
        <is>
          <t>2026-10-02 14:41:51.063</t>
        </is>
      </c>
      <c r="C4" s="0" t="inlineStr">
        <is>
          <t>Overloaded</t>
        </is>
      </c>
      <c r="D4" s="0">
        <v>36</v>
      </c>
    </row>
    <row r="5" ht="17" customHeight="1">
      <c r="A5" s="6">
        <v>33</v>
      </c>
      <c r="B5" s="6" t="inlineStr">
        <is>
          <t>2026-10-02 14:41:51.077</t>
        </is>
      </c>
      <c r="C5" s="6" t="inlineStr">
        <is>
          <t>Engaged</t>
        </is>
      </c>
      <c r="D5" s="6">
        <v>38</v>
      </c>
    </row>
    <row r="6" ht="17" customHeight="1">
      <c r="A6" s="0">
        <v>51</v>
      </c>
      <c r="B6" s="0" t="inlineStr">
        <is>
          <t>2026-10-02 14:41:56.840</t>
        </is>
      </c>
      <c r="C6" s="0" t="inlineStr">
        <is>
          <t>Overloaded</t>
        </is>
      </c>
      <c r="D6" s="0">
        <v>56</v>
      </c>
    </row>
    <row r="7" ht="17" customHeight="1">
      <c r="A7" s="6">
        <v>53</v>
      </c>
      <c r="B7" s="6" t="inlineStr">
        <is>
          <t>2026-10-02 14:41:56.855</t>
        </is>
      </c>
      <c r="C7" s="6" t="inlineStr">
        <is>
          <t>Engaged</t>
        </is>
      </c>
      <c r="D7" s="6">
        <v>58</v>
      </c>
    </row>
    <row r="8" ht="17" customHeight="1">
      <c r="A8" s="0">
        <v>59</v>
      </c>
      <c r="B8" s="0" t="inlineStr">
        <is>
          <t>2026-10-02 14:41:58.757</t>
        </is>
      </c>
      <c r="C8" s="0" t="inlineStr">
        <is>
          <t>Overloaded</t>
        </is>
      </c>
      <c r="D8" s="0">
        <v>64</v>
      </c>
    </row>
    <row r="9" ht="17" customHeight="1">
      <c r="A9" s="6">
        <v>61</v>
      </c>
      <c r="B9" s="6" t="inlineStr">
        <is>
          <t>2026-10-02 14:41:58.772</t>
        </is>
      </c>
      <c r="C9" s="6" t="inlineStr">
        <is>
          <t>Engaged</t>
        </is>
      </c>
      <c r="D9" s="6">
        <v>66</v>
      </c>
    </row>
    <row r="10" ht="17" customHeight="1">
      <c r="A10" s="0">
        <v>92</v>
      </c>
      <c r="B10" s="0" t="inlineStr">
        <is>
          <t>2026-10-02 14:42:48.798</t>
        </is>
      </c>
      <c r="C10" s="0" t="inlineStr">
        <is>
          <t>Idle</t>
        </is>
      </c>
      <c r="D10" s="0">
        <v>97</v>
      </c>
    </row>
    <row r="11" ht="17" customHeight="1">
      <c r="A11" s="6">
        <v>96</v>
      </c>
      <c r="B11" s="6" t="inlineStr">
        <is>
          <t>2026-10-02 14:42:51.937</t>
        </is>
      </c>
      <c r="C11" s="6" t="inlineStr">
        <is>
          <t>Engaged</t>
        </is>
      </c>
      <c r="D11" s="6">
        <v>101</v>
      </c>
    </row>
    <row r="12" ht="17" customHeight="1">
      <c r="A12" s="0">
        <v>101</v>
      </c>
      <c r="B12" s="0" t="inlineStr">
        <is>
          <t>2026-10-02 14:42:58.186</t>
        </is>
      </c>
      <c r="C12" s="0" t="inlineStr">
        <is>
          <t>Overloaded</t>
        </is>
      </c>
      <c r="D12" s="0">
        <v>106</v>
      </c>
    </row>
    <row r="13" ht="17" customHeight="1">
      <c r="A13" s="6">
        <v>103</v>
      </c>
      <c r="B13" s="6" t="inlineStr">
        <is>
          <t>2026-10-02 14:42:58.200</t>
        </is>
      </c>
      <c r="C13" s="6" t="inlineStr">
        <is>
          <t>Engaged</t>
        </is>
      </c>
      <c r="D13" s="6">
        <v>108</v>
      </c>
    </row>
    <row r="14" ht="17" customHeight="1">
      <c r="A14" s="0">
        <v>105</v>
      </c>
      <c r="B14" s="0" t="inlineStr">
        <is>
          <t>2026-10-02 14:43:00.143</t>
        </is>
      </c>
      <c r="C14" s="0" t="inlineStr">
        <is>
          <t>Idle</t>
        </is>
      </c>
      <c r="D14" s="0">
        <v>110</v>
      </c>
    </row>
    <row r="15" ht="17" customHeight="1">
      <c r="A15" s="6">
        <v>108</v>
      </c>
      <c r="B15" s="6" t="inlineStr">
        <is>
          <t>2026-10-02 14:43:02.047</t>
        </is>
      </c>
      <c r="C15" s="6" t="inlineStr">
        <is>
          <t>Engaged</t>
        </is>
      </c>
      <c r="D15" s="6">
        <v>113</v>
      </c>
    </row>
    <row r="16" ht="17" customHeight="1">
      <c r="A16" s="0">
        <v>113</v>
      </c>
      <c r="B16" s="0" t="inlineStr">
        <is>
          <t>2026-10-02 14:43:10.241</t>
        </is>
      </c>
      <c r="C16" s="0" t="inlineStr">
        <is>
          <t>Overloaded</t>
        </is>
      </c>
      <c r="D16" s="0">
        <v>118</v>
      </c>
    </row>
    <row r="17" ht="17" customHeight="1">
      <c r="A17" s="6">
        <v>117</v>
      </c>
      <c r="B17" s="6" t="inlineStr">
        <is>
          <t>2026-10-02 14:43:18.325</t>
        </is>
      </c>
      <c r="C17" s="6" t="inlineStr">
        <is>
          <t>Engaged</t>
        </is>
      </c>
      <c r="D17" s="6">
        <v>122</v>
      </c>
    </row>
    <row r="18" ht="17" customHeight="1">
      <c r="A18" s="0">
        <v>120</v>
      </c>
      <c r="B18" s="0" t="inlineStr">
        <is>
          <t>2026-10-02 14:43:26.824</t>
        </is>
      </c>
      <c r="C18" s="0" t="inlineStr">
        <is>
          <t>Idle</t>
        </is>
      </c>
      <c r="D18" s="0">
        <v>125</v>
      </c>
    </row>
    <row r="19" ht="17" customHeight="1">
      <c r="A19" s="6">
        <v>124</v>
      </c>
      <c r="B19" s="6" t="inlineStr">
        <is>
          <t>2026-10-02 14:43:31.283</t>
        </is>
      </c>
      <c r="C19" s="6" t="inlineStr">
        <is>
          <t>Engaged</t>
        </is>
      </c>
      <c r="D19" s="6">
        <v>129</v>
      </c>
    </row>
    <row r="20" ht="17" customHeight="1">
      <c r="A20" s="0">
        <v>125</v>
      </c>
      <c r="B20" s="0" t="inlineStr">
        <is>
          <t>2026-10-02 14:43:36.282</t>
        </is>
      </c>
      <c r="C20" s="0" t="inlineStr">
        <is>
          <t>Idle</t>
        </is>
      </c>
      <c r="D20" s="0">
        <v>130</v>
      </c>
    </row>
    <row r="21" ht="17" customHeight="1">
      <c r="A21" s="6">
        <v>129</v>
      </c>
      <c r="B21" s="6" t="inlineStr">
        <is>
          <t>2026-10-02 14:43:41.464</t>
        </is>
      </c>
      <c r="C21" s="6" t="inlineStr">
        <is>
          <t>Engaged</t>
        </is>
      </c>
      <c r="D21" s="6">
        <v>134</v>
      </c>
    </row>
    <row r="22" ht="17" customHeight="1">
      <c r="A22" s="0">
        <v>138</v>
      </c>
      <c r="B22" s="0" t="inlineStr">
        <is>
          <t>2026-10-02 14:43:55.254</t>
        </is>
      </c>
      <c r="C22" s="0" t="inlineStr">
        <is>
          <t>Overloaded</t>
        </is>
      </c>
      <c r="D22" s="0">
        <v>143</v>
      </c>
    </row>
    <row r="23" ht="17" customHeight="1">
      <c r="A23" s="6">
        <v>147</v>
      </c>
      <c r="B23" s="6" t="inlineStr">
        <is>
          <t>2026-10-02 14:44:08.934</t>
        </is>
      </c>
      <c r="C23" s="6" t="inlineStr">
        <is>
          <t>Idle</t>
        </is>
      </c>
      <c r="D23" s="6">
        <v>152</v>
      </c>
    </row>
    <row r="24" ht="17" customHeight="1">
      <c r="A24" s="0">
        <v>149</v>
      </c>
      <c r="B24" s="0" t="inlineStr">
        <is>
          <t>2026-10-02 14:44:10.324</t>
        </is>
      </c>
      <c r="C24" s="0" t="inlineStr">
        <is>
          <t>Engaged</t>
        </is>
      </c>
      <c r="D24" s="0">
        <v>154</v>
      </c>
    </row>
    <row r="25" ht="17" customHeight="1">
      <c r="A25" s="6">
        <v>154</v>
      </c>
      <c r="B25" s="6" t="inlineStr">
        <is>
          <t>2026-10-02 14:44:14.935</t>
        </is>
      </c>
      <c r="C25" s="6" t="inlineStr">
        <is>
          <t>Overloaded</t>
        </is>
      </c>
      <c r="D25" s="6">
        <v>159</v>
      </c>
    </row>
    <row r="26" ht="17" customHeight="1">
      <c r="A26" s="0">
        <v>156</v>
      </c>
      <c r="B26" s="0" t="inlineStr">
        <is>
          <t>2026-10-02 14:44:22.059</t>
        </is>
      </c>
      <c r="C26" s="0" t="inlineStr">
        <is>
          <t>Idle</t>
        </is>
      </c>
      <c r="D26" s="0">
        <v>161</v>
      </c>
    </row>
    <row r="27" ht="17" customHeight="1">
      <c r="A27" s="6">
        <v>158</v>
      </c>
      <c r="B27" s="6" t="inlineStr">
        <is>
          <t>2026-10-02 14:44:27.364</t>
        </is>
      </c>
      <c r="C27" s="6" t="inlineStr">
        <is>
          <t>Engaged</t>
        </is>
      </c>
      <c r="D27" s="6">
        <v>163</v>
      </c>
    </row>
    <row r="28" ht="17" customHeight="1">
      <c r="A28" s="0">
        <v>163</v>
      </c>
      <c r="B28" s="0" t="inlineStr">
        <is>
          <t>2026-10-02 14:44:36.543</t>
        </is>
      </c>
      <c r="C28" s="0" t="inlineStr">
        <is>
          <t>Overloaded</t>
        </is>
      </c>
      <c r="D28" s="0">
        <v>168</v>
      </c>
    </row>
    <row r="29" ht="17" customHeight="1">
      <c r="A29" s="6">
        <v>167</v>
      </c>
      <c r="B29" s="6" t="inlineStr">
        <is>
          <t>2026-10-02 14:44:48.501</t>
        </is>
      </c>
      <c r="C29" s="6" t="inlineStr">
        <is>
          <t>Idle</t>
        </is>
      </c>
      <c r="D29" s="6">
        <v>172</v>
      </c>
    </row>
  </sheetData>
  <autoFilter ref="A1:D29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6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14:41:39.439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14:41:39.439 | PlayerState: Idle</t>
        </is>
      </c>
    </row>
    <row r="3" ht="17" customHeight="1">
      <c r="A3" s="6">
        <v>2</v>
      </c>
      <c r="B3" s="6" t="inlineStr">
        <is>
          <t>2026-10-02 14:41:40.658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Missed</t>
        </is>
      </c>
      <c r="G3" s="6" t="inlineStr">
        <is>
          <t>Normal</t>
        </is>
      </c>
      <c r="M3" s="6">
        <v>7</v>
      </c>
      <c r="N3" s="6" t="inlineStr">
        <is>
          <t>2026-10-02 14:41:40.658 | Minigame: Alex | Type: HammerTouch | Outcome: Missed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14:41:41.105</t>
        </is>
      </c>
      <c r="C4" s="0" t="inlineStr">
        <is>
          <t>Interaction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M4" s="0">
        <v>8</v>
      </c>
      <c r="N4" s="0" t="inlineStr">
        <is>
          <t>2026-10-02 14:41:41.105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5" ht="17" customHeight="1">
      <c r="A5" s="6">
        <v>4</v>
      </c>
      <c r="B5" s="6" t="inlineStr">
        <is>
          <t>2026-10-02 14:41:41.105</t>
        </is>
      </c>
      <c r="C5" s="6" t="inlineStr">
        <is>
          <t>PlayerState</t>
        </is>
      </c>
      <c r="H5" s="6" t="inlineStr">
        <is>
          <t>Engaged</t>
        </is>
      </c>
      <c r="M5" s="6">
        <v>9</v>
      </c>
      <c r="N5" s="6" t="inlineStr">
        <is>
          <t>2026-10-02 14:41:41.105 | PlayerState: Engaged</t>
        </is>
      </c>
    </row>
    <row r="6" ht="17" customHeight="1">
      <c r="A6" s="0">
        <v>5</v>
      </c>
      <c r="B6" s="0" t="inlineStr">
        <is>
          <t>2026-10-02 14:41:41.105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14:41:41.105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14:41:41.896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14:41:41.896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14:41:42.173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14:41:42.173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14:41:42.659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14:41:42.659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14:41:42.951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14:41:42.951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14:41:43.396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0.0036</v>
      </c>
      <c r="M11" s="6">
        <v>15</v>
      </c>
      <c r="N11" s="6" t="inlineStr">
        <is>
          <t>2026-10-02 14:41:43.396 | Minigame: Alex | Type: HammerHit | Outcome: Success | Difficulty: Normal | ExpectedTime: 3.9680 | ActualTime: 3.9716 | TimingOffset: 0.0036 | TimingError: 0.0036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14:41:43.439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Success</t>
        </is>
      </c>
      <c r="G12" s="0" t="inlineStr">
        <is>
          <t>Normal</t>
        </is>
      </c>
      <c r="M12" s="0">
        <v>16</v>
      </c>
      <c r="N12" s="0" t="inlineStr">
        <is>
          <t>2026-10-02 14:41:43.439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14:41:44.146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0.0144</v>
      </c>
      <c r="M13" s="6">
        <v>17</v>
      </c>
      <c r="N13" s="6" t="inlineStr">
        <is>
          <t>2026-10-02 14:41:44.146 | Minigame: Alex | Type: HammerHit | Outcome: Success | Difficulty: Normal | ExpectedTime: 4.7360 | ActualTime: 4.7216 | TimingOffset: -0.0144 | TimingError: 0.0144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14:41:44.147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Failed</t>
        </is>
      </c>
      <c r="G14" s="0" t="inlineStr">
        <is>
          <t>Normal</t>
        </is>
      </c>
      <c r="K14" s="4">
        <v>0.0144</v>
      </c>
      <c r="M14" s="0">
        <v>18</v>
      </c>
      <c r="N14" s="0" t="inlineStr">
        <is>
          <t>2026-10-02 14:41:44.147 | Minigame: Alex | Type: HammerHit | Outcome: Failed | Difficulty: Normal | ExpectedTime: 4.7360 | ActualTime: 4.7216 | TimingOffset: -0.0144 | TimingError: 0.0144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14:41:44.939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K15" s="4">
        <v>0.0095</v>
      </c>
      <c r="M15" s="6">
        <v>19</v>
      </c>
      <c r="N15" s="6" t="inlineStr">
        <is>
          <t>2026-10-02 14:41:44.939 | Minigame: Alex | Type: HammerHit | Outcome: Success | Difficulty: Normal | ExpectedTime: 5.5040 | ActualTime: 5.5135 | TimingOffset: 0.0095 | TimingError: 0.0095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14:41:45.702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K16" s="4">
        <v>0.0054</v>
      </c>
      <c r="M16" s="0">
        <v>20</v>
      </c>
      <c r="N16" s="0" t="inlineStr">
        <is>
          <t>2026-10-02 14:41:45.702 | Minigame: Alex | Type: HammerHit | Outcome: Success | Difficulty: Normal | ExpectedTime: 6.2720 | ActualTime: 6.2774 | TimingOffset: 0.0054 | TimingError: 0.0054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14:41:46.021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Normal</t>
        </is>
      </c>
      <c r="M17" s="6">
        <v>21</v>
      </c>
      <c r="N17" s="6" t="inlineStr">
        <is>
          <t>2026-10-02 14:41:46.021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14:41:46.439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Normal</t>
        </is>
      </c>
      <c r="M18" s="0">
        <v>22</v>
      </c>
      <c r="N18" s="0" t="inlineStr">
        <is>
          <t>2026-10-02 14:41:46.439 | Minigame: Alex | Type: HammerTouch | Outcome: Success | Difficulty: Normal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14:41:47.217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K19" s="4">
        <v>0.0163</v>
      </c>
      <c r="M19" s="6">
        <v>23</v>
      </c>
      <c r="N19" s="6" t="inlineStr">
        <is>
          <t>2026-10-02 14:41:47.217 | Minigame: Alex | Type: HammerHit | Outcome: Success | Difficulty: Normal | ExpectedTime: 7.8080 | ActualTime: 7.7917 | TimingOffset: -0.0163 | TimingError: 0.0163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14:41:47.258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Normal</t>
        </is>
      </c>
      <c r="M20" s="0">
        <v>24</v>
      </c>
      <c r="N20" s="0" t="inlineStr">
        <is>
          <t>2026-10-02 14:41:47.258 | Minigame: Alex | Type: HammerTouch | Outcome: Success | Difficulty: Normal | ExpectedTime: 7.8080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14:41:47.994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K21" s="4">
        <v>0.0068</v>
      </c>
      <c r="M21" s="6">
        <v>25</v>
      </c>
      <c r="N21" s="6" t="inlineStr">
        <is>
          <t>2026-10-02 14:41:47.994 | Minigame: Alex | Type: HammerHit | Outcome: Success | Difficulty: Normal | ExpectedTime: 8.5760 | ActualTime: 8.5692 | TimingOffset: -0.0068 | TimingError: 0.0068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14:41:48.745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K22" s="4">
        <v>0.0248</v>
      </c>
      <c r="M22" s="0">
        <v>26</v>
      </c>
      <c r="N22" s="0" t="inlineStr">
        <is>
          <t>2026-10-02 14:41:48.745 | Minigame: Alex | Type: HammerHit | Outcome: Success | Difficulty: Normal | ExpectedTime: 9.3440 | ActualTime: 9.3192 | TimingOffset: -0.0248 | TimingError: 0.0248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14:41:48.745</t>
        </is>
      </c>
      <c r="C23" s="6" t="inlineStr">
        <is>
          <t>DifficultyChanged</t>
        </is>
      </c>
      <c r="D23" s="6" t="inlineStr">
        <is>
          <t>Alex</t>
        </is>
      </c>
      <c r="I23" s="6" t="inlineStr">
        <is>
          <t>Normal -&gt; Hard</t>
        </is>
      </c>
      <c r="J23" s="6" t="inlineStr">
        <is>
          <t>High recent performance</t>
        </is>
      </c>
      <c r="M23" s="6">
        <v>27</v>
      </c>
      <c r="N23" s="6" t="inlineStr">
        <is>
          <t>2026-10-02 14:41:48.745 | DifficultyChanged: Normal -&gt; Hard | Reason: High recent performance | Minigame: Alex | SuccessRate: 0.88</t>
        </is>
      </c>
    </row>
    <row r="24" ht="17" customHeight="1">
      <c r="A24" s="0">
        <v>23</v>
      </c>
      <c r="B24" s="0" t="inlineStr">
        <is>
          <t>2026-10-02 14:41:49.091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M24" s="0">
        <v>28</v>
      </c>
      <c r="N24" s="0" t="inlineStr">
        <is>
          <t>2026-10-02 14:41:49.091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14:41:49.854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Missed</t>
        </is>
      </c>
      <c r="G25" s="6" t="inlineStr">
        <is>
          <t>Hard</t>
        </is>
      </c>
      <c r="M25" s="6">
        <v>29</v>
      </c>
      <c r="N25" s="6" t="inlineStr">
        <is>
          <t>2026-10-02 14:41:49.854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14:41:50.242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M26" s="0">
        <v>30</v>
      </c>
      <c r="N26" s="0" t="inlineStr">
        <is>
          <t>2026-10-02 14:41:50.242 | Minigame: Alex | Type: HammerTouch | Outcome: Missed | Difficulty: Hard | ExpectedTime: 10.4960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14:41:50.244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M27" s="6">
        <v>31</v>
      </c>
      <c r="N27" s="6" t="inlineStr">
        <is>
          <t>2026-10-02 14:41:50.244 | Minigame: Alex | Type: HammerTouch | Outcome: Missed | Difficulty: Hard | ExpectedTime: 10.4960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14:41:50.272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K28" s="4">
        <v>0.0337</v>
      </c>
      <c r="M28" s="0">
        <v>32</v>
      </c>
      <c r="N28" s="0" t="inlineStr">
        <is>
          <t>2026-10-02 14:41:50.272 | Minigame: Alex | Type: HammerHit | Outcome: Success | Difficulty: Hard | ExpectedTime: 10.8800 | ActualTime: 10.8463 | TimingOffset: -0.0337 | TimingError: 0.0337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14:41:51.021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Hard</t>
        </is>
      </c>
      <c r="M29" s="6">
        <v>33</v>
      </c>
      <c r="N29" s="6" t="inlineStr">
        <is>
          <t>2026-10-02 14:41:51.021 | Minigame: Alex | Type: HammerTouch | Outcome: Missed | Difficulty: Hard | ExpectedTime: 11.2640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14:41:51.021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M30" s="0">
        <v>34</v>
      </c>
      <c r="N30" s="0" t="inlineStr">
        <is>
          <t>2026-10-02 14:41:51.021 | Minigame: Alex | Type: HammerTouch | Outcome: Missed | Difficulty: Hard | ExpectedTime: 11.2640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14:41:51.063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Hard</t>
        </is>
      </c>
      <c r="M31" s="6">
        <v>35</v>
      </c>
      <c r="N31" s="6" t="inlineStr">
        <is>
          <t>2026-10-02 14:41:51.063 | Minigame: Alex | Type: HammerTouch | Outcome: Success | Difficulty: Hard | ExpectedTime: 11.6480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14:41:51.063</t>
        </is>
      </c>
      <c r="C32" s="0" t="inlineStr">
        <is>
          <t>PlayerState</t>
        </is>
      </c>
      <c r="H32" s="0" t="inlineStr">
        <is>
          <t>Overloaded</t>
        </is>
      </c>
      <c r="M32" s="0">
        <v>36</v>
      </c>
      <c r="N32" s="0" t="inlineStr">
        <is>
          <t>2026-10-02 14:41:51.063 | PlayerState: Overloaded</t>
        </is>
      </c>
    </row>
    <row r="33" ht="17" customHeight="1">
      <c r="A33" s="6">
        <v>32</v>
      </c>
      <c r="B33" s="6" t="inlineStr">
        <is>
          <t>2026-10-02 14:41:51.064</t>
        </is>
      </c>
      <c r="C33" s="6" t="inlineStr">
        <is>
          <t>DifficultyChanged</t>
        </is>
      </c>
      <c r="D33" s="6" t="inlineStr">
        <is>
          <t>Alex</t>
        </is>
      </c>
      <c r="I33" s="6" t="inlineStr">
        <is>
          <t>Hard -&gt; Normal</t>
        </is>
      </c>
      <c r="J33" s="6" t="inlineStr">
        <is>
          <t>PlayerState: Overloaded</t>
        </is>
      </c>
      <c r="M33" s="6">
        <v>37</v>
      </c>
      <c r="N33" s="6" t="inlineStr">
        <is>
          <t>2026-10-02 14:41:51.064 | DifficultyChanged: Hard -&gt; Normal | Reason: PlayerState: Overloaded | Minigame: Alex | RecentSuccessRate: 0.14</t>
        </is>
      </c>
    </row>
    <row r="34" ht="17" customHeight="1">
      <c r="A34" s="0">
        <v>33</v>
      </c>
      <c r="B34" s="0" t="inlineStr">
        <is>
          <t>2026-10-02 14:41:51.077</t>
        </is>
      </c>
      <c r="C34" s="0" t="inlineStr">
        <is>
          <t>PlayerState</t>
        </is>
      </c>
      <c r="H34" s="0" t="inlineStr">
        <is>
          <t>Engaged</t>
        </is>
      </c>
      <c r="M34" s="0">
        <v>38</v>
      </c>
      <c r="N34" s="0" t="inlineStr">
        <is>
          <t>2026-10-02 14:41:51.077 | PlayerState: Engaged</t>
        </is>
      </c>
    </row>
    <row r="35" ht="17" customHeight="1">
      <c r="A35" s="6">
        <v>34</v>
      </c>
      <c r="B35" s="6" t="inlineStr">
        <is>
          <t>2026-10-02 14:41:51.772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Normal</t>
        </is>
      </c>
      <c r="M35" s="6">
        <v>39</v>
      </c>
      <c r="N35" s="6" t="inlineStr">
        <is>
          <t>2026-10-02 14:41:51.772 | Minigame: Alex | Type: HammerTouch | Outcome: Missed | Difficulty: Normal | ExpectedTime: 12.0320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14:41:51.772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Missed</t>
        </is>
      </c>
      <c r="G36" s="0" t="inlineStr">
        <is>
          <t>Normal</t>
        </is>
      </c>
      <c r="M36" s="0">
        <v>40</v>
      </c>
      <c r="N36" s="0" t="inlineStr">
        <is>
          <t>2026-10-02 14:41:51.772 | Minigame: Alex | Type: HammerTouch | Outcome: Missed | Difficulty: Normal | ExpectedTime: 12.0320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14:41:51.799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Normal</t>
        </is>
      </c>
      <c r="K37" s="4">
        <v>0.0416</v>
      </c>
      <c r="M37" s="6">
        <v>41</v>
      </c>
      <c r="N37" s="6" t="inlineStr">
        <is>
          <t>2026-10-02 14:41:51.799 | Minigame: Alex | Type: HammerHit | Outcome: Success | Difficulty: Normal | ExpectedTime: 12.4160 | ActualTime: 12.3744 | TimingOffset: -0.0416 | TimingError: 0.0416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14:41:52.535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Normal</t>
        </is>
      </c>
      <c r="K38" s="4">
        <v>0.0735</v>
      </c>
      <c r="M38" s="0">
        <v>42</v>
      </c>
      <c r="N38" s="0" t="inlineStr">
        <is>
          <t>2026-10-02 14:41:52.535 | Minigame: Alex | Type: HammerHit | Outcome: Success | Difficulty: Normal | ExpectedTime: 13.1840 | ActualTime: 13.1105 | TimingOffset: -0.0735 | TimingError: 0.0735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14:41:52.660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Normal</t>
        </is>
      </c>
      <c r="M39" s="6">
        <v>43</v>
      </c>
      <c r="N39" s="6" t="inlineStr">
        <is>
          <t>2026-10-02 14:41:52.660 | Minigame: Alex | Type: HammerTouch | Outcome: Success | Difficulty: Normal | ExpectedTime: 13.1840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14:41:53.341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Normal</t>
        </is>
      </c>
      <c r="M40" s="0">
        <v>44</v>
      </c>
      <c r="N40" s="0" t="inlineStr">
        <is>
          <t>2026-10-02 14:41:53.341 | Minigame: Alex | Type: HammerTouch | Outcome: Success | Difficulty: Normal | ExpectedTime: 13.9520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14:41:54.104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Normal</t>
        </is>
      </c>
      <c r="K41" s="4">
        <v>0.0407</v>
      </c>
      <c r="M41" s="6">
        <v>45</v>
      </c>
      <c r="N41" s="6" t="inlineStr">
        <is>
          <t>2026-10-02 14:41:54.104 | Minigame: Alex | Type: HammerHit | Outcome: Success | Difficulty: Normal | ExpectedTime: 14.7200 | ActualTime: 14.6793 | TimingOffset: -0.0407 | TimingError: 0.0407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14:41:54.119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Normal</t>
        </is>
      </c>
      <c r="K42" s="4">
        <v>0.0266</v>
      </c>
      <c r="M42" s="0">
        <v>46</v>
      </c>
      <c r="N42" s="0" t="inlineStr">
        <is>
          <t>2026-10-02 14:41:54.119 | Minigame: Alex | Type: HammerHit | Outcome: Failed | Difficulty: Normal | ExpectedTime: 14.7200 | ActualTime: 14.6934 | TimingOffset: -0.0266 | TimingError: 0.0266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14:41:54.882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Normal</t>
        </is>
      </c>
      <c r="M43" s="6">
        <v>47</v>
      </c>
      <c r="N43" s="6" t="inlineStr">
        <is>
          <t>2026-10-02 14:41:54.882 | Minigame: Alex | Type: HammerTouch | Outcome: Success | Difficulty: Normal | ExpectedTime: 15.4880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14:41:54.979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Normal</t>
        </is>
      </c>
      <c r="M44" s="0">
        <v>48</v>
      </c>
      <c r="N44" s="0" t="inlineStr">
        <is>
          <t>2026-10-02 14:41:54.979 | Minigame: Alex | Type: HammerTouch | Outcome: Success | Difficulty: Normal | ExpectedTime: 15.4880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14:41:54.980</t>
        </is>
      </c>
      <c r="C45" s="6" t="inlineStr">
        <is>
          <t>DifficultyChanged</t>
        </is>
      </c>
      <c r="D45" s="6" t="inlineStr">
        <is>
          <t>Alex</t>
        </is>
      </c>
      <c r="I45" s="6" t="inlineStr">
        <is>
          <t>Normal -&gt; Hard</t>
        </is>
      </c>
      <c r="J45" s="6" t="inlineStr">
        <is>
          <t>High recent performance</t>
        </is>
      </c>
      <c r="M45" s="6">
        <v>49</v>
      </c>
      <c r="N45" s="6" t="inlineStr">
        <is>
          <t>2026-10-02 14:41:54.980 | DifficultyChanged: Normal -&gt; Hard | Reason: High recent performance | Minigame: Alex | SuccessRate: 0.88</t>
        </is>
      </c>
    </row>
    <row r="46" ht="17" customHeight="1">
      <c r="A46" s="0">
        <v>45</v>
      </c>
      <c r="B46" s="0" t="inlineStr">
        <is>
          <t>2026-10-02 14:41:55.673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Failed</t>
        </is>
      </c>
      <c r="G46" s="0" t="inlineStr">
        <is>
          <t>Hard</t>
        </is>
      </c>
      <c r="K46" s="4">
        <v>0.0073</v>
      </c>
      <c r="M46" s="0">
        <v>50</v>
      </c>
      <c r="N46" s="0" t="inlineStr">
        <is>
          <t>2026-10-02 14:41:55.673 | Minigame: Alex | Type: HammerHit | Outcome: Failed | Difficulty: Hard | ExpectedTime: 16.2560 | ActualTime: 16.2487 | TimingOffset: -0.0073 | TimingError: 0.0073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14:41:56.020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14:41:56.020 | Minigame: Alex | Type: HammerTouch | Outcome: Missed | Difficulty: Hard | ExpectedTime: 16.2560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14:41:56.382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Hard</t>
        </is>
      </c>
      <c r="M48" s="0">
        <v>52</v>
      </c>
      <c r="N48" s="0" t="inlineStr">
        <is>
          <t>2026-10-02 14:41:56.382 | Minigame: Alex | Type: HammerTouch | Outcome: Missed | Difficulty: Hard | ExpectedTime: 16.6400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14:41:56.771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Hard</t>
        </is>
      </c>
      <c r="M49" s="6">
        <v>53</v>
      </c>
      <c r="N49" s="6" t="inlineStr">
        <is>
          <t>2026-10-02 14:41:56.771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14:41:56.771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M50" s="0">
        <v>54</v>
      </c>
      <c r="N50" s="0" t="inlineStr">
        <is>
          <t>2026-10-02 14:41:56.771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14:41:56.840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0.0074</v>
      </c>
      <c r="M51" s="6">
        <v>55</v>
      </c>
      <c r="N51" s="6" t="inlineStr">
        <is>
          <t>2026-10-02 14:41:56.840 | Minigame: Alex | Type: HammerHit | Outcome: Success | Difficulty: Hard | ExpectedTime: 17.4080 | ActualTime: 17.4154 | TimingOffset: 0.0074 | TimingError: 0.0074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14:41:56.840</t>
        </is>
      </c>
      <c r="C52" s="0" t="inlineStr">
        <is>
          <t>PlayerState</t>
        </is>
      </c>
      <c r="H52" s="0" t="inlineStr">
        <is>
          <t>Overloaded</t>
        </is>
      </c>
      <c r="M52" s="0">
        <v>56</v>
      </c>
      <c r="N52" s="0" t="inlineStr">
        <is>
          <t>2026-10-02 14:41:56.840 | PlayerState: Overloaded</t>
        </is>
      </c>
    </row>
    <row r="53" ht="17" customHeight="1">
      <c r="A53" s="6">
        <v>52</v>
      </c>
      <c r="B53" s="6" t="inlineStr">
        <is>
          <t>2026-10-02 14:41:56.840</t>
        </is>
      </c>
      <c r="C53" s="6" t="inlineStr">
        <is>
          <t>DifficultyChanged</t>
        </is>
      </c>
      <c r="D53" s="6" t="inlineStr">
        <is>
          <t>Alex</t>
        </is>
      </c>
      <c r="I53" s="6" t="inlineStr">
        <is>
          <t>Hard -&gt; Normal</t>
        </is>
      </c>
      <c r="J53" s="6" t="inlineStr">
        <is>
          <t>PlayerState: Overloaded</t>
        </is>
      </c>
      <c r="M53" s="6">
        <v>57</v>
      </c>
      <c r="N53" s="6" t="inlineStr">
        <is>
          <t>2026-10-02 14:41:56.840 | DifficultyChanged: Hard -&gt; Normal | Reason: PlayerState: Overloaded | Minigame: Alex | RecentSuccessRate: 0.00</t>
        </is>
      </c>
    </row>
    <row r="54" ht="17" customHeight="1">
      <c r="A54" s="0">
        <v>53</v>
      </c>
      <c r="B54" s="0" t="inlineStr">
        <is>
          <t>2026-10-02 14:41:56.855</t>
        </is>
      </c>
      <c r="C54" s="0" t="inlineStr">
        <is>
          <t>PlayerState</t>
        </is>
      </c>
      <c r="H54" s="0" t="inlineStr">
        <is>
          <t>Engaged</t>
        </is>
      </c>
      <c r="M54" s="0">
        <v>58</v>
      </c>
      <c r="N54" s="0" t="inlineStr">
        <is>
          <t>2026-10-02 14:41:56.855 | PlayerState: Engaged</t>
        </is>
      </c>
    </row>
    <row r="55" ht="17" customHeight="1">
      <c r="A55" s="6">
        <v>54</v>
      </c>
      <c r="B55" s="6" t="inlineStr">
        <is>
          <t>2026-10-02 14:41:57.534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Normal</t>
        </is>
      </c>
      <c r="M55" s="6">
        <v>59</v>
      </c>
      <c r="N55" s="6" t="inlineStr">
        <is>
          <t>2026-10-02 14:41:57.534 | Minigame: Alex | Type: HammerTouch | Outcome: Missed | Difficulty: Normal | ExpectedTime: 17.7920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14:41:57.534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Normal</t>
        </is>
      </c>
      <c r="M56" s="0">
        <v>60</v>
      </c>
      <c r="N56" s="0" t="inlineStr">
        <is>
          <t>2026-10-02 14:41:57.534 | Minigame: Alex | Type: HammerTouch | Outcome: Missed | Difficulty: Normal | ExpectedTime: 17.7920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14:41:57.952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Normal</t>
        </is>
      </c>
      <c r="K57" s="4">
        <v>0.0335</v>
      </c>
      <c r="M57" s="6">
        <v>61</v>
      </c>
      <c r="N57" s="6" t="inlineStr">
        <is>
          <t>2026-10-02 14:41:57.952 | Minigame: Alex | Type: HammerHit | Outcome: Success | Difficulty: Normal | ExpectedTime: 18.5600 | ActualTime: 18.5265 | TimingOffset: -0.0335 | TimingError: 0.0335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14:41:58.743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Failed</t>
        </is>
      </c>
      <c r="G58" s="0" t="inlineStr">
        <is>
          <t>Normal</t>
        </is>
      </c>
      <c r="K58" s="4">
        <v>0.0103</v>
      </c>
      <c r="M58" s="0">
        <v>62</v>
      </c>
      <c r="N58" s="0" t="inlineStr">
        <is>
          <t>2026-10-02 14:41:58.743 | Minigame: Alex | Type: HammerHit | Outcome: Failed | Difficulty: Normal | ExpectedTime: 19.3280 | ActualTime: 19.3177 | TimingOffset: -0.0103 | TimingError: 0.0103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14:41:58.757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K59" s="4">
        <v>0.0039</v>
      </c>
      <c r="M59" s="6">
        <v>63</v>
      </c>
      <c r="N59" s="6" t="inlineStr">
        <is>
          <t>2026-10-02 14:41:58.757 | Minigame: Alex | Type: HammerHit | Outcome: Success | Difficulty: Normal | ExpectedTime: 19.3280 | ActualTime: 19.3319 | TimingOffset: 0.0039 | TimingError: 0.0039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14:41:58.757</t>
        </is>
      </c>
      <c r="C60" s="0" t="inlineStr">
        <is>
          <t>PlayerState</t>
        </is>
      </c>
      <c r="H60" s="0" t="inlineStr">
        <is>
          <t>Overloaded</t>
        </is>
      </c>
      <c r="M60" s="0">
        <v>64</v>
      </c>
      <c r="N60" s="0" t="inlineStr">
        <is>
          <t>2026-10-02 14:41:58.757 | PlayerState: Overloaded</t>
        </is>
      </c>
    </row>
    <row r="61" ht="17" customHeight="1">
      <c r="A61" s="6">
        <v>60</v>
      </c>
      <c r="B61" s="6" t="inlineStr">
        <is>
          <t>2026-10-02 14:41:58.759</t>
        </is>
      </c>
      <c r="C61" s="6" t="inlineStr">
        <is>
          <t>DifficultyChanged</t>
        </is>
      </c>
      <c r="D61" s="6" t="inlineStr">
        <is>
          <t>Alex</t>
        </is>
      </c>
      <c r="I61" s="6" t="inlineStr">
        <is>
          <t>Normal -&gt; Easy</t>
        </is>
      </c>
      <c r="J61" s="6" t="inlineStr">
        <is>
          <t>PlayerState: Overloaded</t>
        </is>
      </c>
      <c r="M61" s="6">
        <v>65</v>
      </c>
      <c r="N61" s="6" t="inlineStr">
        <is>
          <t>2026-10-02 14:41:58.759 | DifficultyChanged: Normal -&gt; Easy | Reason: PlayerState: Overloaded | Minigame: Alex | RecentSuccessRate: 0.25</t>
        </is>
      </c>
    </row>
    <row r="62" ht="17" customHeight="1">
      <c r="A62" s="0">
        <v>61</v>
      </c>
      <c r="B62" s="0" t="inlineStr">
        <is>
          <t>2026-10-02 14:41:58.772</t>
        </is>
      </c>
      <c r="C62" s="0" t="inlineStr">
        <is>
          <t>PlayerState</t>
        </is>
      </c>
      <c r="H62" s="0" t="inlineStr">
        <is>
          <t>Engaged</t>
        </is>
      </c>
      <c r="M62" s="0">
        <v>66</v>
      </c>
      <c r="N62" s="0" t="inlineStr">
        <is>
          <t>2026-10-02 14:41:58.772 | PlayerState: Engaged</t>
        </is>
      </c>
    </row>
    <row r="63" ht="17" customHeight="1">
      <c r="A63" s="6">
        <v>62</v>
      </c>
      <c r="B63" s="6" t="inlineStr">
        <is>
          <t>2026-10-02 14:41:59.159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Easy</t>
        </is>
      </c>
      <c r="K63" s="4">
        <v>0.0223</v>
      </c>
      <c r="M63" s="6">
        <v>67</v>
      </c>
      <c r="N63" s="6" t="inlineStr">
        <is>
          <t>2026-10-02 14:41:59.159 | Minigame: Alex | Type: HammerHit | Outcome: Success | Difficulty: Easy | ExpectedTime: 19.7120 | ActualTime: 19.7343 | TimingOffset: 0.0223 | TimingError: 0.0223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14:42:00.284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Easy</t>
        </is>
      </c>
      <c r="K64" s="4">
        <v>0.0048</v>
      </c>
      <c r="M64" s="0">
        <v>68</v>
      </c>
      <c r="N64" s="0" t="inlineStr">
        <is>
          <t>2026-10-02 14:42:00.284 | Minigame: Alex | Type: HammerHit | Outcome: Success | Difficulty: Easy | ExpectedTime: 20.8640 | ActualTime: 20.8592 | TimingOffset: -0.0048 | TimingError: 0.0048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14:42:00.285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Failed</t>
        </is>
      </c>
      <c r="G65" s="6" t="inlineStr">
        <is>
          <t>Easy</t>
        </is>
      </c>
      <c r="K65" s="4">
        <v>0.0048</v>
      </c>
      <c r="M65" s="6">
        <v>69</v>
      </c>
      <c r="N65" s="6" t="inlineStr">
        <is>
          <t>2026-10-02 14:42:00.285 | Minigame: Alex | Type: HammerHit | Outcome: Failed | Difficulty: Easy | ExpectedTime: 20.8640 | ActualTime: 20.8592 | TimingOffset: -0.0048 | TimingError: 0.0048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14:42:01.812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Easy</t>
        </is>
      </c>
      <c r="K66" s="4">
        <v>0.0132</v>
      </c>
      <c r="M66" s="0">
        <v>70</v>
      </c>
      <c r="N66" s="0" t="inlineStr">
        <is>
          <t>2026-10-02 14:42:01.812 | Minigame: Alex | Type: HammerHit | Outcome: Success | Difficulty: Easy | ExpectedTime: 22.4000 | ActualTime: 22.3868 | TimingOffset: -0.0132 | TimingError: 0.0132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14:42:03.368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Easy</t>
        </is>
      </c>
      <c r="K67" s="4">
        <v>0.0063</v>
      </c>
      <c r="M67" s="6">
        <v>71</v>
      </c>
      <c r="N67" s="6" t="inlineStr">
        <is>
          <t>2026-10-02 14:42:03.368 | Minigame: Alex | Type: HammerHit | Outcome: Success | Difficulty: Easy | ExpectedTime: 23.9360 | ActualTime: 23.9423 | TimingOffset: 0.0063 | TimingError: 0.0063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14:42:03.382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Failed</t>
        </is>
      </c>
      <c r="G68" s="0" t="inlineStr">
        <is>
          <t>Easy</t>
        </is>
      </c>
      <c r="K68" s="4">
        <v>0.0205</v>
      </c>
      <c r="M68" s="0">
        <v>72</v>
      </c>
      <c r="N68" s="0" t="inlineStr">
        <is>
          <t>2026-10-02 14:42:03.382 | Minigame: Alex | Type: HammerHit | Outcome: Failed | Difficulty: Easy | ExpectedTime: 23.9360 | ActualTime: 23.9565 | TimingOffset: 0.0205 | TimingError: 0.0205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14:42:04.922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Success</t>
        </is>
      </c>
      <c r="G69" s="6" t="inlineStr">
        <is>
          <t>Easy</t>
        </is>
      </c>
      <c r="M69" s="6">
        <v>73</v>
      </c>
      <c r="N69" s="6" t="inlineStr">
        <is>
          <t>2026-10-02 14:42:04.922 | Minigame: Alex | Type: HammerTouch | Outcome: Success | Difficulty: Easy | ExpectedTime: 25.4720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14:42:06.450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Easy</t>
        </is>
      </c>
      <c r="M70" s="0">
        <v>74</v>
      </c>
      <c r="N70" s="0" t="inlineStr">
        <is>
          <t>2026-10-02 14:42:06.450 | Minigame: Alex | Type: HammerTouch | Outcome: Success | Difficulty: Easy | ExpectedTime: 27.0080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14:42:06.464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Success</t>
        </is>
      </c>
      <c r="G71" s="6" t="inlineStr">
        <is>
          <t>Easy</t>
        </is>
      </c>
      <c r="M71" s="6">
        <v>75</v>
      </c>
      <c r="N71" s="6" t="inlineStr">
        <is>
          <t>2026-10-02 14:42:06.464 | Minigame: Alex | Type: HammerTouch | Outcome: Success | Difficulty: Easy | ExpectedTime: 27.0080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14:42:07.979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Easy</t>
        </is>
      </c>
      <c r="K72" s="4">
        <v>0.0096</v>
      </c>
      <c r="M72" s="0">
        <v>76</v>
      </c>
      <c r="N72" s="0" t="inlineStr">
        <is>
          <t>2026-10-02 14:42:07.979 | Minigame: Alex | Type: HammerHit | Outcome: Success | Difficulty: Easy | ExpectedTime: 28.5440 | ActualTime: 28.5536 | TimingOffset: 0.0096 | TimingError: 0.0096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14:42:08.020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Success</t>
        </is>
      </c>
      <c r="G73" s="6" t="inlineStr">
        <is>
          <t>Easy</t>
        </is>
      </c>
      <c r="M73" s="6">
        <v>77</v>
      </c>
      <c r="N73" s="6" t="inlineStr">
        <is>
          <t>2026-10-02 14:42:08.020 | Minigame: Alex | Type: HammerTouch | Outcome: Success | Difficulty: Easy | ExpectedTime: 28.5440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14:42:08.021</t>
        </is>
      </c>
      <c r="C74" s="0" t="inlineStr">
        <is>
          <t>DifficultyChanged</t>
        </is>
      </c>
      <c r="D74" s="0" t="inlineStr">
        <is>
          <t>Alex</t>
        </is>
      </c>
      <c r="I74" s="0" t="inlineStr">
        <is>
          <t>Easy -&gt; Normal</t>
        </is>
      </c>
      <c r="J74" s="0" t="inlineStr">
        <is>
          <t>High recent performance</t>
        </is>
      </c>
      <c r="M74" s="0">
        <v>78</v>
      </c>
      <c r="N74" s="0" t="inlineStr">
        <is>
          <t>2026-10-02 14:42:08.021 | DifficultyChanged: Easy -&gt; Normal | Reason: High recent performance | Minigame: Alex | SuccessRate: 0.88</t>
        </is>
      </c>
    </row>
    <row r="75" ht="17" customHeight="1">
      <c r="A75" s="6">
        <v>74</v>
      </c>
      <c r="B75" s="6" t="inlineStr">
        <is>
          <t>2026-10-02 14:42:09.520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Success</t>
        </is>
      </c>
      <c r="G75" s="6" t="inlineStr">
        <is>
          <t>Normal</t>
        </is>
      </c>
      <c r="M75" s="6">
        <v>79</v>
      </c>
      <c r="N75" s="6" t="inlineStr">
        <is>
          <t>2026-10-02 14:42:09.520 | Minigame: Alex | Type: HammerTouch | Outcome: Success | Difficulty: Normal | ExpectedTime: 30.0800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14:42:09.520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Normal</t>
        </is>
      </c>
      <c r="M76" s="0">
        <v>80</v>
      </c>
      <c r="N76" s="0" t="inlineStr">
        <is>
          <t>2026-10-02 14:42:09.520 | Minigame: Alex | Type: HammerTouch | Outcome: Success | Difficulty: Normal | ExpectedTime: 30.0800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14:42:10.284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Normal</t>
        </is>
      </c>
      <c r="K77" s="4">
        <v>0.0109</v>
      </c>
      <c r="M77" s="6">
        <v>81</v>
      </c>
      <c r="N77" s="6" t="inlineStr">
        <is>
          <t>2026-10-02 14:42:10.284 | Minigame: Alex | Type: HammerHit | Outcome: Success | Difficulty: Normal | ExpectedTime: 30.8480 | ActualTime: 30.8589 | TimingOffset: 0.0109 | TimingError: 0.0109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14:42:16.101</t>
        </is>
      </c>
      <c r="C78" s="0" t="inlineStr">
        <is>
          <t>Interaction</t>
        </is>
      </c>
      <c r="D78" s="0" t="inlineStr">
        <is>
          <t>Joaquin</t>
        </is>
      </c>
      <c r="E78" s="0" t="inlineStr">
        <is>
          <t>GuitarHit</t>
        </is>
      </c>
      <c r="F78" s="0" t="inlineStr">
        <is>
          <t>Success</t>
        </is>
      </c>
      <c r="G78" s="0" t="inlineStr">
        <is>
          <t>Normal</t>
        </is>
      </c>
      <c r="K78" s="4">
        <v>0.1604</v>
      </c>
      <c r="M78" s="0">
        <v>82</v>
      </c>
      <c r="N78" s="0" t="inlineStr">
        <is>
          <t>2026-10-02 14:42:16.101 | Minigame: Joaquin | Type: GuitarHit | Outcome: Success | Difficulty: Normal | ExpectedTime: 33.9200 | ActualTime: 34.0804 | TimingOffset: 0.1604 | TimingError: 0.1604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14:42:18.144</t>
        </is>
      </c>
      <c r="C79" s="6" t="inlineStr">
        <is>
          <t>Interaction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Normal</t>
        </is>
      </c>
      <c r="K79" s="4">
        <v>0.102</v>
      </c>
      <c r="M79" s="6">
        <v>83</v>
      </c>
      <c r="N79" s="6" t="inlineStr">
        <is>
          <t>2026-10-02 14:42:18.144 | Minigame: Joaquin | Type: GuitarHit | Outcome: Success | Difficulty: Normal | ExpectedTime: 36.2240 | ActualTime: 36.1220 | TimingOffset: -0.1020 | TimingError: 0.1020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14:42:20.602</t>
        </is>
      </c>
      <c r="C80" s="0" t="inlineStr">
        <is>
          <t>Interaction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Normal</t>
        </is>
      </c>
      <c r="K80" s="4">
        <v>0.0523</v>
      </c>
      <c r="M80" s="0">
        <v>84</v>
      </c>
      <c r="N80" s="0" t="inlineStr">
        <is>
          <t>2026-10-02 14:42:20.602 | Minigame: Joaquin | Type: GuitarHit | Outcome: Success | Difficulty: Normal | ExpectedTime: 38.5280 | ActualTime: 38.5803 | TimingOffset: 0.0523 | TimingError: 0.0523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14:42:22.865</t>
        </is>
      </c>
      <c r="C81" s="6" t="inlineStr">
        <is>
          <t>Interaction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Normal</t>
        </is>
      </c>
      <c r="K81" s="4">
        <v>0.0128</v>
      </c>
      <c r="M81" s="6">
        <v>85</v>
      </c>
      <c r="N81" s="6" t="inlineStr">
        <is>
          <t>2026-10-02 14:42:22.865 | Minigame: Joaquin | Type: GuitarHit | Outcome: Success | Difficulty: Normal | ExpectedTime: 40.8320 | ActualTime: 40.8448 | TimingOffset: 0.0128 | TimingError: 0.0128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14:42:24.144</t>
        </is>
      </c>
      <c r="C82" s="0" t="inlineStr">
        <is>
          <t>Interaction</t>
        </is>
      </c>
      <c r="D82" s="0" t="inlineStr">
        <is>
          <t>Joaquin</t>
        </is>
      </c>
      <c r="E82" s="0" t="inlineStr">
        <is>
          <t>PlayerHit</t>
        </is>
      </c>
      <c r="F82" s="0" t="inlineStr">
        <is>
          <t>Failed</t>
        </is>
      </c>
      <c r="G82" s="0" t="inlineStr">
        <is>
          <t>Normal</t>
        </is>
      </c>
      <c r="M82" s="0">
        <v>86</v>
      </c>
      <c r="N82" s="0" t="inlineStr">
        <is>
          <t>2026-10-02 14:42:24.144 | Minigame: Joaquin | Type: PlayerHit | Outcome: Failed | Difficulty: Normal | ExpectedTime: 42.1223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14:42:25.005</t>
        </is>
      </c>
      <c r="C83" s="6" t="inlineStr">
        <is>
          <t>Interaction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Normal</t>
        </is>
      </c>
      <c r="K83" s="4">
        <v>0.1525</v>
      </c>
      <c r="M83" s="6">
        <v>87</v>
      </c>
      <c r="N83" s="6" t="inlineStr">
        <is>
          <t>2026-10-02 14:42:25.005 | Minigame: Joaquin | Type: GuitarHit | Outcome: Success | Difficulty: Normal | ExpectedTime: 43.1360 | ActualTime: 42.9835 | TimingOffset: -0.1525 | TimingError: 0.1525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14:42:27.602</t>
        </is>
      </c>
      <c r="C84" s="0" t="inlineStr">
        <is>
          <t>Interaction</t>
        </is>
      </c>
      <c r="D84" s="0" t="inlineStr">
        <is>
          <t>Joaquin</t>
        </is>
      </c>
      <c r="E84" s="0" t="inlineStr">
        <is>
          <t>GuitarHit</t>
        </is>
      </c>
      <c r="F84" s="0" t="inlineStr">
        <is>
          <t>Success</t>
        </is>
      </c>
      <c r="G84" s="0" t="inlineStr">
        <is>
          <t>Normal</t>
        </is>
      </c>
      <c r="K84" s="4">
        <v>0.1405</v>
      </c>
      <c r="M84" s="0">
        <v>88</v>
      </c>
      <c r="N84" s="0" t="inlineStr">
        <is>
          <t>2026-10-02 14:42:27.602 | Minigame: Joaquin | Type: GuitarHit | Outcome: Success | Difficulty: Normal | ExpectedTime: 45.4400 | ActualTime: 45.5805 | TimingOffset: 0.1405 | TimingError: 0.1405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14:42:29.464</t>
        </is>
      </c>
      <c r="C85" s="6" t="inlineStr">
        <is>
          <t>Interaction</t>
        </is>
      </c>
      <c r="D85" s="6" t="inlineStr">
        <is>
          <t>Joaquin</t>
        </is>
      </c>
      <c r="E85" s="6" t="inlineStr">
        <is>
          <t>PlayerHit</t>
        </is>
      </c>
      <c r="F85" s="6" t="inlineStr">
        <is>
          <t>Failed</t>
        </is>
      </c>
      <c r="G85" s="6" t="inlineStr">
        <is>
          <t>Normal</t>
        </is>
      </c>
      <c r="M85" s="6">
        <v>89</v>
      </c>
      <c r="N85" s="6" t="inlineStr">
        <is>
          <t>2026-10-02 14:42:29.464 | Minigame: Joaquin | Type: PlayerHit | Outcome: Failed | Difficulty: Normal | ExpectedTime: 47.4419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14:42:29.755</t>
        </is>
      </c>
      <c r="C86" s="0" t="inlineStr">
        <is>
          <t>Interaction</t>
        </is>
      </c>
      <c r="D86" s="0" t="inlineStr">
        <is>
          <t>Joaquin</t>
        </is>
      </c>
      <c r="E86" s="0" t="inlineStr">
        <is>
          <t>GuitarHit</t>
        </is>
      </c>
      <c r="F86" s="0" t="inlineStr">
        <is>
          <t>Success</t>
        </is>
      </c>
      <c r="G86" s="0" t="inlineStr">
        <is>
          <t>Normal</t>
        </is>
      </c>
      <c r="K86" s="4">
        <v>0.0109</v>
      </c>
      <c r="M86" s="0">
        <v>90</v>
      </c>
      <c r="N86" s="0" t="inlineStr">
        <is>
          <t>2026-10-02 14:42:29.755 | Minigame: Joaquin | Type: GuitarHit | Outcome: Success | Difficulty: Normal | ExpectedTime: 47.7440 | ActualTime: 47.7331 | TimingOffset: -0.0109 | TimingError: 0.0109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14:42:32.921</t>
        </is>
      </c>
      <c r="C87" s="6" t="inlineStr">
        <is>
          <t>Interaction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Normal</t>
        </is>
      </c>
      <c r="K87" s="4">
        <v>0.0835</v>
      </c>
      <c r="M87" s="6">
        <v>91</v>
      </c>
      <c r="N87" s="6" t="inlineStr">
        <is>
          <t>2026-10-02 14:42:32.921 | Minigame: Joaquin | Type: GuitarHit | Outcome: Success | Difficulty: Normal | ExpectedTime: 50.8160 | ActualTime: 50.8995 | TimingOffset: 0.0835 | TimingError: 0.0835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14:42:34.963</t>
        </is>
      </c>
      <c r="C88" s="0" t="inlineStr">
        <is>
          <t>Interaction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Normal</t>
        </is>
      </c>
      <c r="K88" s="4">
        <v>0.1791</v>
      </c>
      <c r="M88" s="0">
        <v>92</v>
      </c>
      <c r="N88" s="0" t="inlineStr">
        <is>
          <t>2026-10-02 14:42:34.963 | Minigame: Joaquin | Type: GuitarHit | Outcome: Success | Difficulty: Normal | ExpectedTime: 53.1200 | ActualTime: 52.9409 | TimingOffset: -0.1791 | TimingError: 0.1791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14:42:35.324</t>
        </is>
      </c>
      <c r="C89" s="6" t="inlineStr">
        <is>
          <t>Interaction</t>
        </is>
      </c>
      <c r="D89" s="6" t="inlineStr">
        <is>
          <t>Joaquin</t>
        </is>
      </c>
      <c r="E89" s="6" t="inlineStr">
        <is>
          <t>PlayerHit</t>
        </is>
      </c>
      <c r="F89" s="6" t="inlineStr">
        <is>
          <t>Failed</t>
        </is>
      </c>
      <c r="G89" s="6" t="inlineStr">
        <is>
          <t>Normal</t>
        </is>
      </c>
      <c r="M89" s="6">
        <v>93</v>
      </c>
      <c r="N89" s="6" t="inlineStr">
        <is>
          <t>2026-10-02 14:42:35.324 | Minigame: Joaquin | Type: PlayerHit | Outcome: Failed | Difficulty: Normal | ExpectedTime: 53.3021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14:42:38.406</t>
        </is>
      </c>
      <c r="C90" s="0" t="inlineStr">
        <is>
          <t>Interaction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Normal</t>
        </is>
      </c>
      <c r="K90" s="4">
        <v>0.1906</v>
      </c>
      <c r="M90" s="0">
        <v>94</v>
      </c>
      <c r="N90" s="0" t="inlineStr">
        <is>
          <t>2026-10-02 14:42:38.406 | Minigame: Joaquin | Type: GuitarHit | Outcome: Success | Difficulty: Normal | ExpectedTime: 56.5760 | ActualTime: 56.3854 | TimingOffset: -0.1906 | TimingError: 0.1906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14:42:40.726</t>
        </is>
      </c>
      <c r="C91" s="6" t="inlineStr">
        <is>
          <t>Interaction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Normal</t>
        </is>
      </c>
      <c r="K91" s="4">
        <v>0.1753</v>
      </c>
      <c r="M91" s="6">
        <v>95</v>
      </c>
      <c r="N91" s="6" t="inlineStr">
        <is>
          <t>2026-10-02 14:42:40.726 | Minigame: Joaquin | Type: GuitarHit | Outcome: Success | Difficulty: Normal | ExpectedTime: 58.8800 | ActualTime: 58.7047 | TimingOffset: -0.1753 | TimingError: 0.1753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14:42:43.796</t>
        </is>
      </c>
      <c r="C92" s="0" t="inlineStr">
        <is>
          <t>Interaction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Normal</t>
        </is>
      </c>
      <c r="K92" s="4">
        <v>0.1775</v>
      </c>
      <c r="M92" s="0">
        <v>96</v>
      </c>
      <c r="N92" s="0" t="inlineStr">
        <is>
          <t>2026-10-02 14:42:43.796 | Minigame: Joaquin | Type: GuitarHit | Outcome: Success | Difficulty: Normal | ExpectedTime: 61.9520 | ActualTime: 61.7745 | TimingOffset: -0.1775 | TimingError: 0.1775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14:42:48.798</t>
        </is>
      </c>
      <c r="C93" s="6" t="inlineStr">
        <is>
          <t>PlayerState</t>
        </is>
      </c>
      <c r="H93" s="6" t="inlineStr">
        <is>
          <t>Idle</t>
        </is>
      </c>
      <c r="M93" s="6">
        <v>97</v>
      </c>
      <c r="N93" s="6" t="inlineStr">
        <is>
          <t>2026-10-02 14:42:48.798 | PlayerState: Idle</t>
        </is>
      </c>
    </row>
    <row r="94" ht="17" customHeight="1">
      <c r="A94" s="0">
        <v>93</v>
      </c>
      <c r="B94" s="0" t="inlineStr">
        <is>
          <t>2026-10-02 14:42:48.980</t>
        </is>
      </c>
      <c r="C94" s="0" t="inlineStr">
        <is>
          <t>Interaction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Missed</t>
        </is>
      </c>
      <c r="G94" s="0" t="inlineStr">
        <is>
          <t>Normal</t>
        </is>
      </c>
      <c r="M94" s="0">
        <v>98</v>
      </c>
      <c r="N94" s="0" t="inlineStr">
        <is>
          <t>2026-10-02 14:42:48.980 | Minigame: Shipi | Type: FoodCut | Outcome: Missed | Difficulty: Normal | ExpectedTime: 66.2528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14:42:50.506</t>
        </is>
      </c>
      <c r="C95" s="6" t="inlineStr">
        <is>
          <t>Interaction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Missed</t>
        </is>
      </c>
      <c r="G95" s="6" t="inlineStr">
        <is>
          <t>Normal</t>
        </is>
      </c>
      <c r="M95" s="6">
        <v>99</v>
      </c>
      <c r="N95" s="6" t="inlineStr">
        <is>
          <t>2026-10-02 14:42:50.506 | Minigame: Shipi | Type: FoodCut | Outcome: Missed | Difficulty: Normal | ExpectedTime: 67.7888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14:42:51.936</t>
        </is>
      </c>
      <c r="C96" s="0" t="inlineStr">
        <is>
          <t>Interaction</t>
        </is>
      </c>
      <c r="D96" s="0" t="inlineStr">
        <is>
          <t>Shipi</t>
        </is>
      </c>
      <c r="E96" s="0" t="inlineStr">
        <is>
          <t>FoodCut</t>
        </is>
      </c>
      <c r="F96" s="0" t="inlineStr">
        <is>
          <t>Failed</t>
        </is>
      </c>
      <c r="G96" s="0" t="inlineStr">
        <is>
          <t>Normal</t>
        </is>
      </c>
      <c r="M96" s="0">
        <v>100</v>
      </c>
      <c r="N96" s="0" t="inlineStr">
        <is>
          <t>2026-10-02 14:42:51.936 | Minigame: Shipi | Type: FoodCut | Outcome: Failed | Difficulty: Normal | ExpectedTime: 69.3248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14:42:51.937</t>
        </is>
      </c>
      <c r="C97" s="6" t="inlineStr">
        <is>
          <t>PlayerState</t>
        </is>
      </c>
      <c r="H97" s="6" t="inlineStr">
        <is>
          <t>Engaged</t>
        </is>
      </c>
      <c r="M97" s="6">
        <v>101</v>
      </c>
      <c r="N97" s="6" t="inlineStr">
        <is>
          <t>2026-10-02 14:42:51.937 | PlayerState: Engaged</t>
        </is>
      </c>
    </row>
    <row r="98" ht="17" customHeight="1">
      <c r="A98" s="0">
        <v>97</v>
      </c>
      <c r="B98" s="0" t="inlineStr">
        <is>
          <t>2026-10-02 14:42:52.062</t>
        </is>
      </c>
      <c r="C98" s="0" t="inlineStr">
        <is>
          <t>Interaction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Success</t>
        </is>
      </c>
      <c r="G98" s="0" t="inlineStr">
        <is>
          <t>Normal</t>
        </is>
      </c>
      <c r="K98" s="4">
        <v>0.8206</v>
      </c>
      <c r="L98" s="4">
        <v>0.0242</v>
      </c>
      <c r="M98" s="0">
        <v>102</v>
      </c>
      <c r="N98" s="0" t="inlineStr">
        <is>
          <t>2026-10-02 14:42:52.062 | Minigame: Shipi | Type: FoodCut | Outcome: Success | Difficulty: Normal | ExpectedTime: 70.8608 | ActualTime: 70.0402 | TimingOffset: -0.8206 | TimingError: 0.8206 | ReactionTime: 0.0242 | SpatialAccuracy: N/A | DirectionAccuracy: 1.0000 | CorrectHand: N/A</t>
        </is>
      </c>
    </row>
    <row r="99" ht="17" customHeight="1">
      <c r="A99" s="6">
        <v>98</v>
      </c>
      <c r="B99" s="6" t="inlineStr">
        <is>
          <t>2026-10-02 14:42:53.603</t>
        </is>
      </c>
      <c r="C99" s="6" t="inlineStr">
        <is>
          <t>Interaction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Failed</t>
        </is>
      </c>
      <c r="G99" s="6" t="inlineStr">
        <is>
          <t>Normal</t>
        </is>
      </c>
      <c r="M99" s="6">
        <v>103</v>
      </c>
      <c r="N99" s="6" t="inlineStr">
        <is>
          <t>2026-10-02 14:42:53.603 | Minigame: Shipi | Type: FoodCut | Outcome: Failed | Difficulty: Normal | ExpectedTime: 72.3968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14:42:55.145</t>
        </is>
      </c>
      <c r="C100" s="0" t="inlineStr">
        <is>
          <t>Interaction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Failed</t>
        </is>
      </c>
      <c r="G100" s="0" t="inlineStr">
        <is>
          <t>Normal</t>
        </is>
      </c>
      <c r="M100" s="0">
        <v>104</v>
      </c>
      <c r="N100" s="0" t="inlineStr">
        <is>
          <t>2026-10-02 14:42:55.145 | Minigame: Shipi | Type: FoodCut | Outcome: Failed | Difficulty: Normal | ExpectedTime: 73.9328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14:42:58.186</t>
        </is>
      </c>
      <c r="C101" s="6" t="inlineStr">
        <is>
          <t>Interaction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Missed</t>
        </is>
      </c>
      <c r="G101" s="6" t="inlineStr">
        <is>
          <t>Normal</t>
        </is>
      </c>
      <c r="M101" s="6">
        <v>105</v>
      </c>
      <c r="N101" s="6" t="inlineStr">
        <is>
          <t>2026-10-02 14:42:58.186 | Minigame: Shipi | Type: FoodCut | Outcome: Missed | Difficulty: Normal | ExpectedTime: 75.4688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14:42:58.186</t>
        </is>
      </c>
      <c r="C102" s="0" t="inlineStr">
        <is>
          <t>PlayerState</t>
        </is>
      </c>
      <c r="H102" s="0" t="inlineStr">
        <is>
          <t>Overloaded</t>
        </is>
      </c>
      <c r="M102" s="0">
        <v>106</v>
      </c>
      <c r="N102" s="0" t="inlineStr">
        <is>
          <t>2026-10-02 14:42:58.186 | PlayerState: Overloaded</t>
        </is>
      </c>
    </row>
    <row r="103" ht="17" customHeight="1">
      <c r="A103" s="6">
        <v>102</v>
      </c>
      <c r="B103" s="6" t="inlineStr">
        <is>
          <t>2026-10-02 14:42:58.186</t>
        </is>
      </c>
      <c r="C103" s="6" t="inlineStr">
        <is>
          <t>DifficultyChanged</t>
        </is>
      </c>
      <c r="D103" s="6" t="inlineStr">
        <is>
          <t>Shipi</t>
        </is>
      </c>
      <c r="I103" s="6" t="inlineStr">
        <is>
          <t>Normal -&gt; Easy</t>
        </is>
      </c>
      <c r="J103" s="6" t="inlineStr">
        <is>
          <t>PlayerState: Overloaded</t>
        </is>
      </c>
      <c r="M103" s="6">
        <v>107</v>
      </c>
      <c r="N103" s="6" t="inlineStr">
        <is>
          <t>2026-10-02 14:42:58.186 | DifficultyChanged: Normal -&gt; Easy | Reason: PlayerState: Overloaded | Minigame: Shipi | RecentSuccessRate: 0.25</t>
        </is>
      </c>
    </row>
    <row r="104" ht="17" customHeight="1">
      <c r="A104" s="0">
        <v>103</v>
      </c>
      <c r="B104" s="0" t="inlineStr">
        <is>
          <t>2026-10-02 14:42:58.200</t>
        </is>
      </c>
      <c r="C104" s="0" t="inlineStr">
        <is>
          <t>PlayerState</t>
        </is>
      </c>
      <c r="H104" s="0" t="inlineStr">
        <is>
          <t>Engaged</t>
        </is>
      </c>
      <c r="M104" s="0">
        <v>108</v>
      </c>
      <c r="N104" s="0" t="inlineStr">
        <is>
          <t>2026-10-02 14:42:58.200 | PlayerState: Engaged</t>
        </is>
      </c>
    </row>
    <row r="105" ht="17" customHeight="1">
      <c r="A105" s="6">
        <v>104</v>
      </c>
      <c r="B105" s="6" t="inlineStr">
        <is>
          <t>2026-10-02 14:43:00.101</t>
        </is>
      </c>
      <c r="C105" s="6" t="inlineStr">
        <is>
          <t>Interaction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Missed</t>
        </is>
      </c>
      <c r="G105" s="6" t="inlineStr">
        <is>
          <t>Normal</t>
        </is>
      </c>
      <c r="M105" s="6">
        <v>109</v>
      </c>
      <c r="N105" s="6" t="inlineStr">
        <is>
          <t>2026-10-02 14:43:00.101 | Minigame: Shipi | Type: FoodCut | Outcome: Missed | Difficulty: Normal | ExpectedTime: 77.0048 | ActualTime: N/A | TimingOffset: N/A | TimingError: N/A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14:43:00.143</t>
        </is>
      </c>
      <c r="C106" s="0" t="inlineStr">
        <is>
          <t>PlayerState</t>
        </is>
      </c>
      <c r="H106" s="0" t="inlineStr">
        <is>
          <t>Idle</t>
        </is>
      </c>
      <c r="M106" s="0">
        <v>110</v>
      </c>
      <c r="N106" s="0" t="inlineStr">
        <is>
          <t>2026-10-02 14:43:00.143 | PlayerState: Idle</t>
        </is>
      </c>
    </row>
    <row r="107" ht="17" customHeight="1">
      <c r="A107" s="6">
        <v>106</v>
      </c>
      <c r="B107" s="6" t="inlineStr">
        <is>
          <t>2026-10-02 14:43:02.034</t>
        </is>
      </c>
      <c r="C107" s="6" t="inlineStr">
        <is>
          <t>Interaction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Missed</t>
        </is>
      </c>
      <c r="G107" s="6" t="inlineStr">
        <is>
          <t>Normal</t>
        </is>
      </c>
      <c r="M107" s="6">
        <v>111</v>
      </c>
      <c r="N107" s="6" t="inlineStr">
        <is>
          <t>2026-10-02 14:43:02.034 | Minigame: Shipi | Type: FoodCut | Outcome: Missed | Difficulty: Normal | ExpectedTime: 79.1360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14:43:02.047</t>
        </is>
      </c>
      <c r="C108" s="0" t="inlineStr">
        <is>
          <t>Interaction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Success</t>
        </is>
      </c>
      <c r="G108" s="0" t="inlineStr">
        <is>
          <t>Easy</t>
        </is>
      </c>
      <c r="K108" s="4">
        <v>1.0308</v>
      </c>
      <c r="L108" s="4">
        <v>0.0252</v>
      </c>
      <c r="M108" s="0">
        <v>112</v>
      </c>
      <c r="N108" s="0" t="inlineStr">
        <is>
          <t>2026-10-02 14:43:02.047 | Minigame: Shipi | Type: FoodCut | Outcome: Success | Difficulty: Easy | ExpectedTime: 81.0560 | ActualTime: 80.0252 | TimingOffset: -1.0308 | TimingError: 1.0308 | ReactionTime: 0.0252 | SpatialAccuracy: N/A | DirectionAccuracy: 1.0000 | CorrectHand: N/A</t>
        </is>
      </c>
    </row>
    <row r="109" ht="17" customHeight="1">
      <c r="A109" s="6">
        <v>108</v>
      </c>
      <c r="B109" s="6" t="inlineStr">
        <is>
          <t>2026-10-02 14:43:02.047</t>
        </is>
      </c>
      <c r="C109" s="6" t="inlineStr">
        <is>
          <t>PlayerState</t>
        </is>
      </c>
      <c r="H109" s="6" t="inlineStr">
        <is>
          <t>Engaged</t>
        </is>
      </c>
      <c r="M109" s="6">
        <v>113</v>
      </c>
      <c r="N109" s="6" t="inlineStr">
        <is>
          <t>2026-10-02 14:43:02.047 | PlayerState: Engaged</t>
        </is>
      </c>
    </row>
    <row r="110" ht="17" customHeight="1">
      <c r="A110" s="0">
        <v>109</v>
      </c>
      <c r="B110" s="0" t="inlineStr">
        <is>
          <t>2026-10-02 14:43:04.102</t>
        </is>
      </c>
      <c r="C110" s="0" t="inlineStr">
        <is>
          <t>Interaction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Easy</t>
        </is>
      </c>
      <c r="K110" s="4">
        <v>0.8955</v>
      </c>
      <c r="L110" s="4">
        <v>0.1605</v>
      </c>
      <c r="M110" s="0">
        <v>114</v>
      </c>
      <c r="N110" s="0" t="inlineStr">
        <is>
          <t>2026-10-02 14:43:04.102 | Minigame: Shipi | Type: FoodCut | Outcome: Failed | Difficulty: Easy | ExpectedTime: 82.9760 | ActualTime: 82.0805 | TimingOffset: -0.8955 | TimingError: 0.8955 | ReactionTime: 0.1605 | SpatialAccuracy: N/A | DirectionAccuracy: 0.0000 | CorrectHand: N/A</t>
        </is>
      </c>
    </row>
    <row r="111" ht="17" customHeight="1">
      <c r="A111" s="6">
        <v>110</v>
      </c>
      <c r="B111" s="6" t="inlineStr">
        <is>
          <t>2026-10-02 14:43:06.393</t>
        </is>
      </c>
      <c r="C111" s="6" t="inlineStr">
        <is>
          <t>Interaction</t>
        </is>
      </c>
      <c r="D111" s="6" t="inlineStr">
        <is>
          <t>Shipi</t>
        </is>
      </c>
      <c r="E111" s="6" t="inlineStr">
        <is>
          <t>FoodCut</t>
        </is>
      </c>
      <c r="F111" s="6" t="inlineStr">
        <is>
          <t>Failed</t>
        </is>
      </c>
      <c r="G111" s="6" t="inlineStr">
        <is>
          <t>Easy</t>
        </is>
      </c>
      <c r="M111" s="6">
        <v>115</v>
      </c>
      <c r="N111" s="6" t="inlineStr">
        <is>
          <t>2026-10-02 14:43:06.393 | Minigame: Shipi | Type: FoodCut | Outcome: Failed | Difficulty: Easy | ExpectedTime: 84.8960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14:43:08.143</t>
        </is>
      </c>
      <c r="C112" s="0" t="inlineStr">
        <is>
          <t>Interaction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Failed</t>
        </is>
      </c>
      <c r="G112" s="0" t="inlineStr">
        <is>
          <t>Easy</t>
        </is>
      </c>
      <c r="M112" s="0">
        <v>116</v>
      </c>
      <c r="N112" s="0" t="inlineStr">
        <is>
          <t>2026-10-02 14:43:08.143 | Minigame: Shipi | Type: FoodCut | Outcome: Failed | Difficulty: Easy | ExpectedTime: 86.8160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14:43:10.241</t>
        </is>
      </c>
      <c r="C113" s="6" t="inlineStr">
        <is>
          <t>Interaction</t>
        </is>
      </c>
      <c r="D113" s="6" t="inlineStr">
        <is>
          <t>Shipi</t>
        </is>
      </c>
      <c r="E113" s="6" t="inlineStr">
        <is>
          <t>FoodCut</t>
        </is>
      </c>
      <c r="F113" s="6" t="inlineStr">
        <is>
          <t>Failed</t>
        </is>
      </c>
      <c r="G113" s="6" t="inlineStr">
        <is>
          <t>Easy</t>
        </is>
      </c>
      <c r="K113" s="4">
        <v>0.5168</v>
      </c>
      <c r="L113" s="4">
        <v>0.5392</v>
      </c>
      <c r="M113" s="6">
        <v>117</v>
      </c>
      <c r="N113" s="6" t="inlineStr">
        <is>
          <t>2026-10-02 14:43:10.241 | Minigame: Shipi | Type: FoodCut | Outcome: Failed | Difficulty: Easy | ExpectedTime: 88.7360 | ActualTime: 88.2192 | TimingOffset: -0.5168 | TimingError: 0.5168 | ReactionTime: 0.5392 | SpatialAccuracy: N/A | DirectionAccuracy: 0.0000 | CorrectHand: N/A</t>
        </is>
      </c>
    </row>
    <row r="114" ht="17" customHeight="1">
      <c r="A114" s="0">
        <v>113</v>
      </c>
      <c r="B114" s="0" t="inlineStr">
        <is>
          <t>2026-10-02 14:43:10.241</t>
        </is>
      </c>
      <c r="C114" s="0" t="inlineStr">
        <is>
          <t>PlayerState</t>
        </is>
      </c>
      <c r="H114" s="0" t="inlineStr">
        <is>
          <t>Overloaded</t>
        </is>
      </c>
      <c r="M114" s="0">
        <v>118</v>
      </c>
      <c r="N114" s="0" t="inlineStr">
        <is>
          <t>2026-10-02 14:43:10.241 | PlayerState: Overloaded</t>
        </is>
      </c>
    </row>
    <row r="115" ht="17" customHeight="1">
      <c r="A115" s="6">
        <v>114</v>
      </c>
      <c r="B115" s="6" t="inlineStr">
        <is>
          <t>2026-10-02 14:43:12.644</t>
        </is>
      </c>
      <c r="C115" s="6" t="inlineStr">
        <is>
          <t>Interaction</t>
        </is>
      </c>
      <c r="D115" s="6" t="inlineStr">
        <is>
          <t>Shipi</t>
        </is>
      </c>
      <c r="E115" s="6" t="inlineStr">
        <is>
          <t>FoodCut</t>
        </is>
      </c>
      <c r="F115" s="6" t="inlineStr">
        <is>
          <t>Success</t>
        </is>
      </c>
      <c r="G115" s="6" t="inlineStr">
        <is>
          <t>Easy</t>
        </is>
      </c>
      <c r="K115" s="4">
        <v>0.0332</v>
      </c>
      <c r="L115" s="4">
        <v>1.0228</v>
      </c>
      <c r="M115" s="6">
        <v>119</v>
      </c>
      <c r="N115" s="6" t="inlineStr">
        <is>
          <t>2026-10-02 14:43:12.644 | Minigame: Shipi | Type: FoodCut | Outcome: Success | Difficulty: Easy | ExpectedTime: 90.6560 | ActualTime: 90.6228 | TimingOffset: -0.0332 | TimingError: 0.0332 | ReactionTime: 1.0228 | SpatialAccuracy: N/A | DirectionAccuracy: 1.0000 | CorrectHand: N/A</t>
        </is>
      </c>
    </row>
    <row r="116" ht="17" customHeight="1">
      <c r="A116" s="0">
        <v>115</v>
      </c>
      <c r="B116" s="0" t="inlineStr">
        <is>
          <t>2026-10-02 14:43:14.242</t>
        </is>
      </c>
      <c r="C116" s="0" t="inlineStr">
        <is>
          <t>Interaction</t>
        </is>
      </c>
      <c r="D116" s="0" t="inlineStr">
        <is>
          <t>Shipi</t>
        </is>
      </c>
      <c r="E116" s="0" t="inlineStr">
        <is>
          <t>FoodCut</t>
        </is>
      </c>
      <c r="F116" s="0" t="inlineStr">
        <is>
          <t>Success</t>
        </is>
      </c>
      <c r="G116" s="0" t="inlineStr">
        <is>
          <t>Easy</t>
        </is>
      </c>
      <c r="K116" s="4">
        <v>0.3553</v>
      </c>
      <c r="L116" s="4">
        <v>0.7007</v>
      </c>
      <c r="M116" s="0">
        <v>120</v>
      </c>
      <c r="N116" s="0" t="inlineStr">
        <is>
          <t>2026-10-02 14:43:14.242 | Minigame: Shipi | Type: FoodCut | Outcome: Success | Difficulty: Easy | ExpectedTime: 92.5760 | ActualTime: 92.2207 | TimingOffset: -0.3553 | TimingError: 0.3553 | ReactionTime: 0.7007 | SpatialAccuracy: N/A | DirectionAccuracy: 1.0000 | CorrectHand: N/A</t>
        </is>
      </c>
    </row>
    <row r="117" ht="17" customHeight="1">
      <c r="A117" s="6">
        <v>116</v>
      </c>
      <c r="B117" s="6" t="inlineStr">
        <is>
          <t>2026-10-02 14:43:18.325</t>
        </is>
      </c>
      <c r="C117" s="6" t="inlineStr">
        <is>
          <t>Interaction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Failed</t>
        </is>
      </c>
      <c r="G117" s="6" t="inlineStr">
        <is>
          <t>Easy</t>
        </is>
      </c>
      <c r="K117" s="4">
        <v>0.3941</v>
      </c>
      <c r="M117" s="6">
        <v>121</v>
      </c>
      <c r="N117" s="6" t="inlineStr">
        <is>
          <t>2026-10-02 14:43:18.325 | Minigame: JuanAndres | Type: GroomStroke | Outcome: Failed | Difficulty: Easy | ExpectedTime: 94.9760 | ActualTime: 94.5819 | TimingOffset: -0.3941 | TimingError: 0.3941 | ReactionTime: N/A | SpatialAccuracy: N/A | DirectionAccuracy: 0.0000 | CorrectHand: False</t>
        </is>
      </c>
    </row>
    <row r="118" ht="17" customHeight="1">
      <c r="A118" s="0">
        <v>117</v>
      </c>
      <c r="B118" s="0" t="inlineStr">
        <is>
          <t>2026-10-02 14:43:18.325</t>
        </is>
      </c>
      <c r="C118" s="0" t="inlineStr">
        <is>
          <t>PlayerState</t>
        </is>
      </c>
      <c r="H118" s="0" t="inlineStr">
        <is>
          <t>Engaged</t>
        </is>
      </c>
      <c r="M118" s="0">
        <v>122</v>
      </c>
      <c r="N118" s="0" t="inlineStr">
        <is>
          <t>2026-10-02 14:43:18.325 | PlayerState: Engaged</t>
        </is>
      </c>
    </row>
    <row r="119" ht="17" customHeight="1">
      <c r="A119" s="6">
        <v>118</v>
      </c>
      <c r="B119" s="6" t="inlineStr">
        <is>
          <t>2026-10-02 14:43:21.825</t>
        </is>
      </c>
      <c r="C119" s="6" t="inlineStr">
        <is>
          <t>Interaction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Failed</t>
        </is>
      </c>
      <c r="G119" s="6" t="inlineStr">
        <is>
          <t>Easy</t>
        </is>
      </c>
      <c r="K119" s="4">
        <v>1.9312</v>
      </c>
      <c r="M119" s="6">
        <v>123</v>
      </c>
      <c r="N119" s="6" t="inlineStr">
        <is>
          <t>2026-10-02 14:43:21.825 | Minigame: JuanAndres | Type: GroomStroke | Outcome: Failed | Difficulty: Easy | ExpectedTime: 97.6640 | ActualTime: 99.5952 | TimingOffset: 1.9312 | TimingError: 1.9312 | ReactionTime: N/A | SpatialAccuracy: N/A | DirectionAccuracy: 0.0000 | CorrectHand: True</t>
        </is>
      </c>
    </row>
    <row r="120" ht="17" customHeight="1">
      <c r="A120" s="0">
        <v>119</v>
      </c>
      <c r="B120" s="0" t="inlineStr">
        <is>
          <t>2026-10-02 14:43:24.159</t>
        </is>
      </c>
      <c r="C120" s="0" t="inlineStr">
        <is>
          <t>Interaction</t>
        </is>
      </c>
      <c r="D120" s="0" t="inlineStr">
        <is>
          <t>JuanAndres</t>
        </is>
      </c>
      <c r="E120" s="0" t="inlineStr">
        <is>
          <t>GroomStroke</t>
        </is>
      </c>
      <c r="F120" s="0" t="inlineStr">
        <is>
          <t>Missed</t>
        </is>
      </c>
      <c r="G120" s="0" t="inlineStr">
        <is>
          <t>Easy</t>
        </is>
      </c>
      <c r="M120" s="0">
        <v>124</v>
      </c>
      <c r="N120" s="0" t="inlineStr">
        <is>
          <t>2026-10-02 14:43:24.159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14:43:26.824</t>
        </is>
      </c>
      <c r="C121" s="6" t="inlineStr">
        <is>
          <t>PlayerState</t>
        </is>
      </c>
      <c r="H121" s="6" t="inlineStr">
        <is>
          <t>Idle</t>
        </is>
      </c>
      <c r="M121" s="6">
        <v>125</v>
      </c>
      <c r="N121" s="6" t="inlineStr">
        <is>
          <t>2026-10-02 14:43:26.824 | PlayerState: Idle</t>
        </is>
      </c>
    </row>
    <row r="122" ht="17" customHeight="1">
      <c r="A122" s="0">
        <v>121</v>
      </c>
      <c r="B122" s="0" t="inlineStr">
        <is>
          <t>2026-10-02 14:43:29.143</t>
        </is>
      </c>
      <c r="C122" s="0" t="inlineStr">
        <is>
          <t>Interaction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Missed</t>
        </is>
      </c>
      <c r="G122" s="0" t="inlineStr">
        <is>
          <t>Easy</t>
        </is>
      </c>
      <c r="M122" s="0">
        <v>126</v>
      </c>
      <c r="N122" s="0" t="inlineStr">
        <is>
          <t>2026-10-02 14:43:29.143 | Minigame: JuanAndres | Type: GroomStroke | Outcome: Missed | Difficulty: Easy | ExpectedTime: 101.1200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14:43:30.686</t>
        </is>
      </c>
      <c r="C123" s="6" t="inlineStr">
        <is>
          <t>Interaction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Missed</t>
        </is>
      </c>
      <c r="G123" s="6" t="inlineStr">
        <is>
          <t>Easy</t>
        </is>
      </c>
      <c r="M123" s="6">
        <v>127</v>
      </c>
      <c r="N123" s="6" t="inlineStr">
        <is>
          <t>2026-10-02 14:43:30.686 | Minigame: JuanAndres | Type: GroomStroke | Outcome: Missed | Difficulty: Easy | ExpectedTime: 102.6560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14:43:31.283</t>
        </is>
      </c>
      <c r="C124" s="0" t="inlineStr">
        <is>
          <t>Interaction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Failed</t>
        </is>
      </c>
      <c r="G124" s="0" t="inlineStr">
        <is>
          <t>Easy</t>
        </is>
      </c>
      <c r="K124" s="4">
        <v>1.0624</v>
      </c>
      <c r="M124" s="0">
        <v>128</v>
      </c>
      <c r="N124" s="0" t="inlineStr">
        <is>
          <t>2026-10-02 14:43:31.283 | Minigame: JuanAndres | Type: GroomStroke | Outcome: Failed | Difficulty: Easy | ExpectedTime: 108.0320 | ActualTime: 109.0944 | TimingOffset: 1.0624 | TimingError: 1.0624 | ReactionTime: N/A | SpatialAccuracy: N/A | DirectionAccuracy: 0.0000 | CorrectHand: True</t>
        </is>
      </c>
    </row>
    <row r="125" ht="17" customHeight="1">
      <c r="A125" s="6">
        <v>124</v>
      </c>
      <c r="B125" s="6" t="inlineStr">
        <is>
          <t>2026-10-02 14:43:31.283</t>
        </is>
      </c>
      <c r="C125" s="6" t="inlineStr">
        <is>
          <t>PlayerState</t>
        </is>
      </c>
      <c r="H125" s="6" t="inlineStr">
        <is>
          <t>Engaged</t>
        </is>
      </c>
      <c r="M125" s="6">
        <v>129</v>
      </c>
      <c r="N125" s="6" t="inlineStr">
        <is>
          <t>2026-10-02 14:43:31.283 | PlayerState: Engaged</t>
        </is>
      </c>
    </row>
    <row r="126" ht="17" customHeight="1">
      <c r="A126" s="0">
        <v>125</v>
      </c>
      <c r="B126" s="0" t="inlineStr">
        <is>
          <t>2026-10-02 14:43:36.282</t>
        </is>
      </c>
      <c r="C126" s="0" t="inlineStr">
        <is>
          <t>PlayerState</t>
        </is>
      </c>
      <c r="H126" s="0" t="inlineStr">
        <is>
          <t>Idle</t>
        </is>
      </c>
      <c r="M126" s="0">
        <v>130</v>
      </c>
      <c r="N126" s="0" t="inlineStr">
        <is>
          <t>2026-10-02 14:43:36.282 | PlayerState: Idle</t>
        </is>
      </c>
    </row>
    <row r="127" ht="17" customHeight="1">
      <c r="A127" s="6">
        <v>126</v>
      </c>
      <c r="B127" s="6" t="inlineStr">
        <is>
          <t>2026-10-02 14:43:37.212</t>
        </is>
      </c>
      <c r="C127" s="6" t="inlineStr">
        <is>
          <t>Interaction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Missed</t>
        </is>
      </c>
      <c r="G127" s="6" t="inlineStr">
        <is>
          <t>Easy</t>
        </is>
      </c>
      <c r="M127" s="6">
        <v>131</v>
      </c>
      <c r="N127" s="6" t="inlineStr">
        <is>
          <t>2026-10-02 14:43:37.212 | Minigame: JuanAndres | Type: GroomStroke | Outcome: Missed | Difficulty: Easy | ExpectedTime: 109.1840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14:43:39.129</t>
        </is>
      </c>
      <c r="C128" s="0" t="inlineStr">
        <is>
          <t>Interaction</t>
        </is>
      </c>
      <c r="D128" s="0" t="inlineStr">
        <is>
          <t>JuanAndres</t>
        </is>
      </c>
      <c r="E128" s="0" t="inlineStr">
        <is>
          <t>GroomStroke</t>
        </is>
      </c>
      <c r="F128" s="0" t="inlineStr">
        <is>
          <t>Missed</t>
        </is>
      </c>
      <c r="G128" s="0" t="inlineStr">
        <is>
          <t>Easy</t>
        </is>
      </c>
      <c r="M128" s="0">
        <v>132</v>
      </c>
      <c r="N128" s="0" t="inlineStr">
        <is>
          <t>2026-10-02 14:43:39.129 | Minigame: JuanAndres | Type: GroomStroke | Outcome: Missed | Difficulty: Easy | ExpectedTime: 111.1040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14:43:41.462</t>
        </is>
      </c>
      <c r="C129" s="6" t="inlineStr">
        <is>
          <t>Interaction</t>
        </is>
      </c>
      <c r="D129" s="6" t="inlineStr">
        <is>
          <t>JuanAndres</t>
        </is>
      </c>
      <c r="E129" s="6" t="inlineStr">
        <is>
          <t>GroomStroke</t>
        </is>
      </c>
      <c r="F129" s="6" t="inlineStr">
        <is>
          <t>Success</t>
        </is>
      </c>
      <c r="G129" s="6" t="inlineStr">
        <is>
          <t>Easy</t>
        </is>
      </c>
      <c r="K129" s="4">
        <v>3.1368</v>
      </c>
      <c r="M129" s="6">
        <v>133</v>
      </c>
      <c r="N129" s="6" t="inlineStr">
        <is>
          <t>2026-10-02 14:43:41.462 | Minigame: JuanAndres | Type: GroomStroke | Outcome: Success | Difficulty: Easy | ExpectedTime: 116.0960 | ActualTime: 119.2328 | TimingOffset: 3.1368 | TimingError: 3.1368 | ReactionTime: N/A | SpatialAccuracy: N/A | DirectionAccuracy: 1.0000 | CorrectHand: True</t>
        </is>
      </c>
    </row>
    <row r="130" ht="17" customHeight="1">
      <c r="A130" s="0">
        <v>129</v>
      </c>
      <c r="B130" s="0" t="inlineStr">
        <is>
          <t>2026-10-02 14:43:41.464</t>
        </is>
      </c>
      <c r="C130" s="0" t="inlineStr">
        <is>
          <t>PlayerState</t>
        </is>
      </c>
      <c r="H130" s="0" t="inlineStr">
        <is>
          <t>Engaged</t>
        </is>
      </c>
      <c r="M130" s="0">
        <v>134</v>
      </c>
      <c r="N130" s="0" t="inlineStr">
        <is>
          <t>2026-10-02 14:43:41.464 | PlayerState: Engaged</t>
        </is>
      </c>
    </row>
    <row r="131" ht="17" customHeight="1">
      <c r="A131" s="6">
        <v>130</v>
      </c>
      <c r="B131" s="6" t="inlineStr">
        <is>
          <t>2026-10-02 14:43:41.755</t>
        </is>
      </c>
      <c r="C131" s="6" t="inlineStr">
        <is>
          <t>Interaction</t>
        </is>
      </c>
      <c r="D131" s="6" t="inlineStr">
        <is>
          <t>JuanAndres</t>
        </is>
      </c>
      <c r="E131" s="6" t="inlineStr">
        <is>
          <t>GroomStroke</t>
        </is>
      </c>
      <c r="F131" s="6" t="inlineStr">
        <is>
          <t>Failed</t>
        </is>
      </c>
      <c r="G131" s="6" t="inlineStr">
        <is>
          <t>Easy</t>
        </is>
      </c>
      <c r="K131" s="4">
        <v>0.3835</v>
      </c>
      <c r="M131" s="6">
        <v>135</v>
      </c>
      <c r="N131" s="6" t="inlineStr">
        <is>
          <t>2026-10-02 14:43:41.755 | Minigame: JuanAndres | Type: GroomStroke | Outcome: Failed | Difficulty: Easy | ExpectedTime: 119.9360 | ActualTime: 119.5525 | TimingOffset: -0.3835 | TimingError: 0.3835 | ReactionTime: N/A | SpatialAccuracy: N/A | DirectionAccuracy: 0.0000 | CorrectHand: True</t>
        </is>
      </c>
    </row>
    <row r="132" ht="17" customHeight="1">
      <c r="A132" s="0">
        <v>131</v>
      </c>
      <c r="B132" s="0" t="inlineStr">
        <is>
          <t>2026-10-02 14:43:43.297</t>
        </is>
      </c>
      <c r="C132" s="0" t="inlineStr">
        <is>
          <t>Interaction</t>
        </is>
      </c>
      <c r="D132" s="0" t="inlineStr">
        <is>
          <t>JuanAndres</t>
        </is>
      </c>
      <c r="E132" s="0" t="inlineStr">
        <is>
          <t>GroomStroke</t>
        </is>
      </c>
      <c r="F132" s="0" t="inlineStr">
        <is>
          <t>Failed</t>
        </is>
      </c>
      <c r="G132" s="0" t="inlineStr">
        <is>
          <t>Easy</t>
        </is>
      </c>
      <c r="K132" s="4">
        <v>2.7781</v>
      </c>
      <c r="M132" s="0">
        <v>136</v>
      </c>
      <c r="N132" s="0" t="inlineStr">
        <is>
          <t>2026-10-02 14:43:43.297 | Minigame: JuanAndres | Type: GroomStroke | Outcome: Failed | Difficulty: Easy | ExpectedTime: 118.4000 | ActualTime: 121.1781 | TimingOffset: 2.7781 | TimingError: 2.7781 | ReactionTime: N/A | SpatialAccuracy: N/A | DirectionAccuracy: 0.0000 | CorrectHand: True</t>
        </is>
      </c>
    </row>
    <row r="133" ht="17" customHeight="1">
      <c r="A133" s="6">
        <v>132</v>
      </c>
      <c r="B133" s="6" t="inlineStr">
        <is>
          <t>2026-10-02 14:43:44.505</t>
        </is>
      </c>
      <c r="C133" s="6" t="inlineStr">
        <is>
          <t>Interaction</t>
        </is>
      </c>
      <c r="D133" s="6" t="inlineStr">
        <is>
          <t>JuanAndres</t>
        </is>
      </c>
      <c r="E133" s="6" t="inlineStr">
        <is>
          <t>GroomStroke</t>
        </is>
      </c>
      <c r="F133" s="6" t="inlineStr">
        <is>
          <t>Failed</t>
        </is>
      </c>
      <c r="G133" s="6" t="inlineStr">
        <is>
          <t>Easy</t>
        </is>
      </c>
      <c r="K133" s="4">
        <v>0.887</v>
      </c>
      <c r="M133" s="6">
        <v>137</v>
      </c>
      <c r="N133" s="6" t="inlineStr">
        <is>
          <t>2026-10-02 14:43:44.505 | Minigame: JuanAndres | Type: GroomStroke | Outcome: Failed | Difficulty: Easy | ExpectedTime: 121.4720 | ActualTime: 122.3590 | TimingOffset: 0.8870 | TimingError: 0.8870 | ReactionTime: N/A | SpatialAccuracy: N/A | DirectionAccuracy: 0.0000 | CorrectHand: False</t>
        </is>
      </c>
    </row>
    <row r="134" ht="17" customHeight="1">
      <c r="A134" s="0">
        <v>133</v>
      </c>
      <c r="B134" s="0" t="inlineStr">
        <is>
          <t>2026-10-02 14:43:49.462</t>
        </is>
      </c>
      <c r="C134" s="0" t="inlineStr">
        <is>
          <t>Interaction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Success</t>
        </is>
      </c>
      <c r="G134" s="0" t="inlineStr">
        <is>
          <t>Easy</t>
        </is>
      </c>
      <c r="K134" s="4">
        <v>0.1391</v>
      </c>
      <c r="M134" s="0">
        <v>138</v>
      </c>
      <c r="N134" s="0" t="inlineStr">
        <is>
          <t>2026-10-02 14:43:49.462 | Minigame: Danniel | Type: GunShoot | Outcome: Success | Difficulty: Easy | ExpectedTime: 127.2320 | ActualTime: 127.3711 | TimingOffset: 0.1391 | TimingError: 0.1391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14:43:50.074</t>
        </is>
      </c>
      <c r="C135" s="6" t="inlineStr">
        <is>
          <t>Interaction</t>
        </is>
      </c>
      <c r="D135" s="6" t="inlineStr">
        <is>
          <t>Danniel</t>
        </is>
      </c>
      <c r="E135" s="6" t="inlineStr">
        <is>
          <t>PlayerHit</t>
        </is>
      </c>
      <c r="F135" s="6" t="inlineStr">
        <is>
          <t>Failed</t>
        </is>
      </c>
      <c r="G135" s="6" t="inlineStr">
        <is>
          <t>Easy</t>
        </is>
      </c>
      <c r="M135" s="6">
        <v>139</v>
      </c>
      <c r="N135" s="6" t="inlineStr">
        <is>
          <t>2026-10-02 14:43:50.074 | Minigame: Danniel | Type: PlayerHit | Outcome: Failed | Difficulty: Easy | ExpectedTime: 128.0527 | ActualTime: N/A | TimingOffset: N/A | TimingError: N/A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14:43:53.365</t>
        </is>
      </c>
      <c r="C136" s="0" t="inlineStr">
        <is>
          <t>Interaction</t>
        </is>
      </c>
      <c r="D136" s="0" t="inlineStr">
        <is>
          <t>Danniel</t>
        </is>
      </c>
      <c r="E136" s="0" t="inlineStr">
        <is>
          <t>PlayerHit</t>
        </is>
      </c>
      <c r="F136" s="0" t="inlineStr">
        <is>
          <t>Failed</t>
        </is>
      </c>
      <c r="G136" s="0" t="inlineStr">
        <is>
          <t>Easy</t>
        </is>
      </c>
      <c r="M136" s="0">
        <v>140</v>
      </c>
      <c r="N136" s="0" t="inlineStr">
        <is>
          <t>2026-10-02 14:43:53.365 | Minigame: Danniel | Type: PlayerHit | Outcome: Failed | Difficulty: Easy | ExpectedTime: 131.3432 | ActualTime: N/A | TimingOffset: N/A | TimingError: N/A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14:43:54.017</t>
        </is>
      </c>
      <c r="C137" s="6" t="inlineStr">
        <is>
          <t>Interaction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Success</t>
        </is>
      </c>
      <c r="G137" s="6" t="inlineStr">
        <is>
          <t>Easy</t>
        </is>
      </c>
      <c r="K137" s="4">
        <v>0.0252</v>
      </c>
      <c r="M137" s="6">
        <v>141</v>
      </c>
      <c r="N137" s="6" t="inlineStr">
        <is>
          <t>2026-10-02 14:43:54.017 | Minigame: Danniel | Type: GunShoot | Outcome: Success | Difficulty: Easy | ExpectedTime: 131.4560 | ActualTime: 131.4812 | TimingOffset: 0.0252 | TimingError: 0.0252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14:43:55.254</t>
        </is>
      </c>
      <c r="C138" s="0" t="inlineStr">
        <is>
          <t>Interaction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Failed</t>
        </is>
      </c>
      <c r="G138" s="0" t="inlineStr">
        <is>
          <t>Easy</t>
        </is>
      </c>
      <c r="M138" s="0">
        <v>142</v>
      </c>
      <c r="N138" s="0" t="inlineStr">
        <is>
          <t>2026-10-02 14:43:55.254 | Minigame: Danniel | Type: GunShoot | Outcome: Failed | Difficulty: Easy | ExpectedTime: 133.2323 | ActualTime: N/A | TimingOffset: N/A | TimingError: N/A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14:43:55.254</t>
        </is>
      </c>
      <c r="C139" s="6" t="inlineStr">
        <is>
          <t>PlayerState</t>
        </is>
      </c>
      <c r="H139" s="6" t="inlineStr">
        <is>
          <t>Overloaded</t>
        </is>
      </c>
      <c r="M139" s="6">
        <v>143</v>
      </c>
      <c r="N139" s="6" t="inlineStr">
        <is>
          <t>2026-10-02 14:43:55.254 | PlayerState: Overloaded</t>
        </is>
      </c>
    </row>
    <row r="140" ht="17" customHeight="1">
      <c r="A140" s="0">
        <v>139</v>
      </c>
      <c r="B140" s="0" t="inlineStr">
        <is>
          <t>2026-10-02 14:43:55.657</t>
        </is>
      </c>
      <c r="C140" s="0" t="inlineStr">
        <is>
          <t>Interaction</t>
        </is>
      </c>
      <c r="D140" s="0" t="inlineStr">
        <is>
          <t>Danniel</t>
        </is>
      </c>
      <c r="E140" s="0" t="inlineStr">
        <is>
          <t>PlayerHit</t>
        </is>
      </c>
      <c r="F140" s="0" t="inlineStr">
        <is>
          <t>Failed</t>
        </is>
      </c>
      <c r="G140" s="0" t="inlineStr">
        <is>
          <t>Easy</t>
        </is>
      </c>
      <c r="M140" s="0">
        <v>144</v>
      </c>
      <c r="N140" s="0" t="inlineStr">
        <is>
          <t>2026-10-02 14:43:55.657 | Minigame: Danniel | Type: PlayerHit | Outcome: Failed | Difficulty: Easy | ExpectedTime: 133.6352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14:43:56.074</t>
        </is>
      </c>
      <c r="C141" s="6" t="inlineStr">
        <is>
          <t>Interaction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Success</t>
        </is>
      </c>
      <c r="G141" s="6" t="inlineStr">
        <is>
          <t>Easy</t>
        </is>
      </c>
      <c r="K141" s="4">
        <v>0.0833</v>
      </c>
      <c r="M141" s="6">
        <v>145</v>
      </c>
      <c r="N141" s="6" t="inlineStr">
        <is>
          <t>2026-10-02 14:43:56.074 | Minigame: Danniel | Type: GunShoot | Outcome: Success | Difficulty: Easy | ExpectedTime: 133.7600 | ActualTime: 133.6767 | TimingOffset: -0.0833 | TimingError: 0.0833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14:43:58.615</t>
        </is>
      </c>
      <c r="C142" s="0" t="inlineStr">
        <is>
          <t>Interaction</t>
        </is>
      </c>
      <c r="D142" s="0" t="inlineStr">
        <is>
          <t>Danniel</t>
        </is>
      </c>
      <c r="E142" s="0" t="inlineStr">
        <is>
          <t>GunShoot</t>
        </is>
      </c>
      <c r="F142" s="0" t="inlineStr">
        <is>
          <t>Success</t>
        </is>
      </c>
      <c r="G142" s="0" t="inlineStr">
        <is>
          <t>Easy</t>
        </is>
      </c>
      <c r="K142" s="4">
        <v>0.1366</v>
      </c>
      <c r="M142" s="0">
        <v>146</v>
      </c>
      <c r="N142" s="0" t="inlineStr">
        <is>
          <t>2026-10-02 14:43:58.615 | Minigame: Danniel | Type: GunShoot | Outcome: Success | Difficulty: Easy | ExpectedTime: 136.0640 | ActualTime: 135.9274 | TimingOffset: -0.1366 | TimingError: 0.1366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14:44:00.185</t>
        </is>
      </c>
      <c r="C143" s="6" t="inlineStr">
        <is>
          <t>Interaction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Success</t>
        </is>
      </c>
      <c r="G143" s="6" t="inlineStr">
        <is>
          <t>Easy</t>
        </is>
      </c>
      <c r="K143" s="4">
        <v>0.1452</v>
      </c>
      <c r="M143" s="6">
        <v>147</v>
      </c>
      <c r="N143" s="6" t="inlineStr">
        <is>
          <t>2026-10-02 14:44:00.185 | Minigame: Danniel | Type: GunShoot | Outcome: Success | Difficulty: Easy | ExpectedTime: 137.6000 | ActualTime: 137.4548 | TimingOffset: -0.1452 | TimingError: 0.1452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14:44:00.643</t>
        </is>
      </c>
      <c r="C144" s="0" t="inlineStr">
        <is>
          <t>Interaction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Failed</t>
        </is>
      </c>
      <c r="G144" s="0" t="inlineStr">
        <is>
          <t>Easy</t>
        </is>
      </c>
      <c r="M144" s="0">
        <v>148</v>
      </c>
      <c r="N144" s="0" t="inlineStr">
        <is>
          <t>2026-10-02 14:44:00.643 | Minigame: Danniel | Type: GunShoot | Outcome: Failed | Difficulty: Easy | ExpectedTime: 138.6216 | ActualTime: N/A | TimingOffset: N/A | TimingError: N/A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14:44:01.740</t>
        </is>
      </c>
      <c r="C145" s="6" t="inlineStr">
        <is>
          <t>Interaction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Success</t>
        </is>
      </c>
      <c r="G145" s="6" t="inlineStr">
        <is>
          <t>Easy</t>
        </is>
      </c>
      <c r="K145" s="4">
        <v>0.1118</v>
      </c>
      <c r="M145" s="6">
        <v>149</v>
      </c>
      <c r="N145" s="6" t="inlineStr">
        <is>
          <t>2026-10-02 14:44:01.740 | Minigame: Danniel | Type: GunShoot | Outcome: Success | Difficulty: Easy | ExpectedTime: 139.1360 | ActualTime: 139.0242 | TimingOffset: -0.1118 | TimingError: 0.1118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14:44:03.906</t>
        </is>
      </c>
      <c r="C146" s="0" t="inlineStr">
        <is>
          <t>Interaction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Failed</t>
        </is>
      </c>
      <c r="G146" s="0" t="inlineStr">
        <is>
          <t>Easy</t>
        </is>
      </c>
      <c r="M146" s="0">
        <v>150</v>
      </c>
      <c r="N146" s="0" t="inlineStr">
        <is>
          <t>2026-10-02 14:44:03.906 | Minigame: Danniel | Type: GunShoot | Outcome: Failed | Difficulty: Easy | ExpectedTime: 141.8849 | ActualTime: N/A | TimingOffset: N/A | TimingError: N/A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14:44:03.934</t>
        </is>
      </c>
      <c r="C147" s="6" t="inlineStr">
        <is>
          <t>Interaction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Success</t>
        </is>
      </c>
      <c r="G147" s="6" t="inlineStr">
        <is>
          <t>Easy</t>
        </is>
      </c>
      <c r="K147" s="4">
        <v>0.0652</v>
      </c>
      <c r="M147" s="6">
        <v>151</v>
      </c>
      <c r="N147" s="6" t="inlineStr">
        <is>
          <t>2026-10-02 14:44:03.934 | Minigame: Danniel | Type: GunShoot | Outcome: Success | Difficulty: Easy | ExpectedTime: 141.0560 | ActualTime: 141.1212 | TimingOffset: 0.0652 | TimingError: 0.0652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14:44:08.934</t>
        </is>
      </c>
      <c r="C148" s="0" t="inlineStr">
        <is>
          <t>PlayerState</t>
        </is>
      </c>
      <c r="H148" s="0" t="inlineStr">
        <is>
          <t>Idle</t>
        </is>
      </c>
      <c r="M148" s="0">
        <v>152</v>
      </c>
      <c r="N148" s="0" t="inlineStr">
        <is>
          <t>2026-10-02 14:44:08.934 | PlayerState: Idle</t>
        </is>
      </c>
    </row>
    <row r="149" ht="17" customHeight="1">
      <c r="A149" s="6">
        <v>148</v>
      </c>
      <c r="B149" s="6" t="inlineStr">
        <is>
          <t>2026-10-02 14:44:10.322</t>
        </is>
      </c>
      <c r="C149" s="6" t="inlineStr">
        <is>
          <t>Interaction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Failed</t>
        </is>
      </c>
      <c r="G149" s="6" t="inlineStr">
        <is>
          <t>Easy</t>
        </is>
      </c>
      <c r="M149" s="6">
        <v>153</v>
      </c>
      <c r="N149" s="6" t="inlineStr">
        <is>
          <t>2026-10-02 14:44:10.322 | Minigame: Danniel | Type: GunShoot | Outcome: Failed | Difficulty: Easy | ExpectedTime: 148.3014 | ActualTime: N/A | TimingOffset: N/A | TimingError: N/A | ReactionTime: N/A | SpatialAccuracy: N/A | DirectionAccuracy: N/A | CorrectHand: N/A</t>
        </is>
      </c>
    </row>
    <row r="150" ht="17" customHeight="1">
      <c r="A150" s="0">
        <v>149</v>
      </c>
      <c r="B150" s="0" t="inlineStr">
        <is>
          <t>2026-10-02 14:44:10.324</t>
        </is>
      </c>
      <c r="C150" s="0" t="inlineStr">
        <is>
          <t>PlayerState</t>
        </is>
      </c>
      <c r="H150" s="0" t="inlineStr">
        <is>
          <t>Engaged</t>
        </is>
      </c>
      <c r="M150" s="0">
        <v>154</v>
      </c>
      <c r="N150" s="0" t="inlineStr">
        <is>
          <t>2026-10-02 14:44:10.324 | PlayerState: Engaged</t>
        </is>
      </c>
    </row>
    <row r="151" ht="17" customHeight="1">
      <c r="A151" s="6">
        <v>150</v>
      </c>
      <c r="B151" s="6" t="inlineStr">
        <is>
          <t>2026-10-02 14:44:10.865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Success</t>
        </is>
      </c>
      <c r="G151" s="6" t="inlineStr">
        <is>
          <t>Easy</t>
        </is>
      </c>
      <c r="K151" s="4">
        <v>0.0141</v>
      </c>
      <c r="M151" s="6">
        <v>155</v>
      </c>
      <c r="N151" s="6" t="inlineStr">
        <is>
          <t>2026-10-02 14:44:10.865 | Minigame: Danniel | Type: GunShoot | Outcome: Success | Difficulty: Easy | ExpectedTime: 147.9680 | ActualTime: 147.9821 | TimingOffset: 0.0141 | TimingError: 0.0141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14:44:13.142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Success</t>
        </is>
      </c>
      <c r="G152" s="0" t="inlineStr">
        <is>
          <t>Easy</t>
        </is>
      </c>
      <c r="K152" s="4">
        <v>0.1771</v>
      </c>
      <c r="M152" s="0">
        <v>156</v>
      </c>
      <c r="N152" s="0" t="inlineStr">
        <is>
          <t>2026-10-02 14:44:13.142 | Minigame: Danniel | Type: GunShoot | Outcome: Success | Difficulty: Easy | ExpectedTime: 149.8880 | ActualTime: 150.0651 | TimingOffset: 0.1771 | TimingError: 0.1771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14:44:13.684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Failed</t>
        </is>
      </c>
      <c r="G153" s="6" t="inlineStr">
        <is>
          <t>Easy</t>
        </is>
      </c>
      <c r="M153" s="6">
        <v>157</v>
      </c>
      <c r="N153" s="6" t="inlineStr">
        <is>
          <t>2026-10-02 14:44:13.684 | Minigame: Danniel | Type: GunShoot | Outcome: Failed | Difficulty: Easy | ExpectedTime: 151.6623 | ActualTime: N/A | TimingOffset: N/A | TimingError: N/A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14:44:14.934</t>
        </is>
      </c>
      <c r="C154" s="0" t="inlineStr">
        <is>
          <t>Interaction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Missed</t>
        </is>
      </c>
      <c r="G154" s="0" t="inlineStr">
        <is>
          <t>Easy</t>
        </is>
      </c>
      <c r="M154" s="0">
        <v>158</v>
      </c>
      <c r="N154" s="0" t="inlineStr">
        <is>
          <t>2026-10-02 14:44:14.934 | Minigame: Danniel | Type: GunShoot | Outcome: Missed | Difficulty: Easy | ExpectedTime: 152.9119 | ActualTime: N/A | TimingOffset: N/A | TimingError: N/A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14:44:14.935</t>
        </is>
      </c>
      <c r="C155" s="6" t="inlineStr">
        <is>
          <t>PlayerState</t>
        </is>
      </c>
      <c r="H155" s="6" t="inlineStr">
        <is>
          <t>Overloaded</t>
        </is>
      </c>
      <c r="M155" s="6">
        <v>159</v>
      </c>
      <c r="N155" s="6" t="inlineStr">
        <is>
          <t>2026-10-02 14:44:14.935 | PlayerState: Overloaded</t>
        </is>
      </c>
    </row>
    <row r="156" ht="17" customHeight="1">
      <c r="A156" s="0">
        <v>155</v>
      </c>
      <c r="B156" s="0" t="inlineStr">
        <is>
          <t>2026-10-02 14:44:17.059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Failed</t>
        </is>
      </c>
      <c r="G156" s="0" t="inlineStr">
        <is>
          <t>Easy</t>
        </is>
      </c>
      <c r="M156" s="0">
        <v>160</v>
      </c>
      <c r="N156" s="0" t="inlineStr">
        <is>
          <t>2026-10-02 14:44:17.059 | Minigame: Danniel | Type: GunShoot | Outcome: Failed | Difficulty: Easy | ExpectedTime: 155.0373 | ActualTime: N/A | TimingOffset: N/A | TimingError: N/A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14:44:22.059</t>
        </is>
      </c>
      <c r="C157" s="6" t="inlineStr">
        <is>
          <t>PlayerState</t>
        </is>
      </c>
      <c r="H157" s="6" t="inlineStr">
        <is>
          <t>Idle</t>
        </is>
      </c>
      <c r="M157" s="6">
        <v>161</v>
      </c>
      <c r="N157" s="6" t="inlineStr">
        <is>
          <t>2026-10-02 14:44:22.059 | PlayerState: Idle</t>
        </is>
      </c>
    </row>
    <row r="158" ht="17" customHeight="1">
      <c r="A158" s="0">
        <v>157</v>
      </c>
      <c r="B158" s="0" t="inlineStr">
        <is>
          <t>2026-10-02 14:44:27.363</t>
        </is>
      </c>
      <c r="C158" s="0" t="inlineStr">
        <is>
          <t>Interaction</t>
        </is>
      </c>
      <c r="D158" s="0" t="inlineStr">
        <is>
          <t>Jeremy</t>
        </is>
      </c>
      <c r="E158" s="0" t="inlineStr">
        <is>
          <t>SwordCut</t>
        </is>
      </c>
      <c r="F158" s="0" t="inlineStr">
        <is>
          <t>Failed</t>
        </is>
      </c>
      <c r="G158" s="0" t="inlineStr">
        <is>
          <t>Easy</t>
        </is>
      </c>
      <c r="K158" s="4">
        <v>0.0656</v>
      </c>
      <c r="M158" s="0">
        <v>162</v>
      </c>
      <c r="N158" s="0" t="inlineStr">
        <is>
          <t>2026-10-02 14:44:27.363 | Minigame: Jeremy | Type: SwordCut | Outcome: Failed | Difficulty: Easy | ExpectedTime: 165.4073 | ActualTime: 165.3418 | TimingOffset: -0.0656 | TimingError: 0.0656 | ReactionTime: N/A | SpatialAccuracy: N/A | DirectionAccuracy: 0.0000 | CorrectHand: True</t>
        </is>
      </c>
    </row>
    <row r="159" ht="17" customHeight="1">
      <c r="A159" s="6">
        <v>158</v>
      </c>
      <c r="B159" s="6" t="inlineStr">
        <is>
          <t>2026-10-02 14:44:27.364</t>
        </is>
      </c>
      <c r="C159" s="6" t="inlineStr">
        <is>
          <t>PlayerState</t>
        </is>
      </c>
      <c r="H159" s="6" t="inlineStr">
        <is>
          <t>Engaged</t>
        </is>
      </c>
      <c r="M159" s="6">
        <v>163</v>
      </c>
      <c r="N159" s="6" t="inlineStr">
        <is>
          <t>2026-10-02 14:44:27.364 | PlayerState: Engaged</t>
        </is>
      </c>
    </row>
    <row r="160" ht="17" customHeight="1">
      <c r="A160" s="0">
        <v>159</v>
      </c>
      <c r="B160" s="0" t="inlineStr">
        <is>
          <t>2026-10-02 14:44:29.779</t>
        </is>
      </c>
      <c r="C160" s="0" t="inlineStr">
        <is>
          <t>Interaction</t>
        </is>
      </c>
      <c r="D160" s="0" t="inlineStr">
        <is>
          <t>Jeremy</t>
        </is>
      </c>
      <c r="E160" s="0" t="inlineStr">
        <is>
          <t>SwordCut</t>
        </is>
      </c>
      <c r="F160" s="0" t="inlineStr">
        <is>
          <t>Failed</t>
        </is>
      </c>
      <c r="G160" s="0" t="inlineStr">
        <is>
          <t>Easy</t>
        </is>
      </c>
      <c r="K160" s="4">
        <v>0.0517</v>
      </c>
      <c r="M160" s="0">
        <v>164</v>
      </c>
      <c r="N160" s="0" t="inlineStr">
        <is>
          <t>2026-10-02 14:44:29.779 | Minigame: Jeremy | Type: SwordCut | Outcome: Failed | Difficulty: Easy | ExpectedTime: 167.7061 | ActualTime: 167.7578 | TimingOffset: 0.0517 | TimingError: 0.0517 | ReactionTime: N/A | SpatialAccuracy: N/A | DirectionAccuracy: 0.0000 | CorrectHand: True</t>
        </is>
      </c>
    </row>
    <row r="161" ht="17" customHeight="1">
      <c r="A161" s="6">
        <v>160</v>
      </c>
      <c r="B161" s="6" t="inlineStr">
        <is>
          <t>2026-10-02 14:44:32.043</t>
        </is>
      </c>
      <c r="C161" s="6" t="inlineStr">
        <is>
          <t>Interaction</t>
        </is>
      </c>
      <c r="D161" s="6" t="inlineStr">
        <is>
          <t>Jeremy</t>
        </is>
      </c>
      <c r="E161" s="6" t="inlineStr">
        <is>
          <t>SwordCut</t>
        </is>
      </c>
      <c r="F161" s="6" t="inlineStr">
        <is>
          <t>Failed</t>
        </is>
      </c>
      <c r="G161" s="6" t="inlineStr">
        <is>
          <t>Easy</t>
        </is>
      </c>
      <c r="K161" s="4">
        <v>0.0164</v>
      </c>
      <c r="M161" s="6">
        <v>165</v>
      </c>
      <c r="N161" s="6" t="inlineStr">
        <is>
          <t>2026-10-02 14:44:32.043 | Minigame: Jeremy | Type: SwordCut | Outcome: Failed | Difficulty: Easy | ExpectedTime: 170.0049 | ActualTime: 170.0213 | TimingOffset: 0.0164 | TimingError: 0.0164 | ReactionTime: N/A | SpatialAccuracy: N/A | DirectionAccuracy: 0.0000 | CorrectHand: True</t>
        </is>
      </c>
    </row>
    <row r="162" ht="17" customHeight="1">
      <c r="A162" s="0">
        <v>161</v>
      </c>
      <c r="B162" s="0" t="inlineStr">
        <is>
          <t>2026-10-02 14:44:34.446</t>
        </is>
      </c>
      <c r="C162" s="0" t="inlineStr">
        <is>
          <t>Interaction</t>
        </is>
      </c>
      <c r="D162" s="0" t="inlineStr">
        <is>
          <t>Jeremy</t>
        </is>
      </c>
      <c r="E162" s="0" t="inlineStr">
        <is>
          <t>SwordCut</t>
        </is>
      </c>
      <c r="F162" s="0" t="inlineStr">
        <is>
          <t>Success</t>
        </is>
      </c>
      <c r="G162" s="0" t="inlineStr">
        <is>
          <t>Easy</t>
        </is>
      </c>
      <c r="K162" s="4">
        <v>0.1205</v>
      </c>
      <c r="M162" s="0">
        <v>166</v>
      </c>
      <c r="N162" s="0" t="inlineStr">
        <is>
          <t>2026-10-02 14:44:34.446 | Minigame: Jeremy | Type: SwordCut | Outcome: Success | Difficulty: Easy | ExpectedTime: 172.3037 | ActualTime: 172.4241 | TimingOffset: 0.1205 | TimingError: 0.1205 | ReactionTime: N/A | SpatialAccuracy: N/A | DirectionAccuracy: 1.0000 | CorrectHand: True</t>
        </is>
      </c>
    </row>
    <row r="163" ht="17" customHeight="1">
      <c r="A163" s="6">
        <v>162</v>
      </c>
      <c r="B163" s="6" t="inlineStr">
        <is>
          <t>2026-10-02 14:44:36.542</t>
        </is>
      </c>
      <c r="C163" s="6" t="inlineStr">
        <is>
          <t>Interaction</t>
        </is>
      </c>
      <c r="D163" s="6" t="inlineStr">
        <is>
          <t>Jeremy</t>
        </is>
      </c>
      <c r="E163" s="6" t="inlineStr">
        <is>
          <t>SwordCut</t>
        </is>
      </c>
      <c r="F163" s="6" t="inlineStr">
        <is>
          <t>Failed</t>
        </is>
      </c>
      <c r="G163" s="6" t="inlineStr">
        <is>
          <t>Easy</t>
        </is>
      </c>
      <c r="K163" s="4">
        <v>0.0816</v>
      </c>
      <c r="M163" s="6">
        <v>167</v>
      </c>
      <c r="N163" s="6" t="inlineStr">
        <is>
          <t>2026-10-02 14:44:36.542 | Minigame: Jeremy | Type: SwordCut | Outcome: Failed | Difficulty: Easy | ExpectedTime: 174.6024 | ActualTime: 174.5209 | TimingOffset: -0.0816 | TimingError: 0.0816 | ReactionTime: N/A | SpatialAccuracy: N/A | DirectionAccuracy: 0.0000 | CorrectHand: True</t>
        </is>
      </c>
    </row>
    <row r="164" ht="17" customHeight="1">
      <c r="A164" s="0">
        <v>163</v>
      </c>
      <c r="B164" s="0" t="inlineStr">
        <is>
          <t>2026-10-02 14:44:36.543</t>
        </is>
      </c>
      <c r="C164" s="0" t="inlineStr">
        <is>
          <t>PlayerState</t>
        </is>
      </c>
      <c r="H164" s="0" t="inlineStr">
        <is>
          <t>Overloaded</t>
        </is>
      </c>
      <c r="M164" s="0">
        <v>168</v>
      </c>
      <c r="N164" s="0" t="inlineStr">
        <is>
          <t>2026-10-02 14:44:36.543 | PlayerState: Overloaded</t>
        </is>
      </c>
    </row>
    <row r="165" ht="17" customHeight="1">
      <c r="A165" s="6">
        <v>164</v>
      </c>
      <c r="B165" s="6" t="inlineStr">
        <is>
          <t>2026-10-02 14:44:39.014</t>
        </is>
      </c>
      <c r="C165" s="6" t="inlineStr">
        <is>
          <t>Interaction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Failed</t>
        </is>
      </c>
      <c r="G165" s="6" t="inlineStr">
        <is>
          <t>Easy</t>
        </is>
      </c>
      <c r="K165" s="4">
        <v>0.0913</v>
      </c>
      <c r="M165" s="6">
        <v>169</v>
      </c>
      <c r="N165" s="6" t="inlineStr">
        <is>
          <t>2026-10-02 14:44:39.014 | Minigame: Jeremy | Type: SwordCut | Outcome: Failed | Difficulty: Easy | ExpectedTime: 176.9012 | ActualTime: 176.9926 | TimingOffset: 0.0913 | TimingError: 0.0913 | ReactionTime: N/A | SpatialAccuracy: N/A | DirectionAccuracy: 0.0000 | CorrectHand: True</t>
        </is>
      </c>
    </row>
    <row r="166" ht="17" customHeight="1">
      <c r="A166" s="0">
        <v>165</v>
      </c>
      <c r="B166" s="0" t="inlineStr">
        <is>
          <t>2026-10-02 14:44:41.500</t>
        </is>
      </c>
      <c r="C166" s="0" t="inlineStr">
        <is>
          <t>Interaction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Failed</t>
        </is>
      </c>
      <c r="G166" s="0" t="inlineStr">
        <is>
          <t>Easy</t>
        </is>
      </c>
      <c r="K166" s="4">
        <v>0.2796</v>
      </c>
      <c r="M166" s="0">
        <v>170</v>
      </c>
      <c r="N166" s="0" t="inlineStr">
        <is>
          <t>2026-10-02 14:44:41.500 | Minigame: Jeremy | Type: SwordCut | Outcome: Failed | Difficulty: Easy | ExpectedTime: 179.2000 | ActualTime: 179.4796 | TimingOffset: 0.2796 | TimingError: 0.2796 | ReactionTime: N/A | SpatialAccuracy: N/A | DirectionAccuracy: 0.0000 | CorrectHand: True</t>
        </is>
      </c>
    </row>
    <row r="167" ht="17" customHeight="1">
      <c r="A167" s="6">
        <v>166</v>
      </c>
      <c r="B167" s="6" t="inlineStr">
        <is>
          <t>2026-10-02 14:44:43.501</t>
        </is>
      </c>
      <c r="C167" s="6" t="inlineStr">
        <is>
          <t>Interaction</t>
        </is>
      </c>
      <c r="D167" s="6" t="inlineStr">
        <is>
          <t>Jeremy</t>
        </is>
      </c>
      <c r="E167" s="6" t="inlineStr">
        <is>
          <t>SwordCut</t>
        </is>
      </c>
      <c r="F167" s="6" t="inlineStr">
        <is>
          <t>Failed</t>
        </is>
      </c>
      <c r="G167" s="6" t="inlineStr">
        <is>
          <t>Easy</t>
        </is>
      </c>
      <c r="K167" s="4">
        <v>0.0192</v>
      </c>
      <c r="M167" s="6">
        <v>171</v>
      </c>
      <c r="N167" s="6" t="inlineStr">
        <is>
          <t>2026-10-02 14:44:43.501 | Minigame: Jeremy | Type: SwordCut | Outcome: Failed | Difficulty: Easy | ExpectedTime: 181.4988 | ActualTime: 181.4796 | TimingOffset: -0.0192 | TimingError: 0.0192 | ReactionTime: N/A | SpatialAccuracy: N/A | DirectionAccuracy: 0.0000 | CorrectHand: True</t>
        </is>
      </c>
    </row>
    <row r="168" ht="17" customHeight="1">
      <c r="A168" s="0">
        <v>167</v>
      </c>
      <c r="B168" s="0" t="inlineStr">
        <is>
          <t>2026-10-02 14:44:48.501</t>
        </is>
      </c>
      <c r="C168" s="0" t="inlineStr">
        <is>
          <t>PlayerState</t>
        </is>
      </c>
      <c r="H168" s="0" t="inlineStr">
        <is>
          <t>Idle</t>
        </is>
      </c>
      <c r="M168" s="0">
        <v>172</v>
      </c>
      <c r="N168" s="0" t="inlineStr">
        <is>
          <t>2026-10-02 14:44:48.501 | PlayerState: Idle</t>
        </is>
      </c>
    </row>
  </sheetData>
  <autoFilter ref="A1:N168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